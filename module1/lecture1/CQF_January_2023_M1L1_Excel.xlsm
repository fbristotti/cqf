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QF\PW lectures\Random\"/>
    </mc:Choice>
  </mc:AlternateContent>
  <xr:revisionPtr revIDLastSave="0" documentId="13_ncr:1_{055EE524-80B7-4B5A-9A75-CEE238B10D1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BPUSD=X" sheetId="1" r:id="rId1"/>
  </sheets>
  <definedNames>
    <definedName name="bucketwidth">'GBPUSD=X'!$G$5</definedName>
    <definedName name="meanrtn">'GBPUSD=X'!$G$1</definedName>
    <definedName name="numdata">'GBPUSD=X'!$K$1</definedName>
    <definedName name="stdevrtns">'GBPUSD=X'!$G$2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1" l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8" i="1"/>
  <c r="K1" i="1"/>
  <c r="H8" i="1" a="1"/>
  <c r="H8" i="1" s="1"/>
  <c r="F10" i="1"/>
  <c r="F11" i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9" i="1"/>
  <c r="F8" i="1"/>
  <c r="G5" i="1"/>
  <c r="G4" i="1"/>
  <c r="G3" i="1"/>
  <c r="D4978" i="1"/>
  <c r="D4977" i="1"/>
  <c r="D4976" i="1"/>
  <c r="D4975" i="1"/>
  <c r="D4974" i="1"/>
  <c r="D4973" i="1"/>
  <c r="D4972" i="1"/>
  <c r="D4971" i="1"/>
  <c r="D4970" i="1"/>
  <c r="D4969" i="1"/>
  <c r="D4968" i="1"/>
  <c r="D4967" i="1"/>
  <c r="D4966" i="1"/>
  <c r="D4965" i="1"/>
  <c r="D4964" i="1"/>
  <c r="D4963" i="1"/>
  <c r="D4962" i="1"/>
  <c r="D4961" i="1"/>
  <c r="D4960" i="1"/>
  <c r="D4959" i="1"/>
  <c r="D4958" i="1"/>
  <c r="D4957" i="1"/>
  <c r="D4956" i="1"/>
  <c r="D4955" i="1"/>
  <c r="D4954" i="1"/>
  <c r="D4953" i="1"/>
  <c r="D4952" i="1"/>
  <c r="D4951" i="1"/>
  <c r="D4950" i="1"/>
  <c r="D4949" i="1"/>
  <c r="D4948" i="1"/>
  <c r="D4947" i="1"/>
  <c r="D4946" i="1"/>
  <c r="D4945" i="1"/>
  <c r="D4944" i="1"/>
  <c r="D4943" i="1"/>
  <c r="D4942" i="1"/>
  <c r="D4941" i="1"/>
  <c r="D4940" i="1"/>
  <c r="D4939" i="1"/>
  <c r="D4938" i="1"/>
  <c r="D4937" i="1"/>
  <c r="D4936" i="1"/>
  <c r="D4935" i="1"/>
  <c r="D4934" i="1"/>
  <c r="D4933" i="1"/>
  <c r="D4932" i="1"/>
  <c r="D4931" i="1"/>
  <c r="D4930" i="1"/>
  <c r="D4929" i="1"/>
  <c r="D4928" i="1"/>
  <c r="D4927" i="1"/>
  <c r="D4926" i="1"/>
  <c r="D4925" i="1"/>
  <c r="D4924" i="1"/>
  <c r="D4923" i="1"/>
  <c r="D4922" i="1"/>
  <c r="D4921" i="1"/>
  <c r="D4920" i="1"/>
  <c r="D4919" i="1"/>
  <c r="D4918" i="1"/>
  <c r="D4917" i="1"/>
  <c r="D4916" i="1"/>
  <c r="D4915" i="1"/>
  <c r="D4914" i="1"/>
  <c r="D4913" i="1"/>
  <c r="D4912" i="1"/>
  <c r="D4911" i="1"/>
  <c r="D4910" i="1"/>
  <c r="D4909" i="1"/>
  <c r="D4908" i="1"/>
  <c r="D4907" i="1"/>
  <c r="D4906" i="1"/>
  <c r="D4905" i="1"/>
  <c r="D4904" i="1"/>
  <c r="D4903" i="1"/>
  <c r="D4902" i="1"/>
  <c r="D4901" i="1"/>
  <c r="D4900" i="1"/>
  <c r="D4899" i="1"/>
  <c r="D4898" i="1"/>
  <c r="D4897" i="1"/>
  <c r="D4896" i="1"/>
  <c r="D4895" i="1"/>
  <c r="D4894" i="1"/>
  <c r="D4893" i="1"/>
  <c r="D4892" i="1"/>
  <c r="D4891" i="1"/>
  <c r="D4890" i="1"/>
  <c r="D4889" i="1"/>
  <c r="D4888" i="1"/>
  <c r="D4887" i="1"/>
  <c r="D4886" i="1"/>
  <c r="D4885" i="1"/>
  <c r="D4884" i="1"/>
  <c r="D4883" i="1"/>
  <c r="D4882" i="1"/>
  <c r="D4881" i="1"/>
  <c r="D4880" i="1"/>
  <c r="D4879" i="1"/>
  <c r="D4878" i="1"/>
  <c r="D4877" i="1"/>
  <c r="D4876" i="1"/>
  <c r="D4875" i="1"/>
  <c r="D4874" i="1"/>
  <c r="D4873" i="1"/>
  <c r="D4872" i="1"/>
  <c r="D4871" i="1"/>
  <c r="D4870" i="1"/>
  <c r="D4869" i="1"/>
  <c r="D4868" i="1"/>
  <c r="D4867" i="1"/>
  <c r="D4866" i="1"/>
  <c r="D4865" i="1"/>
  <c r="D4864" i="1"/>
  <c r="D4863" i="1"/>
  <c r="D4862" i="1"/>
  <c r="D4861" i="1"/>
  <c r="D4860" i="1"/>
  <c r="D4859" i="1"/>
  <c r="D4858" i="1"/>
  <c r="D4857" i="1"/>
  <c r="D4856" i="1"/>
  <c r="D4855" i="1"/>
  <c r="D4854" i="1"/>
  <c r="D4853" i="1"/>
  <c r="D4852" i="1"/>
  <c r="D4851" i="1"/>
  <c r="D4850" i="1"/>
  <c r="D4849" i="1"/>
  <c r="D4848" i="1"/>
  <c r="D4847" i="1"/>
  <c r="D4846" i="1"/>
  <c r="D4845" i="1"/>
  <c r="D4844" i="1"/>
  <c r="D4843" i="1"/>
  <c r="D4842" i="1"/>
  <c r="D4841" i="1"/>
  <c r="D4840" i="1"/>
  <c r="D4839" i="1"/>
  <c r="D4838" i="1"/>
  <c r="D4837" i="1"/>
  <c r="D4836" i="1"/>
  <c r="D4835" i="1"/>
  <c r="D4834" i="1"/>
  <c r="D4833" i="1"/>
  <c r="D4832" i="1"/>
  <c r="D4831" i="1"/>
  <c r="D4830" i="1"/>
  <c r="D4829" i="1"/>
  <c r="D4828" i="1"/>
  <c r="D4827" i="1"/>
  <c r="D4826" i="1"/>
  <c r="D4825" i="1"/>
  <c r="D4824" i="1"/>
  <c r="D4823" i="1"/>
  <c r="D4822" i="1"/>
  <c r="D4821" i="1"/>
  <c r="D4820" i="1"/>
  <c r="D4819" i="1"/>
  <c r="D4818" i="1"/>
  <c r="D4817" i="1"/>
  <c r="D4816" i="1"/>
  <c r="D4815" i="1"/>
  <c r="D4814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4795" i="1"/>
  <c r="D4794" i="1"/>
  <c r="D4793" i="1"/>
  <c r="D4792" i="1"/>
  <c r="D4791" i="1"/>
  <c r="D4790" i="1"/>
  <c r="D4789" i="1"/>
  <c r="D4788" i="1"/>
  <c r="D4787" i="1"/>
  <c r="D4786" i="1"/>
  <c r="D4785" i="1"/>
  <c r="D4784" i="1"/>
  <c r="D4783" i="1"/>
  <c r="D4782" i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701" i="1"/>
  <c r="D4700" i="1"/>
  <c r="D4699" i="1"/>
  <c r="D4698" i="1"/>
  <c r="D4697" i="1"/>
  <c r="D4696" i="1"/>
  <c r="D4695" i="1"/>
  <c r="D4694" i="1"/>
  <c r="D4693" i="1"/>
  <c r="D4692" i="1"/>
  <c r="D469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048" i="1"/>
  <c r="D4047" i="1"/>
  <c r="D4046" i="1"/>
  <c r="D4045" i="1"/>
  <c r="D4044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  <c r="D3610" i="1"/>
  <c r="D3609" i="1"/>
  <c r="D3608" i="1"/>
  <c r="D3607" i="1"/>
  <c r="D3606" i="1"/>
  <c r="D3605" i="1"/>
  <c r="D3604" i="1"/>
  <c r="D3603" i="1"/>
  <c r="D3602" i="1"/>
  <c r="D3601" i="1"/>
  <c r="D3600" i="1"/>
  <c r="D3599" i="1"/>
  <c r="D3598" i="1"/>
  <c r="D3597" i="1"/>
  <c r="D3596" i="1"/>
  <c r="D3595" i="1"/>
  <c r="D3594" i="1"/>
  <c r="D3593" i="1"/>
  <c r="D3592" i="1"/>
  <c r="D3591" i="1"/>
  <c r="D3590" i="1"/>
  <c r="D3589" i="1"/>
  <c r="D3588" i="1"/>
  <c r="D3587" i="1"/>
  <c r="D3586" i="1"/>
  <c r="D3585" i="1"/>
  <c r="D3584" i="1"/>
  <c r="D3583" i="1"/>
  <c r="D3582" i="1"/>
  <c r="D3581" i="1"/>
  <c r="D3580" i="1"/>
  <c r="D3579" i="1"/>
  <c r="D3578" i="1"/>
  <c r="D3577" i="1"/>
  <c r="D3576" i="1"/>
  <c r="D3575" i="1"/>
  <c r="D3574" i="1"/>
  <c r="D3573" i="1"/>
  <c r="D3572" i="1"/>
  <c r="D3571" i="1"/>
  <c r="D3570" i="1"/>
  <c r="D3569" i="1"/>
  <c r="D3568" i="1"/>
  <c r="D3567" i="1"/>
  <c r="D3566" i="1"/>
  <c r="D3565" i="1"/>
  <c r="D3564" i="1"/>
  <c r="D3563" i="1"/>
  <c r="D3562" i="1"/>
  <c r="D3561" i="1"/>
  <c r="D3560" i="1"/>
  <c r="D3559" i="1"/>
  <c r="D3558" i="1"/>
  <c r="D3557" i="1"/>
  <c r="D3556" i="1"/>
  <c r="D3555" i="1"/>
  <c r="D3554" i="1"/>
  <c r="D3553" i="1"/>
  <c r="D3552" i="1"/>
  <c r="D3551" i="1"/>
  <c r="D3550" i="1"/>
  <c r="D3549" i="1"/>
  <c r="D3548" i="1"/>
  <c r="D3547" i="1"/>
  <c r="D3546" i="1"/>
  <c r="D3545" i="1"/>
  <c r="D3544" i="1"/>
  <c r="D3543" i="1"/>
  <c r="D3542" i="1"/>
  <c r="D3541" i="1"/>
  <c r="D3540" i="1"/>
  <c r="D3539" i="1"/>
  <c r="D3538" i="1"/>
  <c r="D3537" i="1"/>
  <c r="D3536" i="1"/>
  <c r="D3535" i="1"/>
  <c r="D3534" i="1"/>
  <c r="D3533" i="1"/>
  <c r="D3532" i="1"/>
  <c r="D3531" i="1"/>
  <c r="D3530" i="1"/>
  <c r="D3529" i="1"/>
  <c r="D3528" i="1"/>
  <c r="D3527" i="1"/>
  <c r="D3526" i="1"/>
  <c r="D3525" i="1"/>
  <c r="D3524" i="1"/>
  <c r="D3523" i="1"/>
  <c r="D3522" i="1"/>
  <c r="D3521" i="1"/>
  <c r="D3520" i="1"/>
  <c r="D3519" i="1"/>
  <c r="D3518" i="1"/>
  <c r="D3517" i="1"/>
  <c r="D3516" i="1"/>
  <c r="D3515" i="1"/>
  <c r="D3514" i="1"/>
  <c r="D3513" i="1"/>
  <c r="D3512" i="1"/>
  <c r="D3511" i="1"/>
  <c r="D3510" i="1"/>
  <c r="D3509" i="1"/>
  <c r="D3508" i="1"/>
  <c r="D3507" i="1"/>
  <c r="D3506" i="1"/>
  <c r="D3505" i="1"/>
  <c r="D3504" i="1"/>
  <c r="D3503" i="1"/>
  <c r="D3502" i="1"/>
  <c r="D3501" i="1"/>
  <c r="D3500" i="1"/>
  <c r="D3499" i="1"/>
  <c r="D3498" i="1"/>
  <c r="D3497" i="1"/>
  <c r="D3496" i="1"/>
  <c r="D3495" i="1"/>
  <c r="D3494" i="1"/>
  <c r="D3493" i="1"/>
  <c r="D3492" i="1"/>
  <c r="D3491" i="1"/>
  <c r="D3490" i="1"/>
  <c r="D3489" i="1"/>
  <c r="D3488" i="1"/>
  <c r="D3487" i="1"/>
  <c r="D3486" i="1"/>
  <c r="D3485" i="1"/>
  <c r="D3484" i="1"/>
  <c r="D3483" i="1"/>
  <c r="D3482" i="1"/>
  <c r="D3481" i="1"/>
  <c r="D3480" i="1"/>
  <c r="D3479" i="1"/>
  <c r="D3478" i="1"/>
  <c r="D3477" i="1"/>
  <c r="D3476" i="1"/>
  <c r="D3475" i="1"/>
  <c r="D3474" i="1"/>
  <c r="D3473" i="1"/>
  <c r="D3472" i="1"/>
  <c r="D3471" i="1"/>
  <c r="D3470" i="1"/>
  <c r="D3469" i="1"/>
  <c r="D3468" i="1"/>
  <c r="D3467" i="1"/>
  <c r="D3466" i="1"/>
  <c r="D3465" i="1"/>
  <c r="D3464" i="1"/>
  <c r="D3463" i="1"/>
  <c r="D3462" i="1"/>
  <c r="D3461" i="1"/>
  <c r="D3460" i="1"/>
  <c r="D3459" i="1"/>
  <c r="D3458" i="1"/>
  <c r="D3457" i="1"/>
  <c r="D3456" i="1"/>
  <c r="D3455" i="1"/>
  <c r="D3454" i="1"/>
  <c r="D3453" i="1"/>
  <c r="D3452" i="1"/>
  <c r="D3451" i="1"/>
  <c r="D3450" i="1"/>
  <c r="D3449" i="1"/>
  <c r="D3448" i="1"/>
  <c r="D3447" i="1"/>
  <c r="D3446" i="1"/>
  <c r="D3445" i="1"/>
  <c r="D3444" i="1"/>
  <c r="D3443" i="1"/>
  <c r="D3442" i="1"/>
  <c r="D3441" i="1"/>
  <c r="D3440" i="1"/>
  <c r="D3439" i="1"/>
  <c r="D3438" i="1"/>
  <c r="D3437" i="1"/>
  <c r="D3436" i="1"/>
  <c r="D3435" i="1"/>
  <c r="D3434" i="1"/>
  <c r="D3433" i="1"/>
  <c r="D3432" i="1"/>
  <c r="D3431" i="1"/>
  <c r="D3430" i="1"/>
  <c r="D3429" i="1"/>
  <c r="D3428" i="1"/>
  <c r="D3427" i="1"/>
  <c r="D3426" i="1"/>
  <c r="D3425" i="1"/>
  <c r="D3424" i="1"/>
  <c r="D3423" i="1"/>
  <c r="D3422" i="1"/>
  <c r="D3421" i="1"/>
  <c r="D3420" i="1"/>
  <c r="D3419" i="1"/>
  <c r="D3418" i="1"/>
  <c r="D3417" i="1"/>
  <c r="D3416" i="1"/>
  <c r="D3415" i="1"/>
  <c r="D3414" i="1"/>
  <c r="D3413" i="1"/>
  <c r="D3412" i="1"/>
  <c r="D3411" i="1"/>
  <c r="D3410" i="1"/>
  <c r="D3409" i="1"/>
  <c r="D3408" i="1"/>
  <c r="D3407" i="1"/>
  <c r="D3406" i="1"/>
  <c r="D3405" i="1"/>
  <c r="D3404" i="1"/>
  <c r="D3403" i="1"/>
  <c r="D3402" i="1"/>
  <c r="D3401" i="1"/>
  <c r="D3400" i="1"/>
  <c r="D3399" i="1"/>
  <c r="D3398" i="1"/>
  <c r="D3397" i="1"/>
  <c r="D3396" i="1"/>
  <c r="D3395" i="1"/>
  <c r="D3394" i="1"/>
  <c r="D3393" i="1"/>
  <c r="D3392" i="1"/>
  <c r="D3391" i="1"/>
  <c r="D3390" i="1"/>
  <c r="D3389" i="1"/>
  <c r="D3388" i="1"/>
  <c r="D3387" i="1"/>
  <c r="D3386" i="1"/>
  <c r="D3385" i="1"/>
  <c r="D3384" i="1"/>
  <c r="D3383" i="1"/>
  <c r="D3382" i="1"/>
  <c r="D3381" i="1"/>
  <c r="D3380" i="1"/>
  <c r="D3379" i="1"/>
  <c r="D3378" i="1"/>
  <c r="D3377" i="1"/>
  <c r="D3376" i="1"/>
  <c r="D3375" i="1"/>
  <c r="D3374" i="1"/>
  <c r="D3373" i="1"/>
  <c r="D3372" i="1"/>
  <c r="D3371" i="1"/>
  <c r="D3370" i="1"/>
  <c r="D3369" i="1"/>
  <c r="D3368" i="1"/>
  <c r="D3367" i="1"/>
  <c r="D3366" i="1"/>
  <c r="D3365" i="1"/>
  <c r="D3364" i="1"/>
  <c r="D3363" i="1"/>
  <c r="D3362" i="1"/>
  <c r="D3361" i="1"/>
  <c r="D3360" i="1"/>
  <c r="D3359" i="1"/>
  <c r="D3358" i="1"/>
  <c r="D3357" i="1"/>
  <c r="D3356" i="1"/>
  <c r="D3355" i="1"/>
  <c r="D3354" i="1"/>
  <c r="D3353" i="1"/>
  <c r="D3352" i="1"/>
  <c r="D3351" i="1"/>
  <c r="D3350" i="1"/>
  <c r="D3349" i="1"/>
  <c r="D3348" i="1"/>
  <c r="D3347" i="1"/>
  <c r="D3346" i="1"/>
  <c r="D3345" i="1"/>
  <c r="D3344" i="1"/>
  <c r="D3343" i="1"/>
  <c r="D3342" i="1"/>
  <c r="D3341" i="1"/>
  <c r="D3340" i="1"/>
  <c r="D3339" i="1"/>
  <c r="D3338" i="1"/>
  <c r="D3337" i="1"/>
  <c r="D3336" i="1"/>
  <c r="D3335" i="1"/>
  <c r="D3334" i="1"/>
  <c r="D3333" i="1"/>
  <c r="D3332" i="1"/>
  <c r="D3331" i="1"/>
  <c r="D3330" i="1"/>
  <c r="D3329" i="1"/>
  <c r="D3328" i="1"/>
  <c r="D3327" i="1"/>
  <c r="D3326" i="1"/>
  <c r="D3325" i="1"/>
  <c r="D3324" i="1"/>
  <c r="D3323" i="1"/>
  <c r="D3322" i="1"/>
  <c r="D3321" i="1"/>
  <c r="D3320" i="1"/>
  <c r="D3319" i="1"/>
  <c r="D3318" i="1"/>
  <c r="D3317" i="1"/>
  <c r="D3316" i="1"/>
  <c r="D3315" i="1"/>
  <c r="D3314" i="1"/>
  <c r="D3313" i="1"/>
  <c r="D3312" i="1"/>
  <c r="D3311" i="1"/>
  <c r="D3310" i="1"/>
  <c r="D3309" i="1"/>
  <c r="D3308" i="1"/>
  <c r="D3307" i="1"/>
  <c r="D3306" i="1"/>
  <c r="D3305" i="1"/>
  <c r="D3304" i="1"/>
  <c r="D3303" i="1"/>
  <c r="D3302" i="1"/>
  <c r="D3301" i="1"/>
  <c r="D3300" i="1"/>
  <c r="D3299" i="1"/>
  <c r="D3298" i="1"/>
  <c r="D3297" i="1"/>
  <c r="D3296" i="1"/>
  <c r="D3295" i="1"/>
  <c r="D3294" i="1"/>
  <c r="D3293" i="1"/>
  <c r="D3292" i="1"/>
  <c r="D3291" i="1"/>
  <c r="D3290" i="1"/>
  <c r="D3289" i="1"/>
  <c r="D3288" i="1"/>
  <c r="D3287" i="1"/>
  <c r="D3286" i="1"/>
  <c r="D3285" i="1"/>
  <c r="D3284" i="1"/>
  <c r="D3283" i="1"/>
  <c r="D3282" i="1"/>
  <c r="D3281" i="1"/>
  <c r="D3280" i="1"/>
  <c r="D3279" i="1"/>
  <c r="D3278" i="1"/>
  <c r="D3277" i="1"/>
  <c r="D3276" i="1"/>
  <c r="D3275" i="1"/>
  <c r="D3274" i="1"/>
  <c r="D3273" i="1"/>
  <c r="D3272" i="1"/>
  <c r="D3271" i="1"/>
  <c r="D3270" i="1"/>
  <c r="D3269" i="1"/>
  <c r="D3268" i="1"/>
  <c r="D3267" i="1"/>
  <c r="D3266" i="1"/>
  <c r="D3265" i="1"/>
  <c r="D3264" i="1"/>
  <c r="D3263" i="1"/>
  <c r="D3262" i="1"/>
  <c r="D3261" i="1"/>
  <c r="D3260" i="1"/>
  <c r="D3259" i="1"/>
  <c r="D3258" i="1"/>
  <c r="D3257" i="1"/>
  <c r="D3256" i="1"/>
  <c r="D3255" i="1"/>
  <c r="D3254" i="1"/>
  <c r="D3253" i="1"/>
  <c r="D3252" i="1"/>
  <c r="D3251" i="1"/>
  <c r="D3250" i="1"/>
  <c r="D3249" i="1"/>
  <c r="D3248" i="1"/>
  <c r="D3247" i="1"/>
  <c r="D3246" i="1"/>
  <c r="D3245" i="1"/>
  <c r="D3244" i="1"/>
  <c r="D3243" i="1"/>
  <c r="D3242" i="1"/>
  <c r="D3241" i="1"/>
  <c r="D3240" i="1"/>
  <c r="D3239" i="1"/>
  <c r="D3238" i="1"/>
  <c r="D3237" i="1"/>
  <c r="D3236" i="1"/>
  <c r="D3235" i="1"/>
  <c r="D3234" i="1"/>
  <c r="D3233" i="1"/>
  <c r="D3232" i="1"/>
  <c r="D3231" i="1"/>
  <c r="D3230" i="1"/>
  <c r="D3229" i="1"/>
  <c r="D3228" i="1"/>
  <c r="D3227" i="1"/>
  <c r="D3226" i="1"/>
  <c r="D3225" i="1"/>
  <c r="D3224" i="1"/>
  <c r="D3223" i="1"/>
  <c r="D3222" i="1"/>
  <c r="D3221" i="1"/>
  <c r="D3220" i="1"/>
  <c r="D3219" i="1"/>
  <c r="D3218" i="1"/>
  <c r="D3217" i="1"/>
  <c r="D3216" i="1"/>
  <c r="D3215" i="1"/>
  <c r="D3214" i="1"/>
  <c r="D3213" i="1"/>
  <c r="D3212" i="1"/>
  <c r="D3211" i="1"/>
  <c r="D3210" i="1"/>
  <c r="D3209" i="1"/>
  <c r="D3208" i="1"/>
  <c r="D3207" i="1"/>
  <c r="D3206" i="1"/>
  <c r="D3205" i="1"/>
  <c r="D3204" i="1"/>
  <c r="D3203" i="1"/>
  <c r="D3202" i="1"/>
  <c r="D3201" i="1"/>
  <c r="D3200" i="1"/>
  <c r="D3199" i="1"/>
  <c r="D3198" i="1"/>
  <c r="D3197" i="1"/>
  <c r="D3196" i="1"/>
  <c r="D3195" i="1"/>
  <c r="D3194" i="1"/>
  <c r="D3193" i="1"/>
  <c r="D3192" i="1"/>
  <c r="D3191" i="1"/>
  <c r="D3190" i="1"/>
  <c r="D3189" i="1"/>
  <c r="D3188" i="1"/>
  <c r="D3187" i="1"/>
  <c r="D3186" i="1"/>
  <c r="D3185" i="1"/>
  <c r="D3184" i="1"/>
  <c r="D3183" i="1"/>
  <c r="D3182" i="1"/>
  <c r="D3181" i="1"/>
  <c r="D3180" i="1"/>
  <c r="D3179" i="1"/>
  <c r="D3178" i="1"/>
  <c r="D3177" i="1"/>
  <c r="D3176" i="1"/>
  <c r="D3175" i="1"/>
  <c r="D3174" i="1"/>
  <c r="D3173" i="1"/>
  <c r="D3172" i="1"/>
  <c r="D3171" i="1"/>
  <c r="D3170" i="1"/>
  <c r="D3169" i="1"/>
  <c r="D3168" i="1"/>
  <c r="D3167" i="1"/>
  <c r="D3166" i="1"/>
  <c r="D3165" i="1"/>
  <c r="D3164" i="1"/>
  <c r="D3163" i="1"/>
  <c r="D3162" i="1"/>
  <c r="D3161" i="1"/>
  <c r="D3160" i="1"/>
  <c r="D3159" i="1"/>
  <c r="D3158" i="1"/>
  <c r="D3157" i="1"/>
  <c r="D3156" i="1"/>
  <c r="D3155" i="1"/>
  <c r="D3154" i="1"/>
  <c r="D3153" i="1"/>
  <c r="D3152" i="1"/>
  <c r="D3151" i="1"/>
  <c r="D3150" i="1"/>
  <c r="D3149" i="1"/>
  <c r="D3148" i="1"/>
  <c r="D3147" i="1"/>
  <c r="D3146" i="1"/>
  <c r="D3145" i="1"/>
  <c r="D3144" i="1"/>
  <c r="D3143" i="1"/>
  <c r="D3142" i="1"/>
  <c r="D3141" i="1"/>
  <c r="D3140" i="1"/>
  <c r="D3139" i="1"/>
  <c r="D3138" i="1"/>
  <c r="D3137" i="1"/>
  <c r="D3136" i="1"/>
  <c r="D3135" i="1"/>
  <c r="D3134" i="1"/>
  <c r="D3133" i="1"/>
  <c r="D3132" i="1"/>
  <c r="D3131" i="1"/>
  <c r="D3130" i="1"/>
  <c r="D3129" i="1"/>
  <c r="D3128" i="1"/>
  <c r="D3127" i="1"/>
  <c r="D3126" i="1"/>
  <c r="D3125" i="1"/>
  <c r="D3124" i="1"/>
  <c r="D3123" i="1"/>
  <c r="D3122" i="1"/>
  <c r="D3121" i="1"/>
  <c r="D3120" i="1"/>
  <c r="D3119" i="1"/>
  <c r="D3118" i="1"/>
  <c r="D3117" i="1"/>
  <c r="D3116" i="1"/>
  <c r="D3115" i="1"/>
  <c r="D3114" i="1"/>
  <c r="D3113" i="1"/>
  <c r="D3112" i="1"/>
  <c r="D3111" i="1"/>
  <c r="D3110" i="1"/>
  <c r="D3109" i="1"/>
  <c r="D3108" i="1"/>
  <c r="D3107" i="1"/>
  <c r="D3106" i="1"/>
  <c r="D3105" i="1"/>
  <c r="D3104" i="1"/>
  <c r="D3103" i="1"/>
  <c r="D3102" i="1"/>
  <c r="D3101" i="1"/>
  <c r="D3100" i="1"/>
  <c r="D3099" i="1"/>
  <c r="D3098" i="1"/>
  <c r="D3097" i="1"/>
  <c r="D3096" i="1"/>
  <c r="D3095" i="1"/>
  <c r="D3094" i="1"/>
  <c r="D3093" i="1"/>
  <c r="D3092" i="1"/>
  <c r="D3091" i="1"/>
  <c r="D3090" i="1"/>
  <c r="D3089" i="1"/>
  <c r="D3088" i="1"/>
  <c r="D3087" i="1"/>
  <c r="D3086" i="1"/>
  <c r="D3085" i="1"/>
  <c r="D3084" i="1"/>
  <c r="D3083" i="1"/>
  <c r="D3082" i="1"/>
  <c r="D3081" i="1"/>
  <c r="D3080" i="1"/>
  <c r="D3079" i="1"/>
  <c r="D3078" i="1"/>
  <c r="D3077" i="1"/>
  <c r="D3076" i="1"/>
  <c r="D3075" i="1"/>
  <c r="D3074" i="1"/>
  <c r="D3073" i="1"/>
  <c r="D3072" i="1"/>
  <c r="D3071" i="1"/>
  <c r="D3070" i="1"/>
  <c r="D3069" i="1"/>
  <c r="D3068" i="1"/>
  <c r="D3067" i="1"/>
  <c r="D3066" i="1"/>
  <c r="D3065" i="1"/>
  <c r="D3064" i="1"/>
  <c r="D3063" i="1"/>
  <c r="D3062" i="1"/>
  <c r="D3061" i="1"/>
  <c r="D3060" i="1"/>
  <c r="D3059" i="1"/>
  <c r="D3058" i="1"/>
  <c r="D3057" i="1"/>
  <c r="D3056" i="1"/>
  <c r="D3055" i="1"/>
  <c r="D3054" i="1"/>
  <c r="D3053" i="1"/>
  <c r="D3052" i="1"/>
  <c r="D3051" i="1"/>
  <c r="D3050" i="1"/>
  <c r="D3049" i="1"/>
  <c r="D3048" i="1"/>
  <c r="D3047" i="1"/>
  <c r="D3046" i="1"/>
  <c r="D3045" i="1"/>
  <c r="D3044" i="1"/>
  <c r="D3043" i="1"/>
  <c r="D3042" i="1"/>
  <c r="D3041" i="1"/>
  <c r="D3040" i="1"/>
  <c r="D3039" i="1"/>
  <c r="D3038" i="1"/>
  <c r="D3037" i="1"/>
  <c r="D3036" i="1"/>
  <c r="D3035" i="1"/>
  <c r="D3034" i="1"/>
  <c r="D3033" i="1"/>
  <c r="D3032" i="1"/>
  <c r="D3031" i="1"/>
  <c r="D3030" i="1"/>
  <c r="D3029" i="1"/>
  <c r="D3028" i="1"/>
  <c r="D3027" i="1"/>
  <c r="D3026" i="1"/>
  <c r="D3025" i="1"/>
  <c r="D3024" i="1"/>
  <c r="D3023" i="1"/>
  <c r="D3022" i="1"/>
  <c r="D3021" i="1"/>
  <c r="D3020" i="1"/>
  <c r="D3019" i="1"/>
  <c r="D3018" i="1"/>
  <c r="D3017" i="1"/>
  <c r="D3016" i="1"/>
  <c r="D3015" i="1"/>
  <c r="D3014" i="1"/>
  <c r="D3013" i="1"/>
  <c r="D3012" i="1"/>
  <c r="D3011" i="1"/>
  <c r="D301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2407" i="1"/>
  <c r="D2406" i="1"/>
  <c r="D2405" i="1"/>
  <c r="D2404" i="1"/>
  <c r="D2403" i="1"/>
  <c r="D2402" i="1"/>
  <c r="D2401" i="1"/>
  <c r="D2400" i="1"/>
  <c r="D2399" i="1"/>
  <c r="D2398" i="1"/>
  <c r="D2397" i="1"/>
  <c r="D2396" i="1"/>
  <c r="D2395" i="1"/>
  <c r="D2394" i="1"/>
  <c r="D2393" i="1"/>
  <c r="D2392" i="1"/>
  <c r="D2391" i="1"/>
  <c r="D2390" i="1"/>
  <c r="D2389" i="1"/>
  <c r="D2388" i="1"/>
  <c r="D2387" i="1"/>
  <c r="D2386" i="1"/>
  <c r="D2385" i="1"/>
  <c r="D2384" i="1"/>
  <c r="D2383" i="1"/>
  <c r="D2382" i="1"/>
  <c r="D2381" i="1"/>
  <c r="D2380" i="1"/>
  <c r="D2379" i="1"/>
  <c r="D2378" i="1"/>
  <c r="D2377" i="1"/>
  <c r="D2376" i="1"/>
  <c r="D2375" i="1"/>
  <c r="D2374" i="1"/>
  <c r="D2373" i="1"/>
  <c r="D2372" i="1"/>
  <c r="D2371" i="1"/>
  <c r="D2370" i="1"/>
  <c r="D2369" i="1"/>
  <c r="D2368" i="1"/>
  <c r="D2367" i="1"/>
  <c r="D2366" i="1"/>
  <c r="D2365" i="1"/>
  <c r="D2364" i="1"/>
  <c r="D2363" i="1"/>
  <c r="D2362" i="1"/>
  <c r="D2361" i="1"/>
  <c r="D2360" i="1"/>
  <c r="D2359" i="1"/>
  <c r="D2358" i="1"/>
  <c r="D2357" i="1"/>
  <c r="D2356" i="1"/>
  <c r="D2355" i="1"/>
  <c r="D2354" i="1"/>
  <c r="D2353" i="1"/>
  <c r="D2352" i="1"/>
  <c r="D2351" i="1"/>
  <c r="D2350" i="1"/>
  <c r="D2349" i="1"/>
  <c r="D2348" i="1"/>
  <c r="D2347" i="1"/>
  <c r="D2346" i="1"/>
  <c r="D2345" i="1"/>
  <c r="D2344" i="1"/>
  <c r="D2343" i="1"/>
  <c r="D2342" i="1"/>
  <c r="D2341" i="1"/>
  <c r="D2340" i="1"/>
  <c r="D2339" i="1"/>
  <c r="D2338" i="1"/>
  <c r="D2337" i="1"/>
  <c r="D2336" i="1"/>
  <c r="D2335" i="1"/>
  <c r="D2334" i="1"/>
  <c r="D2333" i="1"/>
  <c r="D2332" i="1"/>
  <c r="D2331" i="1"/>
  <c r="D2330" i="1"/>
  <c r="D2329" i="1"/>
  <c r="D2328" i="1"/>
  <c r="D2327" i="1"/>
  <c r="D2326" i="1"/>
  <c r="D2325" i="1"/>
  <c r="D2324" i="1"/>
  <c r="D2323" i="1"/>
  <c r="D2322" i="1"/>
  <c r="D2321" i="1"/>
  <c r="D2320" i="1"/>
  <c r="D2319" i="1"/>
  <c r="D2318" i="1"/>
  <c r="D2317" i="1"/>
  <c r="D2316" i="1"/>
  <c r="D2315" i="1"/>
  <c r="D2314" i="1"/>
  <c r="D2313" i="1"/>
  <c r="D2312" i="1"/>
  <c r="D2311" i="1"/>
  <c r="D2310" i="1"/>
  <c r="D2309" i="1"/>
  <c r="D2308" i="1"/>
  <c r="D2307" i="1"/>
  <c r="D2306" i="1"/>
  <c r="D2305" i="1"/>
  <c r="D2304" i="1"/>
  <c r="D2303" i="1"/>
  <c r="D2302" i="1"/>
  <c r="D2301" i="1"/>
  <c r="D2300" i="1"/>
  <c r="D2299" i="1"/>
  <c r="D2298" i="1"/>
  <c r="D2297" i="1"/>
  <c r="D2296" i="1"/>
  <c r="D2295" i="1"/>
  <c r="D2294" i="1"/>
  <c r="D2293" i="1"/>
  <c r="D2292" i="1"/>
  <c r="D2291" i="1"/>
  <c r="D2290" i="1"/>
  <c r="D2289" i="1"/>
  <c r="D2288" i="1"/>
  <c r="D2287" i="1"/>
  <c r="D2286" i="1"/>
  <c r="D2285" i="1"/>
  <c r="D2284" i="1"/>
  <c r="D2283" i="1"/>
  <c r="D2282" i="1"/>
  <c r="D2281" i="1"/>
  <c r="D2280" i="1"/>
  <c r="D2279" i="1"/>
  <c r="D2278" i="1"/>
  <c r="D2277" i="1"/>
  <c r="D2276" i="1"/>
  <c r="D2275" i="1"/>
  <c r="D2274" i="1"/>
  <c r="D2273" i="1"/>
  <c r="D2272" i="1"/>
  <c r="D2271" i="1"/>
  <c r="D2270" i="1"/>
  <c r="D2269" i="1"/>
  <c r="D2268" i="1"/>
  <c r="D2267" i="1"/>
  <c r="D2266" i="1"/>
  <c r="D2265" i="1"/>
  <c r="D2264" i="1"/>
  <c r="D2263" i="1"/>
  <c r="D2262" i="1"/>
  <c r="D2261" i="1"/>
  <c r="D2260" i="1"/>
  <c r="D2259" i="1"/>
  <c r="D2258" i="1"/>
  <c r="D2257" i="1"/>
  <c r="D2256" i="1"/>
  <c r="D2255" i="1"/>
  <c r="D2254" i="1"/>
  <c r="D2253" i="1"/>
  <c r="D2252" i="1"/>
  <c r="D2251" i="1"/>
  <c r="D2250" i="1"/>
  <c r="D2249" i="1"/>
  <c r="D2248" i="1"/>
  <c r="D2247" i="1"/>
  <c r="D2246" i="1"/>
  <c r="D2245" i="1"/>
  <c r="D2244" i="1"/>
  <c r="D2243" i="1"/>
  <c r="D2242" i="1"/>
  <c r="D2241" i="1"/>
  <c r="D2240" i="1"/>
  <c r="D2239" i="1"/>
  <c r="D2238" i="1"/>
  <c r="D2237" i="1"/>
  <c r="D2236" i="1"/>
  <c r="D2235" i="1"/>
  <c r="D2234" i="1"/>
  <c r="D2233" i="1"/>
  <c r="D2232" i="1"/>
  <c r="D2231" i="1"/>
  <c r="D2230" i="1"/>
  <c r="D2229" i="1"/>
  <c r="D2228" i="1"/>
  <c r="D2227" i="1"/>
  <c r="D2226" i="1"/>
  <c r="D2225" i="1"/>
  <c r="D2224" i="1"/>
  <c r="D2223" i="1"/>
  <c r="D2222" i="1"/>
  <c r="D2221" i="1"/>
  <c r="D2220" i="1"/>
  <c r="D2219" i="1"/>
  <c r="D2218" i="1"/>
  <c r="D2217" i="1"/>
  <c r="D2216" i="1"/>
  <c r="D2215" i="1"/>
  <c r="D2214" i="1"/>
  <c r="D2213" i="1"/>
  <c r="D2212" i="1"/>
  <c r="D2211" i="1"/>
  <c r="D2210" i="1"/>
  <c r="D2209" i="1"/>
  <c r="D2208" i="1"/>
  <c r="D2207" i="1"/>
  <c r="D2206" i="1"/>
  <c r="D2205" i="1"/>
  <c r="D2204" i="1"/>
  <c r="D2203" i="1"/>
  <c r="D2202" i="1"/>
  <c r="D2201" i="1"/>
  <c r="D2200" i="1"/>
  <c r="D2199" i="1"/>
  <c r="D2198" i="1"/>
  <c r="D2197" i="1"/>
  <c r="D2196" i="1"/>
  <c r="D2195" i="1"/>
  <c r="D2194" i="1"/>
  <c r="D2193" i="1"/>
  <c r="D2192" i="1"/>
  <c r="D2191" i="1"/>
  <c r="D2190" i="1"/>
  <c r="D2189" i="1"/>
  <c r="D2188" i="1"/>
  <c r="D2187" i="1"/>
  <c r="D2186" i="1"/>
  <c r="D2185" i="1"/>
  <c r="D2184" i="1"/>
  <c r="D2183" i="1"/>
  <c r="D2182" i="1"/>
  <c r="D2181" i="1"/>
  <c r="D2180" i="1"/>
  <c r="D2179" i="1"/>
  <c r="D2178" i="1"/>
  <c r="D2177" i="1"/>
  <c r="D2176" i="1"/>
  <c r="D2175" i="1"/>
  <c r="D2174" i="1"/>
  <c r="D2173" i="1"/>
  <c r="D2172" i="1"/>
  <c r="D2171" i="1"/>
  <c r="D2170" i="1"/>
  <c r="D2169" i="1"/>
  <c r="D2168" i="1"/>
  <c r="D2167" i="1"/>
  <c r="D2166" i="1"/>
  <c r="D2165" i="1"/>
  <c r="D2164" i="1"/>
  <c r="D2163" i="1"/>
  <c r="D2162" i="1"/>
  <c r="D2161" i="1"/>
  <c r="D2160" i="1"/>
  <c r="D2159" i="1"/>
  <c r="D2158" i="1"/>
  <c r="D2157" i="1"/>
  <c r="D2156" i="1"/>
  <c r="D2155" i="1"/>
  <c r="D2154" i="1"/>
  <c r="D2153" i="1"/>
  <c r="D2152" i="1"/>
  <c r="D2151" i="1"/>
  <c r="D2150" i="1"/>
  <c r="D2149" i="1"/>
  <c r="D2148" i="1"/>
  <c r="D2147" i="1"/>
  <c r="D2146" i="1"/>
  <c r="D2145" i="1"/>
  <c r="D2144" i="1"/>
  <c r="D2143" i="1"/>
  <c r="D2142" i="1"/>
  <c r="D2141" i="1"/>
  <c r="D2140" i="1"/>
  <c r="D2139" i="1"/>
  <c r="D2138" i="1"/>
  <c r="D2137" i="1"/>
  <c r="D2136" i="1"/>
  <c r="D2135" i="1"/>
  <c r="D2134" i="1"/>
  <c r="D2133" i="1"/>
  <c r="D2132" i="1"/>
  <c r="D2131" i="1"/>
  <c r="D2130" i="1"/>
  <c r="D2129" i="1"/>
  <c r="D2128" i="1"/>
  <c r="D2127" i="1"/>
  <c r="D2126" i="1"/>
  <c r="D2125" i="1"/>
  <c r="D2124" i="1"/>
  <c r="D2123" i="1"/>
  <c r="D2122" i="1"/>
  <c r="D2121" i="1"/>
  <c r="D2120" i="1"/>
  <c r="D2119" i="1"/>
  <c r="D2118" i="1"/>
  <c r="D2117" i="1"/>
  <c r="D2116" i="1"/>
  <c r="D2115" i="1"/>
  <c r="D2114" i="1"/>
  <c r="D2113" i="1"/>
  <c r="D2112" i="1"/>
  <c r="D2111" i="1"/>
  <c r="D2110" i="1"/>
  <c r="D2109" i="1"/>
  <c r="D2108" i="1"/>
  <c r="D2107" i="1"/>
  <c r="D2106" i="1"/>
  <c r="D2105" i="1"/>
  <c r="D2104" i="1"/>
  <c r="D2103" i="1"/>
  <c r="D2102" i="1"/>
  <c r="D2101" i="1"/>
  <c r="D2100" i="1"/>
  <c r="D2099" i="1"/>
  <c r="D2098" i="1"/>
  <c r="D2097" i="1"/>
  <c r="D2096" i="1"/>
  <c r="D2095" i="1"/>
  <c r="D2094" i="1"/>
  <c r="D2093" i="1"/>
  <c r="D2092" i="1"/>
  <c r="D2091" i="1"/>
  <c r="D2090" i="1"/>
  <c r="D2089" i="1"/>
  <c r="D2088" i="1"/>
  <c r="D2087" i="1"/>
  <c r="D2086" i="1"/>
  <c r="D2085" i="1"/>
  <c r="D2084" i="1"/>
  <c r="D2083" i="1"/>
  <c r="D2082" i="1"/>
  <c r="D2081" i="1"/>
  <c r="D2080" i="1"/>
  <c r="D2079" i="1"/>
  <c r="D2078" i="1"/>
  <c r="D2077" i="1"/>
  <c r="D2076" i="1"/>
  <c r="D2075" i="1"/>
  <c r="D2074" i="1"/>
  <c r="D2073" i="1"/>
  <c r="D2072" i="1"/>
  <c r="D2071" i="1"/>
  <c r="D2070" i="1"/>
  <c r="D2069" i="1"/>
  <c r="D2068" i="1"/>
  <c r="D2067" i="1"/>
  <c r="D2066" i="1"/>
  <c r="D2065" i="1"/>
  <c r="D2064" i="1"/>
  <c r="D2063" i="1"/>
  <c r="D2062" i="1"/>
  <c r="D2061" i="1"/>
  <c r="D2060" i="1"/>
  <c r="D2059" i="1"/>
  <c r="D2058" i="1"/>
  <c r="D2057" i="1"/>
  <c r="D2056" i="1"/>
  <c r="D2055" i="1"/>
  <c r="D2054" i="1"/>
  <c r="D2053" i="1"/>
  <c r="D2052" i="1"/>
  <c r="D2051" i="1"/>
  <c r="D2050" i="1"/>
  <c r="D2049" i="1"/>
  <c r="D2048" i="1"/>
  <c r="D2047" i="1"/>
  <c r="D2046" i="1"/>
  <c r="D2045" i="1"/>
  <c r="D2044" i="1"/>
  <c r="D2043" i="1"/>
  <c r="D2042" i="1"/>
  <c r="D2041" i="1"/>
  <c r="D2040" i="1"/>
  <c r="D2039" i="1"/>
  <c r="D2038" i="1"/>
  <c r="D2037" i="1"/>
  <c r="D2036" i="1"/>
  <c r="D2035" i="1"/>
  <c r="D2034" i="1"/>
  <c r="D2033" i="1"/>
  <c r="D2032" i="1"/>
  <c r="D2031" i="1"/>
  <c r="D2030" i="1"/>
  <c r="D2029" i="1"/>
  <c r="D2028" i="1"/>
  <c r="D2027" i="1"/>
  <c r="D2026" i="1"/>
  <c r="D2025" i="1"/>
  <c r="D2024" i="1"/>
  <c r="D2023" i="1"/>
  <c r="D2022" i="1"/>
  <c r="D2021" i="1"/>
  <c r="D2020" i="1"/>
  <c r="D2019" i="1"/>
  <c r="D2018" i="1"/>
  <c r="D2017" i="1"/>
  <c r="D2016" i="1"/>
  <c r="D2015" i="1"/>
  <c r="D2014" i="1"/>
  <c r="D2013" i="1"/>
  <c r="D2012" i="1"/>
  <c r="D2011" i="1"/>
  <c r="D2010" i="1"/>
  <c r="D2009" i="1"/>
  <c r="D2008" i="1"/>
  <c r="D2007" i="1"/>
  <c r="D2006" i="1"/>
  <c r="D2005" i="1"/>
  <c r="D2004" i="1"/>
  <c r="D2003" i="1"/>
  <c r="D2002" i="1"/>
  <c r="D2001" i="1"/>
  <c r="D2000" i="1"/>
  <c r="D1999" i="1"/>
  <c r="D1998" i="1"/>
  <c r="D1997" i="1"/>
  <c r="D1996" i="1"/>
  <c r="D1995" i="1"/>
  <c r="D1994" i="1"/>
  <c r="D1993" i="1"/>
  <c r="D1992" i="1"/>
  <c r="D1991" i="1"/>
  <c r="D1990" i="1"/>
  <c r="D1989" i="1"/>
  <c r="D1988" i="1"/>
  <c r="D1987" i="1"/>
  <c r="D1986" i="1"/>
  <c r="D1985" i="1"/>
  <c r="D1984" i="1"/>
  <c r="D1983" i="1"/>
  <c r="D1982" i="1"/>
  <c r="D1981" i="1"/>
  <c r="D1980" i="1"/>
  <c r="D1979" i="1"/>
  <c r="D1978" i="1"/>
  <c r="D1977" i="1"/>
  <c r="D1976" i="1"/>
  <c r="D1975" i="1"/>
  <c r="D1974" i="1"/>
  <c r="D1973" i="1"/>
  <c r="D1972" i="1"/>
  <c r="D1971" i="1"/>
  <c r="D1970" i="1"/>
  <c r="D1969" i="1"/>
  <c r="D1968" i="1"/>
  <c r="D1967" i="1"/>
  <c r="D1966" i="1"/>
  <c r="D1965" i="1"/>
  <c r="D1964" i="1"/>
  <c r="D1963" i="1"/>
  <c r="D1962" i="1"/>
  <c r="D1961" i="1"/>
  <c r="D1960" i="1"/>
  <c r="D1959" i="1"/>
  <c r="D1958" i="1"/>
  <c r="D1957" i="1"/>
  <c r="D1956" i="1"/>
  <c r="D1955" i="1"/>
  <c r="D1954" i="1"/>
  <c r="D1953" i="1"/>
  <c r="D1952" i="1"/>
  <c r="D1951" i="1"/>
  <c r="D1950" i="1"/>
  <c r="D1949" i="1"/>
  <c r="D1948" i="1"/>
  <c r="D1947" i="1"/>
  <c r="D1946" i="1"/>
  <c r="D1945" i="1"/>
  <c r="D1944" i="1"/>
  <c r="D1943" i="1"/>
  <c r="D1942" i="1"/>
  <c r="D1941" i="1"/>
  <c r="D1940" i="1"/>
  <c r="D1939" i="1"/>
  <c r="D1938" i="1"/>
  <c r="D1937" i="1"/>
  <c r="D1936" i="1"/>
  <c r="D1935" i="1"/>
  <c r="D1934" i="1"/>
  <c r="D1933" i="1"/>
  <c r="D1932" i="1"/>
  <c r="D1931" i="1"/>
  <c r="D1930" i="1"/>
  <c r="D1929" i="1"/>
  <c r="D1928" i="1"/>
  <c r="D1927" i="1"/>
  <c r="D1926" i="1"/>
  <c r="D1925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906" i="1"/>
  <c r="D1905" i="1"/>
  <c r="D1904" i="1"/>
  <c r="D1903" i="1"/>
  <c r="D1902" i="1"/>
  <c r="D1901" i="1"/>
  <c r="D1900" i="1"/>
  <c r="D1899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9" i="1"/>
  <c r="D1878" i="1"/>
  <c r="D1877" i="1"/>
  <c r="D1876" i="1"/>
  <c r="D1875" i="1"/>
  <c r="D1874" i="1"/>
  <c r="D1873" i="1"/>
  <c r="D1872" i="1"/>
  <c r="D1871" i="1"/>
  <c r="D1870" i="1"/>
  <c r="D1869" i="1"/>
  <c r="D1868" i="1"/>
  <c r="D1867" i="1"/>
  <c r="D1866" i="1"/>
  <c r="D1865" i="1"/>
  <c r="D1864" i="1"/>
  <c r="D1863" i="1"/>
  <c r="D1862" i="1"/>
  <c r="D1861" i="1"/>
  <c r="D1860" i="1"/>
  <c r="D1859" i="1"/>
  <c r="D1858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9" i="1"/>
  <c r="D1838" i="1"/>
  <c r="D1837" i="1"/>
  <c r="D1836" i="1"/>
  <c r="D1835" i="1"/>
  <c r="D1834" i="1"/>
  <c r="D1833" i="1"/>
  <c r="D1832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2" i="1"/>
  <c r="D1811" i="1"/>
  <c r="D1810" i="1"/>
  <c r="D1809" i="1"/>
  <c r="D1808" i="1"/>
  <c r="D1807" i="1"/>
  <c r="D1806" i="1"/>
  <c r="D1805" i="1"/>
  <c r="D1804" i="1"/>
  <c r="D1803" i="1"/>
  <c r="D1802" i="1"/>
  <c r="D1801" i="1"/>
  <c r="D1800" i="1"/>
  <c r="D1799" i="1"/>
  <c r="D1798" i="1"/>
  <c r="D1797" i="1"/>
  <c r="D1796" i="1"/>
  <c r="D1795" i="1"/>
  <c r="D1794" i="1"/>
  <c r="D1793" i="1"/>
  <c r="D1792" i="1"/>
  <c r="D1791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72" i="1"/>
  <c r="D1771" i="1"/>
  <c r="D1770" i="1"/>
  <c r="D1769" i="1"/>
  <c r="D1768" i="1"/>
  <c r="D1767" i="1"/>
  <c r="D1766" i="1"/>
  <c r="D1765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5" i="1"/>
  <c r="D1744" i="1"/>
  <c r="D1743" i="1"/>
  <c r="D1742" i="1"/>
  <c r="D1741" i="1"/>
  <c r="D1740" i="1"/>
  <c r="D1739" i="1"/>
  <c r="D1738" i="1"/>
  <c r="D1737" i="1"/>
  <c r="D1736" i="1"/>
  <c r="D1735" i="1"/>
  <c r="D1734" i="1"/>
  <c r="D1733" i="1"/>
  <c r="D1732" i="1"/>
  <c r="D1731" i="1"/>
  <c r="D1730" i="1"/>
  <c r="D1729" i="1"/>
  <c r="D1728" i="1"/>
  <c r="D1727" i="1"/>
  <c r="D1726" i="1"/>
  <c r="D1725" i="1"/>
  <c r="D1724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705" i="1"/>
  <c r="D1704" i="1"/>
  <c r="D1703" i="1"/>
  <c r="D1702" i="1"/>
  <c r="D1701" i="1"/>
  <c r="D1700" i="1"/>
  <c r="D1699" i="1"/>
  <c r="D1698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8" i="1"/>
  <c r="D1677" i="1"/>
  <c r="D1676" i="1"/>
  <c r="D1675" i="1"/>
  <c r="D1674" i="1"/>
  <c r="D1673" i="1"/>
  <c r="D1672" i="1"/>
  <c r="D1671" i="1"/>
  <c r="D1670" i="1"/>
  <c r="D1669" i="1"/>
  <c r="D1668" i="1"/>
  <c r="D1667" i="1"/>
  <c r="D1666" i="1"/>
  <c r="D1665" i="1"/>
  <c r="D1664" i="1"/>
  <c r="D1663" i="1"/>
  <c r="D1662" i="1"/>
  <c r="D1661" i="1"/>
  <c r="D1660" i="1"/>
  <c r="D1659" i="1"/>
  <c r="D1658" i="1"/>
  <c r="D1657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8" i="1"/>
  <c r="D1637" i="1"/>
  <c r="D1636" i="1"/>
  <c r="D1635" i="1"/>
  <c r="D1634" i="1"/>
  <c r="D1633" i="1"/>
  <c r="D1632" i="1"/>
  <c r="D1631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1" i="1"/>
  <c r="D1610" i="1"/>
  <c r="D1609" i="1"/>
  <c r="D1608" i="1"/>
  <c r="D1607" i="1"/>
  <c r="D1606" i="1"/>
  <c r="D1605" i="1"/>
  <c r="D1604" i="1"/>
  <c r="D1603" i="1"/>
  <c r="D1602" i="1"/>
  <c r="D1601" i="1"/>
  <c r="D1600" i="1"/>
  <c r="D1599" i="1"/>
  <c r="D1598" i="1"/>
  <c r="D1597" i="1"/>
  <c r="D1596" i="1"/>
  <c r="D1595" i="1"/>
  <c r="D1594" i="1"/>
  <c r="D1593" i="1"/>
  <c r="D1592" i="1"/>
  <c r="D1591" i="1"/>
  <c r="D1590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71" i="1"/>
  <c r="D1570" i="1"/>
  <c r="D1569" i="1"/>
  <c r="D1568" i="1"/>
  <c r="D1567" i="1"/>
  <c r="D1566" i="1"/>
  <c r="D1565" i="1"/>
  <c r="D1564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4" i="1"/>
  <c r="D1543" i="1"/>
  <c r="D1542" i="1"/>
  <c r="D1541" i="1"/>
  <c r="D1540" i="1"/>
  <c r="D1539" i="1"/>
  <c r="D1538" i="1"/>
  <c r="D1537" i="1"/>
  <c r="D1536" i="1"/>
  <c r="D1535" i="1"/>
  <c r="D1534" i="1"/>
  <c r="D1533" i="1"/>
  <c r="D1532" i="1"/>
  <c r="D1531" i="1"/>
  <c r="D1530" i="1"/>
  <c r="D1529" i="1"/>
  <c r="D1528" i="1"/>
  <c r="D1527" i="1"/>
  <c r="D1526" i="1"/>
  <c r="D1525" i="1"/>
  <c r="D1524" i="1"/>
  <c r="D1523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504" i="1"/>
  <c r="D1503" i="1"/>
  <c r="D1502" i="1"/>
  <c r="D1501" i="1"/>
  <c r="D1500" i="1"/>
  <c r="D1499" i="1"/>
  <c r="D1498" i="1"/>
  <c r="D1497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1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9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G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G1" i="1"/>
  <c r="C3" i="1"/>
  <c r="H15" i="1" l="1"/>
  <c r="H134" i="1"/>
  <c r="H126" i="1"/>
  <c r="H118" i="1"/>
  <c r="H110" i="1"/>
  <c r="H102" i="1"/>
  <c r="H94" i="1"/>
  <c r="H86" i="1"/>
  <c r="H78" i="1"/>
  <c r="H70" i="1"/>
  <c r="H62" i="1"/>
  <c r="H54" i="1"/>
  <c r="H46" i="1"/>
  <c r="H38" i="1"/>
  <c r="H30" i="1"/>
  <c r="H22" i="1"/>
  <c r="H14" i="1"/>
  <c r="H119" i="1"/>
  <c r="H87" i="1"/>
  <c r="H47" i="1"/>
  <c r="H133" i="1"/>
  <c r="H125" i="1"/>
  <c r="H117" i="1"/>
  <c r="H109" i="1"/>
  <c r="H101" i="1"/>
  <c r="H93" i="1"/>
  <c r="H85" i="1"/>
  <c r="H77" i="1"/>
  <c r="H69" i="1"/>
  <c r="H61" i="1"/>
  <c r="H53" i="1"/>
  <c r="H45" i="1"/>
  <c r="H37" i="1"/>
  <c r="H29" i="1"/>
  <c r="H21" i="1"/>
  <c r="H13" i="1"/>
  <c r="H39" i="1"/>
  <c r="H132" i="1"/>
  <c r="H124" i="1"/>
  <c r="H116" i="1"/>
  <c r="H108" i="1"/>
  <c r="H100" i="1"/>
  <c r="H92" i="1"/>
  <c r="H84" i="1"/>
  <c r="H76" i="1"/>
  <c r="H68" i="1"/>
  <c r="H60" i="1"/>
  <c r="H52" i="1"/>
  <c r="H44" i="1"/>
  <c r="H36" i="1"/>
  <c r="H28" i="1"/>
  <c r="H20" i="1"/>
  <c r="H12" i="1"/>
  <c r="H63" i="1"/>
  <c r="H131" i="1"/>
  <c r="H123" i="1"/>
  <c r="H115" i="1"/>
  <c r="H107" i="1"/>
  <c r="H99" i="1"/>
  <c r="H91" i="1"/>
  <c r="H83" i="1"/>
  <c r="H75" i="1"/>
  <c r="H67" i="1"/>
  <c r="H59" i="1"/>
  <c r="H51" i="1"/>
  <c r="H43" i="1"/>
  <c r="H35" i="1"/>
  <c r="H27" i="1"/>
  <c r="H19" i="1"/>
  <c r="H11" i="1"/>
  <c r="H135" i="1"/>
  <c r="H111" i="1"/>
  <c r="H79" i="1"/>
  <c r="H31" i="1"/>
  <c r="H130" i="1"/>
  <c r="H122" i="1"/>
  <c r="H114" i="1"/>
  <c r="H106" i="1"/>
  <c r="H98" i="1"/>
  <c r="H90" i="1"/>
  <c r="H82" i="1"/>
  <c r="H74" i="1"/>
  <c r="H66" i="1"/>
  <c r="H58" i="1"/>
  <c r="H50" i="1"/>
  <c r="H42" i="1"/>
  <c r="H34" i="1"/>
  <c r="H26" i="1"/>
  <c r="H18" i="1"/>
  <c r="H10" i="1"/>
  <c r="H127" i="1"/>
  <c r="H103" i="1"/>
  <c r="H95" i="1"/>
  <c r="H71" i="1"/>
  <c r="H55" i="1"/>
  <c r="H129" i="1"/>
  <c r="H121" i="1"/>
  <c r="H113" i="1"/>
  <c r="H105" i="1"/>
  <c r="H97" i="1"/>
  <c r="H89" i="1"/>
  <c r="H81" i="1"/>
  <c r="H73" i="1"/>
  <c r="H65" i="1"/>
  <c r="H57" i="1"/>
  <c r="H49" i="1"/>
  <c r="H41" i="1"/>
  <c r="H33" i="1"/>
  <c r="H25" i="1"/>
  <c r="H17" i="1"/>
  <c r="H9" i="1"/>
  <c r="H23" i="1"/>
  <c r="H128" i="1"/>
  <c r="H120" i="1"/>
  <c r="H112" i="1"/>
  <c r="H104" i="1"/>
  <c r="H96" i="1"/>
  <c r="H88" i="1"/>
  <c r="H80" i="1"/>
  <c r="H72" i="1"/>
  <c r="H64" i="1"/>
  <c r="H56" i="1"/>
  <c r="H48" i="1"/>
  <c r="H40" i="1"/>
  <c r="H32" i="1"/>
  <c r="H24" i="1"/>
  <c r="H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Wilmott</author>
  </authors>
  <commentList>
    <comment ref="G1" authorId="0" shapeId="0" xr:uid="{4069F2C9-6AE2-4EA5-ABD3-C5FE0CA6C239}">
      <text>
        <r>
          <rPr>
            <sz val="9"/>
            <color indexed="81"/>
            <rFont val="Tahoma"/>
            <charset val="1"/>
          </rPr>
          <t>=AVERAGE(C:C)</t>
        </r>
      </text>
    </comment>
    <comment ref="G2" authorId="0" shapeId="0" xr:uid="{FAB377F0-6BE8-4D63-96BB-0D09E5DF8EAF}">
      <text>
        <r>
          <rPr>
            <sz val="9"/>
            <color indexed="81"/>
            <rFont val="Tahoma"/>
            <charset val="1"/>
          </rPr>
          <t>=STDEV(C:C)</t>
        </r>
      </text>
    </comment>
    <comment ref="C3" authorId="0" shapeId="0" xr:uid="{C047E106-E4DE-46FC-997C-4130229FA8A4}">
      <text>
        <r>
          <rPr>
            <sz val="9"/>
            <color indexed="81"/>
            <rFont val="Tahoma"/>
            <charset val="1"/>
          </rPr>
          <t>=(B3-B2)/B2</t>
        </r>
      </text>
    </comment>
    <comment ref="D3" authorId="0" shapeId="0" xr:uid="{EA6C5DCB-4410-47A2-9601-A45F4FA2726C}">
      <text>
        <r>
          <rPr>
            <sz val="9"/>
            <color indexed="81"/>
            <rFont val="Tahoma"/>
            <charset val="1"/>
          </rPr>
          <t>=(C3-meanrtn)/stdevrtns</t>
        </r>
      </text>
    </comment>
    <comment ref="G3" authorId="0" shapeId="0" xr:uid="{0830A982-2A8D-404B-9990-A7A19227AE5B}">
      <text>
        <r>
          <rPr>
            <sz val="9"/>
            <color indexed="81"/>
            <rFont val="Tahoma"/>
            <charset val="1"/>
          </rPr>
          <t>=MIN(D:D)</t>
        </r>
      </text>
    </comment>
    <comment ref="G4" authorId="0" shapeId="0" xr:uid="{A9072345-94F8-411D-B88A-3A7D50B19DFD}">
      <text>
        <r>
          <rPr>
            <sz val="9"/>
            <color indexed="81"/>
            <rFont val="Tahoma"/>
            <charset val="1"/>
          </rPr>
          <t>=MAX(D:D)</t>
        </r>
      </text>
    </comment>
    <comment ref="G5" authorId="0" shapeId="0" xr:uid="{BBFE0B66-A4B4-4C11-873E-A38C64CCD1B3}">
      <text>
        <r>
          <rPr>
            <sz val="9"/>
            <color indexed="81"/>
            <rFont val="Tahoma"/>
            <charset val="1"/>
          </rPr>
          <t>=(G4-G3)/100</t>
        </r>
      </text>
    </comment>
    <comment ref="F8" authorId="0" shapeId="0" xr:uid="{91BC34F3-F474-42E3-919E-0FBE560F1092}">
      <text>
        <r>
          <rPr>
            <sz val="9"/>
            <color indexed="81"/>
            <rFont val="Tahoma"/>
            <charset val="1"/>
          </rPr>
          <t>=G3</t>
        </r>
      </text>
    </comment>
    <comment ref="G8" authorId="0" shapeId="0" xr:uid="{7E1D9498-EF63-4E99-9798-C359EDDABB5D}">
      <text>
        <r>
          <rPr>
            <sz val="9"/>
            <color indexed="81"/>
            <rFont val="Tahoma"/>
            <charset val="1"/>
          </rPr>
          <t>=F8-0.5*bucketwidth</t>
        </r>
      </text>
    </comment>
    <comment ref="H8" authorId="0" shapeId="0" xr:uid="{B90497FE-1B74-426C-BD5E-CC9B9B815999}">
      <text>
        <r>
          <rPr>
            <sz val="9"/>
            <color indexed="81"/>
            <rFont val="Tahoma"/>
            <charset val="1"/>
          </rPr>
          <t>=FREQUENCY(D3:D4978,F8:F135)</t>
        </r>
      </text>
    </comment>
    <comment ref="I8" authorId="0" shapeId="0" xr:uid="{26A790C0-8368-431F-876A-54D12BC4D482}">
      <text>
        <r>
          <rPr>
            <sz val="9"/>
            <color indexed="81"/>
            <rFont val="Tahoma"/>
            <charset val="1"/>
          </rPr>
          <t>=H8/numdata/bucketwidth</t>
        </r>
      </text>
    </comment>
    <comment ref="F9" authorId="0" shapeId="0" xr:uid="{3D94D11E-38DD-4924-B233-F2A3337DE566}">
      <text>
        <r>
          <rPr>
            <sz val="9"/>
            <color indexed="81"/>
            <rFont val="Tahoma"/>
            <charset val="1"/>
          </rPr>
          <t>=F8+bucketwidth</t>
        </r>
      </text>
    </comment>
  </commentList>
</comments>
</file>

<file path=xl/sharedStrings.xml><?xml version="1.0" encoding="utf-8"?>
<sst xmlns="http://schemas.openxmlformats.org/spreadsheetml/2006/main" count="14" uniqueCount="14">
  <si>
    <t>Date</t>
  </si>
  <si>
    <t>Adj Close</t>
  </si>
  <si>
    <t>Rtn</t>
  </si>
  <si>
    <t>Mean</t>
  </si>
  <si>
    <t>Std Dev</t>
  </si>
  <si>
    <t>Scaled rtns</t>
  </si>
  <si>
    <t>Minimum</t>
  </si>
  <si>
    <t>Maximum</t>
  </si>
  <si>
    <t>Bucket width</t>
  </si>
  <si>
    <t>Bucket</t>
  </si>
  <si>
    <t>Freq</t>
  </si>
  <si>
    <t>PDF</t>
  </si>
  <si>
    <t>Count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</si>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</sst>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'GBPUSD=X'!$G$8:$G$135</c:f>
              <c:numCache>
                <c:formatCode>General</c:formatCode>
                <c:ptCount val="128"/>
                <c:pt idx="0">
                  <c:v>-12.687077608284326</c:v>
                </c:pt>
                <c:pt idx="1">
                  <c:v>-12.502275339924353</c:v>
                </c:pt>
                <c:pt idx="2">
                  <c:v>-12.317473071564379</c:v>
                </c:pt>
                <c:pt idx="3">
                  <c:v>-12.132670803204405</c:v>
                </c:pt>
                <c:pt idx="4">
                  <c:v>-11.947868534844432</c:v>
                </c:pt>
                <c:pt idx="5">
                  <c:v>-11.763066266484458</c:v>
                </c:pt>
                <c:pt idx="6">
                  <c:v>-11.578263998124484</c:v>
                </c:pt>
                <c:pt idx="7">
                  <c:v>-11.39346172976451</c:v>
                </c:pt>
                <c:pt idx="8">
                  <c:v>-11.208659461404537</c:v>
                </c:pt>
                <c:pt idx="9">
                  <c:v>-11.023857193044563</c:v>
                </c:pt>
                <c:pt idx="10">
                  <c:v>-10.839054924684589</c:v>
                </c:pt>
                <c:pt idx="11">
                  <c:v>-10.654252656324616</c:v>
                </c:pt>
                <c:pt idx="12">
                  <c:v>-10.469450387964642</c:v>
                </c:pt>
                <c:pt idx="13">
                  <c:v>-10.284648119604668</c:v>
                </c:pt>
                <c:pt idx="14">
                  <c:v>-10.099845851244694</c:v>
                </c:pt>
                <c:pt idx="15">
                  <c:v>-9.9150435828847208</c:v>
                </c:pt>
                <c:pt idx="16">
                  <c:v>-9.7302413145247471</c:v>
                </c:pt>
                <c:pt idx="17">
                  <c:v>-9.5454390461647733</c:v>
                </c:pt>
                <c:pt idx="18">
                  <c:v>-9.3606367778047996</c:v>
                </c:pt>
                <c:pt idx="19">
                  <c:v>-9.1758345094448259</c:v>
                </c:pt>
                <c:pt idx="20">
                  <c:v>-8.9910322410848522</c:v>
                </c:pt>
                <c:pt idx="21">
                  <c:v>-8.8062299727248785</c:v>
                </c:pt>
                <c:pt idx="22">
                  <c:v>-8.6214277043649048</c:v>
                </c:pt>
                <c:pt idx="23">
                  <c:v>-8.4366254360049311</c:v>
                </c:pt>
                <c:pt idx="24">
                  <c:v>-8.2518231676449574</c:v>
                </c:pt>
                <c:pt idx="25">
                  <c:v>-8.0670208992849837</c:v>
                </c:pt>
                <c:pt idx="26">
                  <c:v>-7.8822186309250117</c:v>
                </c:pt>
                <c:pt idx="27">
                  <c:v>-7.6974163625650389</c:v>
                </c:pt>
                <c:pt idx="28">
                  <c:v>-7.5126140942050661</c:v>
                </c:pt>
                <c:pt idx="29">
                  <c:v>-7.3278118258450933</c:v>
                </c:pt>
                <c:pt idx="30">
                  <c:v>-7.1430095574851205</c:v>
                </c:pt>
                <c:pt idx="31">
                  <c:v>-6.9582072891251476</c:v>
                </c:pt>
                <c:pt idx="32">
                  <c:v>-6.7734050207651748</c:v>
                </c:pt>
                <c:pt idx="33">
                  <c:v>-6.588602752405202</c:v>
                </c:pt>
                <c:pt idx="34">
                  <c:v>-6.4038004840452292</c:v>
                </c:pt>
                <c:pt idx="35">
                  <c:v>-6.2189982156852563</c:v>
                </c:pt>
                <c:pt idx="36">
                  <c:v>-6.0341959473252835</c:v>
                </c:pt>
                <c:pt idx="37">
                  <c:v>-5.8493936789653107</c:v>
                </c:pt>
                <c:pt idx="38">
                  <c:v>-5.6645914106053379</c:v>
                </c:pt>
                <c:pt idx="39">
                  <c:v>-5.4797891422453651</c:v>
                </c:pt>
                <c:pt idx="40">
                  <c:v>-5.2949868738853922</c:v>
                </c:pt>
                <c:pt idx="41">
                  <c:v>-5.1101846055254194</c:v>
                </c:pt>
                <c:pt idx="42">
                  <c:v>-4.9253823371654466</c:v>
                </c:pt>
                <c:pt idx="43">
                  <c:v>-4.7405800688054738</c:v>
                </c:pt>
                <c:pt idx="44">
                  <c:v>-4.555777800445501</c:v>
                </c:pt>
                <c:pt idx="45">
                  <c:v>-4.3709755320855281</c:v>
                </c:pt>
                <c:pt idx="46">
                  <c:v>-4.1861732637255553</c:v>
                </c:pt>
                <c:pt idx="47">
                  <c:v>-4.0013709953655816</c:v>
                </c:pt>
                <c:pt idx="48">
                  <c:v>-3.8165687270056083</c:v>
                </c:pt>
                <c:pt idx="49">
                  <c:v>-3.6317664586456351</c:v>
                </c:pt>
                <c:pt idx="50">
                  <c:v>-3.4469641902856618</c:v>
                </c:pt>
                <c:pt idx="51">
                  <c:v>-3.2621619219256885</c:v>
                </c:pt>
                <c:pt idx="52">
                  <c:v>-3.0773596535657153</c:v>
                </c:pt>
                <c:pt idx="53">
                  <c:v>-2.892557385205742</c:v>
                </c:pt>
                <c:pt idx="54">
                  <c:v>-2.7077551168457688</c:v>
                </c:pt>
                <c:pt idx="55">
                  <c:v>-2.5229528484857955</c:v>
                </c:pt>
                <c:pt idx="56">
                  <c:v>-2.3381505801258222</c:v>
                </c:pt>
                <c:pt idx="57">
                  <c:v>-2.153348311765849</c:v>
                </c:pt>
                <c:pt idx="58">
                  <c:v>-1.9685460434058761</c:v>
                </c:pt>
                <c:pt idx="59">
                  <c:v>-1.7837437750459031</c:v>
                </c:pt>
                <c:pt idx="60">
                  <c:v>-1.59894150668593</c:v>
                </c:pt>
                <c:pt idx="61">
                  <c:v>-1.414139238325957</c:v>
                </c:pt>
                <c:pt idx="62">
                  <c:v>-1.229336969965984</c:v>
                </c:pt>
                <c:pt idx="63">
                  <c:v>-1.0445347016060109</c:v>
                </c:pt>
                <c:pt idx="64">
                  <c:v>-0.85973243324603776</c:v>
                </c:pt>
                <c:pt idx="65">
                  <c:v>-0.67493016488606472</c:v>
                </c:pt>
                <c:pt idx="66">
                  <c:v>-0.49012789652609168</c:v>
                </c:pt>
                <c:pt idx="67">
                  <c:v>-0.30532562816611852</c:v>
                </c:pt>
                <c:pt idx="68">
                  <c:v>-0.12052335980614545</c:v>
                </c:pt>
                <c:pt idx="69">
                  <c:v>6.4278908553827646E-2</c:v>
                </c:pt>
                <c:pt idx="70">
                  <c:v>0.24908117691380074</c:v>
                </c:pt>
                <c:pt idx="71">
                  <c:v>0.43388344527377387</c:v>
                </c:pt>
                <c:pt idx="72">
                  <c:v>0.61868571363374703</c:v>
                </c:pt>
                <c:pt idx="73">
                  <c:v>0.80348798199372007</c:v>
                </c:pt>
                <c:pt idx="74">
                  <c:v>0.98829025035369311</c:v>
                </c:pt>
                <c:pt idx="75">
                  <c:v>1.173092518713666</c:v>
                </c:pt>
                <c:pt idx="76">
                  <c:v>1.3578947870736391</c:v>
                </c:pt>
                <c:pt idx="77">
                  <c:v>1.5426970554336121</c:v>
                </c:pt>
                <c:pt idx="78">
                  <c:v>1.7274993237935852</c:v>
                </c:pt>
                <c:pt idx="79">
                  <c:v>1.9123015921535582</c:v>
                </c:pt>
                <c:pt idx="80">
                  <c:v>2.0971038605135317</c:v>
                </c:pt>
                <c:pt idx="81">
                  <c:v>2.281906128873505</c:v>
                </c:pt>
                <c:pt idx="82">
                  <c:v>2.4667083972334782</c:v>
                </c:pt>
                <c:pt idx="83">
                  <c:v>2.6515106655934515</c:v>
                </c:pt>
                <c:pt idx="84">
                  <c:v>2.8363129339534248</c:v>
                </c:pt>
                <c:pt idx="85">
                  <c:v>3.021115202313398</c:v>
                </c:pt>
                <c:pt idx="86">
                  <c:v>3.2059174706733713</c:v>
                </c:pt>
                <c:pt idx="87">
                  <c:v>3.3907197390333446</c:v>
                </c:pt>
                <c:pt idx="88">
                  <c:v>3.5755220073933178</c:v>
                </c:pt>
                <c:pt idx="89">
                  <c:v>3.7603242757532911</c:v>
                </c:pt>
                <c:pt idx="90">
                  <c:v>3.9451265441132644</c:v>
                </c:pt>
                <c:pt idx="91">
                  <c:v>4.1299288124732367</c:v>
                </c:pt>
                <c:pt idx="92">
                  <c:v>4.3147310808332096</c:v>
                </c:pt>
                <c:pt idx="93">
                  <c:v>4.4995333491931824</c:v>
                </c:pt>
                <c:pt idx="94">
                  <c:v>4.6843356175531552</c:v>
                </c:pt>
                <c:pt idx="95">
                  <c:v>4.869137885913128</c:v>
                </c:pt>
                <c:pt idx="96">
                  <c:v>5.0539401542731008</c:v>
                </c:pt>
                <c:pt idx="97">
                  <c:v>5.2387424226330737</c:v>
                </c:pt>
                <c:pt idx="98">
                  <c:v>5.4235446909930465</c:v>
                </c:pt>
                <c:pt idx="99">
                  <c:v>5.6083469593530193</c:v>
                </c:pt>
                <c:pt idx="100">
                  <c:v>5.7931492277129921</c:v>
                </c:pt>
                <c:pt idx="101">
                  <c:v>5.9779514960729649</c:v>
                </c:pt>
                <c:pt idx="102">
                  <c:v>6.1627537644329378</c:v>
                </c:pt>
                <c:pt idx="103">
                  <c:v>6.3475560327929106</c:v>
                </c:pt>
                <c:pt idx="104">
                  <c:v>6.5323583011528834</c:v>
                </c:pt>
                <c:pt idx="105">
                  <c:v>6.7171605695128562</c:v>
                </c:pt>
                <c:pt idx="106">
                  <c:v>6.901962837872829</c:v>
                </c:pt>
                <c:pt idx="107">
                  <c:v>7.0867651062328019</c:v>
                </c:pt>
                <c:pt idx="108">
                  <c:v>7.2715673745927747</c:v>
                </c:pt>
                <c:pt idx="109">
                  <c:v>7.4563696429527475</c:v>
                </c:pt>
                <c:pt idx="110">
                  <c:v>7.6411719113127203</c:v>
                </c:pt>
                <c:pt idx="111">
                  <c:v>7.8259741796726932</c:v>
                </c:pt>
                <c:pt idx="112">
                  <c:v>8.0107764480326669</c:v>
                </c:pt>
                <c:pt idx="113">
                  <c:v>8.1955787163926406</c:v>
                </c:pt>
                <c:pt idx="114">
                  <c:v>8.3803809847526143</c:v>
                </c:pt>
                <c:pt idx="115">
                  <c:v>8.565183253112588</c:v>
                </c:pt>
                <c:pt idx="116">
                  <c:v>8.7499855214725617</c:v>
                </c:pt>
                <c:pt idx="117">
                  <c:v>8.9347877898325354</c:v>
                </c:pt>
                <c:pt idx="118">
                  <c:v>9.1195900581925091</c:v>
                </c:pt>
                <c:pt idx="119">
                  <c:v>9.3043923265524828</c:v>
                </c:pt>
                <c:pt idx="120">
                  <c:v>9.4891945949124565</c:v>
                </c:pt>
                <c:pt idx="121">
                  <c:v>9.6739968632724302</c:v>
                </c:pt>
                <c:pt idx="122">
                  <c:v>9.858799131632404</c:v>
                </c:pt>
                <c:pt idx="123">
                  <c:v>10.043601399992378</c:v>
                </c:pt>
                <c:pt idx="124">
                  <c:v>10.228403668352351</c:v>
                </c:pt>
                <c:pt idx="125">
                  <c:v>10.413205936712325</c:v>
                </c:pt>
                <c:pt idx="126">
                  <c:v>10.598008205072299</c:v>
                </c:pt>
                <c:pt idx="127">
                  <c:v>10.782810473432273</c:v>
                </c:pt>
              </c:numCache>
            </c:numRef>
          </c:xVal>
          <c:yVal>
            <c:numRef>
              <c:f>'GBPUSD=X'!$I$8:$I$135</c:f>
              <c:numCache>
                <c:formatCode>General</c:formatCode>
                <c:ptCount val="128"/>
                <c:pt idx="0">
                  <c:v>1.0874575945876645E-3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2.174915189175329E-3</c:v>
                </c:pt>
                <c:pt idx="33">
                  <c:v>0</c:v>
                </c:pt>
                <c:pt idx="34">
                  <c:v>0</c:v>
                </c:pt>
                <c:pt idx="35">
                  <c:v>1.0874575945876645E-3</c:v>
                </c:pt>
                <c:pt idx="36">
                  <c:v>0</c:v>
                </c:pt>
                <c:pt idx="37">
                  <c:v>0</c:v>
                </c:pt>
                <c:pt idx="38">
                  <c:v>1.0874575945876645E-3</c:v>
                </c:pt>
                <c:pt idx="39">
                  <c:v>0</c:v>
                </c:pt>
                <c:pt idx="40">
                  <c:v>0</c:v>
                </c:pt>
                <c:pt idx="41">
                  <c:v>1.0874575945876645E-3</c:v>
                </c:pt>
                <c:pt idx="42">
                  <c:v>0</c:v>
                </c:pt>
                <c:pt idx="43">
                  <c:v>2.174915189175329E-3</c:v>
                </c:pt>
                <c:pt idx="44">
                  <c:v>1.0874575945876645E-3</c:v>
                </c:pt>
                <c:pt idx="45">
                  <c:v>1.0874575945876645E-3</c:v>
                </c:pt>
                <c:pt idx="46">
                  <c:v>1.0874575945876645E-3</c:v>
                </c:pt>
                <c:pt idx="47">
                  <c:v>3.2623727837629937E-3</c:v>
                </c:pt>
                <c:pt idx="48">
                  <c:v>1.0874575945876645E-3</c:v>
                </c:pt>
                <c:pt idx="49">
                  <c:v>0</c:v>
                </c:pt>
                <c:pt idx="50">
                  <c:v>4.3498303783506579E-3</c:v>
                </c:pt>
                <c:pt idx="51">
                  <c:v>8.6996607567013159E-3</c:v>
                </c:pt>
                <c:pt idx="52">
                  <c:v>9.7871183512889797E-3</c:v>
                </c:pt>
                <c:pt idx="53">
                  <c:v>6.5247455675259873E-3</c:v>
                </c:pt>
                <c:pt idx="54">
                  <c:v>1.3049491135051975E-2</c:v>
                </c:pt>
                <c:pt idx="55">
                  <c:v>1.7399321513402632E-2</c:v>
                </c:pt>
                <c:pt idx="56">
                  <c:v>1.8486779107990296E-2</c:v>
                </c:pt>
                <c:pt idx="57">
                  <c:v>1.7399321513402632E-2</c:v>
                </c:pt>
                <c:pt idx="58">
                  <c:v>4.241084618891891E-2</c:v>
                </c:pt>
                <c:pt idx="59">
                  <c:v>6.5247455675259858E-2</c:v>
                </c:pt>
                <c:pt idx="60">
                  <c:v>8.1559319594074836E-2</c:v>
                </c:pt>
                <c:pt idx="61">
                  <c:v>8.0471861999487165E-2</c:v>
                </c:pt>
                <c:pt idx="62">
                  <c:v>0.13919457210722105</c:v>
                </c:pt>
                <c:pt idx="63">
                  <c:v>0.17943050310696462</c:v>
                </c:pt>
                <c:pt idx="64">
                  <c:v>0.25772744991727647</c:v>
                </c:pt>
                <c:pt idx="65">
                  <c:v>0.30992541445748434</c:v>
                </c:pt>
                <c:pt idx="66">
                  <c:v>0.38169761570027022</c:v>
                </c:pt>
                <c:pt idx="67">
                  <c:v>0.45673218972681906</c:v>
                </c:pt>
                <c:pt idx="68">
                  <c:v>0.49588066313197499</c:v>
                </c:pt>
                <c:pt idx="69">
                  <c:v>0.52524201818584193</c:v>
                </c:pt>
                <c:pt idx="70">
                  <c:v>0.45238235934846838</c:v>
                </c:pt>
                <c:pt idx="71">
                  <c:v>0.4371579530242411</c:v>
                </c:pt>
                <c:pt idx="72">
                  <c:v>0.32188744799794866</c:v>
                </c:pt>
                <c:pt idx="73">
                  <c:v>0.27838914421444211</c:v>
                </c:pt>
                <c:pt idx="74">
                  <c:v>0.21531660372835754</c:v>
                </c:pt>
                <c:pt idx="75">
                  <c:v>0.14136948729639637</c:v>
                </c:pt>
                <c:pt idx="76">
                  <c:v>0.10657084426959111</c:v>
                </c:pt>
                <c:pt idx="77">
                  <c:v>9.3521353134539145E-2</c:v>
                </c:pt>
                <c:pt idx="78">
                  <c:v>6.9597286053610527E-2</c:v>
                </c:pt>
                <c:pt idx="79">
                  <c:v>4.3498303783506574E-2</c:v>
                </c:pt>
                <c:pt idx="80">
                  <c:v>3.2623727837629929E-2</c:v>
                </c:pt>
                <c:pt idx="81">
                  <c:v>2.1749151891753287E-2</c:v>
                </c:pt>
                <c:pt idx="82">
                  <c:v>1.7399321513402632E-2</c:v>
                </c:pt>
                <c:pt idx="83">
                  <c:v>1.3049491135051975E-2</c:v>
                </c:pt>
                <c:pt idx="84">
                  <c:v>1.0874575945876644E-2</c:v>
                </c:pt>
                <c:pt idx="85">
                  <c:v>6.5247455675259873E-3</c:v>
                </c:pt>
                <c:pt idx="86">
                  <c:v>2.174915189175329E-3</c:v>
                </c:pt>
                <c:pt idx="87">
                  <c:v>8.6996607567013159E-3</c:v>
                </c:pt>
                <c:pt idx="88">
                  <c:v>1.0874575945876645E-3</c:v>
                </c:pt>
                <c:pt idx="89">
                  <c:v>2.174915189175329E-3</c:v>
                </c:pt>
                <c:pt idx="90">
                  <c:v>2.174915189175329E-3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3.2623727837629937E-3</c:v>
                </c:pt>
                <c:pt idx="96">
                  <c:v>1.0874575945876645E-3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1.0874575945876645E-3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99-46E8-B280-9E55FB4B9EF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'GBPUSD=X'!$G$8:$G$135</c:f>
              <c:numCache>
                <c:formatCode>General</c:formatCode>
                <c:ptCount val="128"/>
                <c:pt idx="0">
                  <c:v>-12.687077608284326</c:v>
                </c:pt>
                <c:pt idx="1">
                  <c:v>-12.502275339924353</c:v>
                </c:pt>
                <c:pt idx="2">
                  <c:v>-12.317473071564379</c:v>
                </c:pt>
                <c:pt idx="3">
                  <c:v>-12.132670803204405</c:v>
                </c:pt>
                <c:pt idx="4">
                  <c:v>-11.947868534844432</c:v>
                </c:pt>
                <c:pt idx="5">
                  <c:v>-11.763066266484458</c:v>
                </c:pt>
                <c:pt idx="6">
                  <c:v>-11.578263998124484</c:v>
                </c:pt>
                <c:pt idx="7">
                  <c:v>-11.39346172976451</c:v>
                </c:pt>
                <c:pt idx="8">
                  <c:v>-11.208659461404537</c:v>
                </c:pt>
                <c:pt idx="9">
                  <c:v>-11.023857193044563</c:v>
                </c:pt>
                <c:pt idx="10">
                  <c:v>-10.839054924684589</c:v>
                </c:pt>
                <c:pt idx="11">
                  <c:v>-10.654252656324616</c:v>
                </c:pt>
                <c:pt idx="12">
                  <c:v>-10.469450387964642</c:v>
                </c:pt>
                <c:pt idx="13">
                  <c:v>-10.284648119604668</c:v>
                </c:pt>
                <c:pt idx="14">
                  <c:v>-10.099845851244694</c:v>
                </c:pt>
                <c:pt idx="15">
                  <c:v>-9.9150435828847208</c:v>
                </c:pt>
                <c:pt idx="16">
                  <c:v>-9.7302413145247471</c:v>
                </c:pt>
                <c:pt idx="17">
                  <c:v>-9.5454390461647733</c:v>
                </c:pt>
                <c:pt idx="18">
                  <c:v>-9.3606367778047996</c:v>
                </c:pt>
                <c:pt idx="19">
                  <c:v>-9.1758345094448259</c:v>
                </c:pt>
                <c:pt idx="20">
                  <c:v>-8.9910322410848522</c:v>
                </c:pt>
                <c:pt idx="21">
                  <c:v>-8.8062299727248785</c:v>
                </c:pt>
                <c:pt idx="22">
                  <c:v>-8.6214277043649048</c:v>
                </c:pt>
                <c:pt idx="23">
                  <c:v>-8.4366254360049311</c:v>
                </c:pt>
                <c:pt idx="24">
                  <c:v>-8.2518231676449574</c:v>
                </c:pt>
                <c:pt idx="25">
                  <c:v>-8.0670208992849837</c:v>
                </c:pt>
                <c:pt idx="26">
                  <c:v>-7.8822186309250117</c:v>
                </c:pt>
                <c:pt idx="27">
                  <c:v>-7.6974163625650389</c:v>
                </c:pt>
                <c:pt idx="28">
                  <c:v>-7.5126140942050661</c:v>
                </c:pt>
                <c:pt idx="29">
                  <c:v>-7.3278118258450933</c:v>
                </c:pt>
                <c:pt idx="30">
                  <c:v>-7.1430095574851205</c:v>
                </c:pt>
                <c:pt idx="31">
                  <c:v>-6.9582072891251476</c:v>
                </c:pt>
                <c:pt idx="32">
                  <c:v>-6.7734050207651748</c:v>
                </c:pt>
                <c:pt idx="33">
                  <c:v>-6.588602752405202</c:v>
                </c:pt>
                <c:pt idx="34">
                  <c:v>-6.4038004840452292</c:v>
                </c:pt>
                <c:pt idx="35">
                  <c:v>-6.2189982156852563</c:v>
                </c:pt>
                <c:pt idx="36">
                  <c:v>-6.0341959473252835</c:v>
                </c:pt>
                <c:pt idx="37">
                  <c:v>-5.8493936789653107</c:v>
                </c:pt>
                <c:pt idx="38">
                  <c:v>-5.6645914106053379</c:v>
                </c:pt>
                <c:pt idx="39">
                  <c:v>-5.4797891422453651</c:v>
                </c:pt>
                <c:pt idx="40">
                  <c:v>-5.2949868738853922</c:v>
                </c:pt>
                <c:pt idx="41">
                  <c:v>-5.1101846055254194</c:v>
                </c:pt>
                <c:pt idx="42">
                  <c:v>-4.9253823371654466</c:v>
                </c:pt>
                <c:pt idx="43">
                  <c:v>-4.7405800688054738</c:v>
                </c:pt>
                <c:pt idx="44">
                  <c:v>-4.555777800445501</c:v>
                </c:pt>
                <c:pt idx="45">
                  <c:v>-4.3709755320855281</c:v>
                </c:pt>
                <c:pt idx="46">
                  <c:v>-4.1861732637255553</c:v>
                </c:pt>
                <c:pt idx="47">
                  <c:v>-4.0013709953655816</c:v>
                </c:pt>
                <c:pt idx="48">
                  <c:v>-3.8165687270056083</c:v>
                </c:pt>
                <c:pt idx="49">
                  <c:v>-3.6317664586456351</c:v>
                </c:pt>
                <c:pt idx="50">
                  <c:v>-3.4469641902856618</c:v>
                </c:pt>
                <c:pt idx="51">
                  <c:v>-3.2621619219256885</c:v>
                </c:pt>
                <c:pt idx="52">
                  <c:v>-3.0773596535657153</c:v>
                </c:pt>
                <c:pt idx="53">
                  <c:v>-2.892557385205742</c:v>
                </c:pt>
                <c:pt idx="54">
                  <c:v>-2.7077551168457688</c:v>
                </c:pt>
                <c:pt idx="55">
                  <c:v>-2.5229528484857955</c:v>
                </c:pt>
                <c:pt idx="56">
                  <c:v>-2.3381505801258222</c:v>
                </c:pt>
                <c:pt idx="57">
                  <c:v>-2.153348311765849</c:v>
                </c:pt>
                <c:pt idx="58">
                  <c:v>-1.9685460434058761</c:v>
                </c:pt>
                <c:pt idx="59">
                  <c:v>-1.7837437750459031</c:v>
                </c:pt>
                <c:pt idx="60">
                  <c:v>-1.59894150668593</c:v>
                </c:pt>
                <c:pt idx="61">
                  <c:v>-1.414139238325957</c:v>
                </c:pt>
                <c:pt idx="62">
                  <c:v>-1.229336969965984</c:v>
                </c:pt>
                <c:pt idx="63">
                  <c:v>-1.0445347016060109</c:v>
                </c:pt>
                <c:pt idx="64">
                  <c:v>-0.85973243324603776</c:v>
                </c:pt>
                <c:pt idx="65">
                  <c:v>-0.67493016488606472</c:v>
                </c:pt>
                <c:pt idx="66">
                  <c:v>-0.49012789652609168</c:v>
                </c:pt>
                <c:pt idx="67">
                  <c:v>-0.30532562816611852</c:v>
                </c:pt>
                <c:pt idx="68">
                  <c:v>-0.12052335980614545</c:v>
                </c:pt>
                <c:pt idx="69">
                  <c:v>6.4278908553827646E-2</c:v>
                </c:pt>
                <c:pt idx="70">
                  <c:v>0.24908117691380074</c:v>
                </c:pt>
                <c:pt idx="71">
                  <c:v>0.43388344527377387</c:v>
                </c:pt>
                <c:pt idx="72">
                  <c:v>0.61868571363374703</c:v>
                </c:pt>
                <c:pt idx="73">
                  <c:v>0.80348798199372007</c:v>
                </c:pt>
                <c:pt idx="74">
                  <c:v>0.98829025035369311</c:v>
                </c:pt>
                <c:pt idx="75">
                  <c:v>1.173092518713666</c:v>
                </c:pt>
                <c:pt idx="76">
                  <c:v>1.3578947870736391</c:v>
                </c:pt>
                <c:pt idx="77">
                  <c:v>1.5426970554336121</c:v>
                </c:pt>
                <c:pt idx="78">
                  <c:v>1.7274993237935852</c:v>
                </c:pt>
                <c:pt idx="79">
                  <c:v>1.9123015921535582</c:v>
                </c:pt>
                <c:pt idx="80">
                  <c:v>2.0971038605135317</c:v>
                </c:pt>
                <c:pt idx="81">
                  <c:v>2.281906128873505</c:v>
                </c:pt>
                <c:pt idx="82">
                  <c:v>2.4667083972334782</c:v>
                </c:pt>
                <c:pt idx="83">
                  <c:v>2.6515106655934515</c:v>
                </c:pt>
                <c:pt idx="84">
                  <c:v>2.8363129339534248</c:v>
                </c:pt>
                <c:pt idx="85">
                  <c:v>3.021115202313398</c:v>
                </c:pt>
                <c:pt idx="86">
                  <c:v>3.2059174706733713</c:v>
                </c:pt>
                <c:pt idx="87">
                  <c:v>3.3907197390333446</c:v>
                </c:pt>
                <c:pt idx="88">
                  <c:v>3.5755220073933178</c:v>
                </c:pt>
                <c:pt idx="89">
                  <c:v>3.7603242757532911</c:v>
                </c:pt>
                <c:pt idx="90">
                  <c:v>3.9451265441132644</c:v>
                </c:pt>
                <c:pt idx="91">
                  <c:v>4.1299288124732367</c:v>
                </c:pt>
                <c:pt idx="92">
                  <c:v>4.3147310808332096</c:v>
                </c:pt>
                <c:pt idx="93">
                  <c:v>4.4995333491931824</c:v>
                </c:pt>
                <c:pt idx="94">
                  <c:v>4.6843356175531552</c:v>
                </c:pt>
                <c:pt idx="95">
                  <c:v>4.869137885913128</c:v>
                </c:pt>
                <c:pt idx="96">
                  <c:v>5.0539401542731008</c:v>
                </c:pt>
                <c:pt idx="97">
                  <c:v>5.2387424226330737</c:v>
                </c:pt>
                <c:pt idx="98">
                  <c:v>5.4235446909930465</c:v>
                </c:pt>
                <c:pt idx="99">
                  <c:v>5.6083469593530193</c:v>
                </c:pt>
                <c:pt idx="100">
                  <c:v>5.7931492277129921</c:v>
                </c:pt>
                <c:pt idx="101">
                  <c:v>5.9779514960729649</c:v>
                </c:pt>
                <c:pt idx="102">
                  <c:v>6.1627537644329378</c:v>
                </c:pt>
                <c:pt idx="103">
                  <c:v>6.3475560327929106</c:v>
                </c:pt>
                <c:pt idx="104">
                  <c:v>6.5323583011528834</c:v>
                </c:pt>
                <c:pt idx="105">
                  <c:v>6.7171605695128562</c:v>
                </c:pt>
                <c:pt idx="106">
                  <c:v>6.901962837872829</c:v>
                </c:pt>
                <c:pt idx="107">
                  <c:v>7.0867651062328019</c:v>
                </c:pt>
                <c:pt idx="108">
                  <c:v>7.2715673745927747</c:v>
                </c:pt>
                <c:pt idx="109">
                  <c:v>7.4563696429527475</c:v>
                </c:pt>
                <c:pt idx="110">
                  <c:v>7.6411719113127203</c:v>
                </c:pt>
                <c:pt idx="111">
                  <c:v>7.8259741796726932</c:v>
                </c:pt>
                <c:pt idx="112">
                  <c:v>8.0107764480326669</c:v>
                </c:pt>
                <c:pt idx="113">
                  <c:v>8.1955787163926406</c:v>
                </c:pt>
                <c:pt idx="114">
                  <c:v>8.3803809847526143</c:v>
                </c:pt>
                <c:pt idx="115">
                  <c:v>8.565183253112588</c:v>
                </c:pt>
                <c:pt idx="116">
                  <c:v>8.7499855214725617</c:v>
                </c:pt>
                <c:pt idx="117">
                  <c:v>8.9347877898325354</c:v>
                </c:pt>
                <c:pt idx="118">
                  <c:v>9.1195900581925091</c:v>
                </c:pt>
                <c:pt idx="119">
                  <c:v>9.3043923265524828</c:v>
                </c:pt>
                <c:pt idx="120">
                  <c:v>9.4891945949124565</c:v>
                </c:pt>
                <c:pt idx="121">
                  <c:v>9.6739968632724302</c:v>
                </c:pt>
                <c:pt idx="122">
                  <c:v>9.858799131632404</c:v>
                </c:pt>
                <c:pt idx="123">
                  <c:v>10.043601399992378</c:v>
                </c:pt>
                <c:pt idx="124">
                  <c:v>10.228403668352351</c:v>
                </c:pt>
                <c:pt idx="125">
                  <c:v>10.413205936712325</c:v>
                </c:pt>
                <c:pt idx="126">
                  <c:v>10.598008205072299</c:v>
                </c:pt>
                <c:pt idx="127">
                  <c:v>10.782810473432273</c:v>
                </c:pt>
              </c:numCache>
            </c:numRef>
          </c:xVal>
          <c:yVal>
            <c:numRef>
              <c:f>'GBPUSD=X'!$J$8:$J$135</c:f>
              <c:numCache>
                <c:formatCode>General</c:formatCode>
                <c:ptCount val="128"/>
                <c:pt idx="0">
                  <c:v>4.4511197568007861E-36</c:v>
                </c:pt>
                <c:pt idx="1">
                  <c:v>4.5635251493892746E-35</c:v>
                </c:pt>
                <c:pt idx="2">
                  <c:v>4.5216781372148472E-34</c:v>
                </c:pt>
                <c:pt idx="3">
                  <c:v>4.3297903643150177E-33</c:v>
                </c:pt>
                <c:pt idx="4">
                  <c:v>4.006841117537797E-32</c:v>
                </c:pt>
                <c:pt idx="5">
                  <c:v>3.5834834381999705E-31</c:v>
                </c:pt>
                <c:pt idx="6">
                  <c:v>3.0972531916254831E-30</c:v>
                </c:pt>
                <c:pt idx="7">
                  <c:v>2.5871168486705239E-29</c:v>
                </c:pt>
                <c:pt idx="8">
                  <c:v>2.088446753967747E-28</c:v>
                </c:pt>
                <c:pt idx="9">
                  <c:v>1.629291522102252E-27</c:v>
                </c:pt>
                <c:pt idx="10">
                  <c:v>1.228406811363429E-26</c:v>
                </c:pt>
                <c:pt idx="11">
                  <c:v>8.9506311758405062E-26</c:v>
                </c:pt>
                <c:pt idx="12">
                  <c:v>6.3027943244207745E-25</c:v>
                </c:pt>
                <c:pt idx="13">
                  <c:v>4.2892428546606439E-24</c:v>
                </c:pt>
                <c:pt idx="14">
                  <c:v>2.8209550454274213E-23</c:v>
                </c:pt>
                <c:pt idx="15">
                  <c:v>1.7929976561732736E-22</c:v>
                </c:pt>
                <c:pt idx="16">
                  <c:v>1.1013650887967343E-21</c:v>
                </c:pt>
                <c:pt idx="17">
                  <c:v>6.5380903515001767E-21</c:v>
                </c:pt>
                <c:pt idx="18">
                  <c:v>3.7509265283093065E-20</c:v>
                </c:pt>
                <c:pt idx="19">
                  <c:v>2.0796690309627948E-19</c:v>
                </c:pt>
                <c:pt idx="20">
                  <c:v>1.1143405116741006E-18</c:v>
                </c:pt>
                <c:pt idx="21">
                  <c:v>5.7704494653607635E-18</c:v>
                </c:pt>
                <c:pt idx="22">
                  <c:v>2.8878151619825247E-17</c:v>
                </c:pt>
                <c:pt idx="23">
                  <c:v>1.3966808229486953E-16</c:v>
                </c:pt>
                <c:pt idx="24">
                  <c:v>6.5281928530065112E-16</c:v>
                </c:pt>
                <c:pt idx="25">
                  <c:v>2.9488780233969801E-15</c:v>
                </c:pt>
                <c:pt idx="26">
                  <c:v>1.2873263824254675E-14</c:v>
                </c:pt>
                <c:pt idx="27">
                  <c:v>5.4311094917867472E-14</c:v>
                </c:pt>
                <c:pt idx="28">
                  <c:v>2.2144020484369926E-13</c:v>
                </c:pt>
                <c:pt idx="29">
                  <c:v>8.7255421022404845E-13</c:v>
                </c:pt>
                <c:pt idx="30">
                  <c:v>3.3227402319357339E-12</c:v>
                </c:pt>
                <c:pt idx="31">
                  <c:v>1.2228364882582377E-11</c:v>
                </c:pt>
                <c:pt idx="32">
                  <c:v>4.3491903531586267E-11</c:v>
                </c:pt>
                <c:pt idx="33">
                  <c:v>1.4949149001338496E-10</c:v>
                </c:pt>
                <c:pt idx="34">
                  <c:v>4.9658380609873868E-10</c:v>
                </c:pt>
                <c:pt idx="35">
                  <c:v>1.5941774539975792E-9</c:v>
                </c:pt>
                <c:pt idx="36">
                  <c:v>4.9459395072489822E-9</c:v>
                </c:pt>
                <c:pt idx="37">
                  <c:v>1.482958390320948E-8</c:v>
                </c:pt>
                <c:pt idx="38">
                  <c:v>4.2971168000758613E-8</c:v>
                </c:pt>
                <c:pt idx="39">
                  <c:v>1.2033539253609066E-7</c:v>
                </c:pt>
                <c:pt idx="40">
                  <c:v>3.2566990480524458E-7</c:v>
                </c:pt>
                <c:pt idx="41">
                  <c:v>8.5178483381739122E-7</c:v>
                </c:pt>
                <c:pt idx="42">
                  <c:v>2.1530306217914023E-6</c:v>
                </c:pt>
                <c:pt idx="43">
                  <c:v>5.2594282881770554E-6</c:v>
                </c:pt>
                <c:pt idx="44">
                  <c:v>1.2416377176527378E-5</c:v>
                </c:pt>
                <c:pt idx="45">
                  <c:v>2.8328219795108289E-5</c:v>
                </c:pt>
                <c:pt idx="46">
                  <c:v>6.2461397616807329E-5</c:v>
                </c:pt>
                <c:pt idx="47">
                  <c:v>1.3309818693507124E-4</c:v>
                </c:pt>
                <c:pt idx="48">
                  <c:v>2.7409468181873874E-4</c:v>
                </c:pt>
                <c:pt idx="49">
                  <c:v>5.4550295357124064E-4</c:v>
                </c:pt>
                <c:pt idx="50">
                  <c:v>1.0492080916830247E-3</c:v>
                </c:pt>
                <c:pt idx="51">
                  <c:v>1.9502675013494362E-3</c:v>
                </c:pt>
                <c:pt idx="52">
                  <c:v>3.5034406450885434E-3</c:v>
                </c:pt>
                <c:pt idx="53">
                  <c:v>6.082237465184364E-3</c:v>
                </c:pt>
                <c:pt idx="54">
                  <c:v>1.0204694498645507E-2</c:v>
                </c:pt>
                <c:pt idx="55">
                  <c:v>1.6546443888278792E-2</c:v>
                </c:pt>
                <c:pt idx="56">
                  <c:v>2.5928498140440303E-2</c:v>
                </c:pt>
                <c:pt idx="57">
                  <c:v>3.9266128219739169E-2</c:v>
                </c:pt>
                <c:pt idx="58">
                  <c:v>5.7468098392456542E-2</c:v>
                </c:pt>
                <c:pt idx="59">
                  <c:v>8.1283725508643628E-2</c:v>
                </c:pt>
                <c:pt idx="60">
                  <c:v>0.11110878593877491</c:v>
                </c:pt>
                <c:pt idx="61">
                  <c:v>0.1467780898136917</c:v>
                </c:pt>
                <c:pt idx="62">
                  <c:v>0.18738813479055874</c:v>
                </c:pt>
                <c:pt idx="63">
                  <c:v>0.23120167332753741</c:v>
                </c:pt>
                <c:pt idx="64">
                  <c:v>0.27568166638319513</c:v>
                </c:pt>
                <c:pt idx="65">
                  <c:v>0.31768215871215788</c:v>
                </c:pt>
                <c:pt idx="66">
                  <c:v>0.35379019512618165</c:v>
                </c:pt>
                <c:pt idx="67">
                  <c:v>0.38077356321236283</c:v>
                </c:pt>
                <c:pt idx="68">
                  <c:v>0.39605528323835248</c:v>
                </c:pt>
                <c:pt idx="69">
                  <c:v>0.39811896065223157</c:v>
                </c:pt>
                <c:pt idx="70">
                  <c:v>0.38675678364594779</c:v>
                </c:pt>
                <c:pt idx="71">
                  <c:v>0.36310401057633568</c:v>
                </c:pt>
                <c:pt idx="72">
                  <c:v>0.32945202358378239</c:v>
                </c:pt>
                <c:pt idx="73">
                  <c:v>0.28888257110239968</c:v>
                </c:pt>
                <c:pt idx="74">
                  <c:v>0.24480401124419654</c:v>
                </c:pt>
                <c:pt idx="75">
                  <c:v>0.20048585929379648</c:v>
                </c:pt>
                <c:pt idx="76">
                  <c:v>0.15867809962010163</c:v>
                </c:pt>
                <c:pt idx="77">
                  <c:v>0.12137193128362181</c:v>
                </c:pt>
                <c:pt idx="78">
                  <c:v>8.9719648232956362E-2</c:v>
                </c:pt>
                <c:pt idx="79">
                  <c:v>6.4095108854992811E-2</c:v>
                </c:pt>
                <c:pt idx="80">
                  <c:v>4.4251729033196144E-2</c:v>
                </c:pt>
                <c:pt idx="81">
                  <c:v>2.9525932803929792E-2</c:v>
                </c:pt>
                <c:pt idx="82">
                  <c:v>1.9039039607079422E-2</c:v>
                </c:pt>
                <c:pt idx="83">
                  <c:v>1.186463754179168E-2</c:v>
                </c:pt>
                <c:pt idx="84">
                  <c:v>7.1454887685833759E-3</c:v>
                </c:pt>
                <c:pt idx="85">
                  <c:v>4.1588900050216274E-3</c:v>
                </c:pt>
                <c:pt idx="86">
                  <c:v>2.3393271174994073E-3</c:v>
                </c:pt>
                <c:pt idx="87">
                  <c:v>1.2716643717859792E-3</c:v>
                </c:pt>
                <c:pt idx="88">
                  <c:v>6.6807016943390125E-4</c:v>
                </c:pt>
                <c:pt idx="89">
                  <c:v>3.3918737908857169E-4</c:v>
                </c:pt>
                <c:pt idx="90">
                  <c:v>1.6642758672049028E-4</c:v>
                </c:pt>
                <c:pt idx="91">
                  <c:v>7.8918527805081046E-5</c:v>
                </c:pt>
                <c:pt idx="92">
                  <c:v>3.616601532870031E-5</c:v>
                </c:pt>
                <c:pt idx="93">
                  <c:v>1.6017339344924366E-5</c:v>
                </c:pt>
                <c:pt idx="94">
                  <c:v>6.8556418143841992E-6</c:v>
                </c:pt>
                <c:pt idx="95">
                  <c:v>2.835788839507027E-6</c:v>
                </c:pt>
                <c:pt idx="96">
                  <c:v>1.1336204887335517E-6</c:v>
                </c:pt>
                <c:pt idx="97">
                  <c:v>4.3795502322111206E-7</c:v>
                </c:pt>
                <c:pt idx="98">
                  <c:v>1.6351566499950459E-7</c:v>
                </c:pt>
                <c:pt idx="99">
                  <c:v>5.9000711048324213E-8</c:v>
                </c:pt>
                <c:pt idx="100">
                  <c:v>2.0574209315942988E-8</c:v>
                </c:pt>
                <c:pt idx="101">
                  <c:v>6.9335729604219238E-9</c:v>
                </c:pt>
                <c:pt idx="102">
                  <c:v>2.2581825836122271E-9</c:v>
                </c:pt>
                <c:pt idx="103">
                  <c:v>7.1076992791111523E-10</c:v>
                </c:pt>
                <c:pt idx="104">
                  <c:v>2.16205662395016E-10</c:v>
                </c:pt>
                <c:pt idx="105">
                  <c:v>6.3558422634922918E-11</c:v>
                </c:pt>
                <c:pt idx="106">
                  <c:v>1.8057065976811574E-11</c:v>
                </c:pt>
                <c:pt idx="107">
                  <c:v>4.9578032389883673E-12</c:v>
                </c:pt>
                <c:pt idx="108">
                  <c:v>1.3155259413956754E-12</c:v>
                </c:pt>
                <c:pt idx="109">
                  <c:v>3.3734756044844297E-13</c:v>
                </c:pt>
                <c:pt idx="110">
                  <c:v>8.3603365176570041E-14</c:v>
                </c:pt>
                <c:pt idx="111">
                  <c:v>2.0023406840330537E-14</c:v>
                </c:pt>
                <c:pt idx="112">
                  <c:v>4.6346848886993022E-15</c:v>
                </c:pt>
                <c:pt idx="113">
                  <c:v>1.0367414917051393E-15</c:v>
                </c:pt>
                <c:pt idx="114">
                  <c:v>2.2412421196920075E-16</c:v>
                </c:pt>
                <c:pt idx="115">
                  <c:v>4.6824710278599336E-17</c:v>
                </c:pt>
                <c:pt idx="116">
                  <c:v>9.4543015432339108E-18</c:v>
                </c:pt>
                <c:pt idx="117">
                  <c:v>1.8448107837826302E-18</c:v>
                </c:pt>
                <c:pt idx="118">
                  <c:v>3.4789023206900807E-19</c:v>
                </c:pt>
                <c:pt idx="119">
                  <c:v>6.340166585832711E-20</c:v>
                </c:pt>
                <c:pt idx="120">
                  <c:v>1.1166758674231617E-20</c:v>
                </c:pt>
                <c:pt idx="121">
                  <c:v>1.900735210780761E-21</c:v>
                </c:pt>
                <c:pt idx="122">
                  <c:v>3.126685049570873E-22</c:v>
                </c:pt>
                <c:pt idx="123">
                  <c:v>4.9706671409618741E-23</c:v>
                </c:pt>
                <c:pt idx="124">
                  <c:v>7.6368323037400222E-24</c:v>
                </c:pt>
                <c:pt idx="125">
                  <c:v>1.1339133125929507E-24</c:v>
                </c:pt>
                <c:pt idx="126">
                  <c:v>1.6271008869217929E-25</c:v>
                </c:pt>
                <c:pt idx="127">
                  <c:v>2.2564054351697931E-26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9-46E8-B280-9E55FB4B9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8639"/>
        <c:axId val="79835727"/>
      </c:scatterChart>
      <c:valAx>
        <c:axId val="79838639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35727"/>
        <c:crosses val="autoZero"/>
        <c:crossBetween val="midCat"/>
      </c:valAx>
      <c:valAx>
        <c:axId val="798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38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13138</xdr:colOff>
      <xdr:row>8</xdr:row>
      <xdr:rowOff>76201</xdr:rowOff>
    </xdr:from>
    <xdr:to>
      <xdr:col>7</xdr:col>
      <xdr:colOff>170793</xdr:colOff>
      <xdr:row>23</xdr:row>
      <xdr:rowOff>60435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33278F-5824-9483-38BD-4ACF965B24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986"/>
  <sheetViews>
    <sheetView tabSelected="1" zoomScale="145" zoomScaleNormal="145" workbookViewId="0">
      <selection activeCell="K7" sqref="K7"/>
    </sheetView>
  </sheetViews>
  <sheetFormatPr defaultRowHeight="14.4" x14ac:dyDescent="0.3"/>
  <cols>
    <col min="1" max="1" width="11" bestFit="1" customWidth="1"/>
    <col min="10" max="10" width="12.55468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5</v>
      </c>
      <c r="F1" t="s">
        <v>3</v>
      </c>
      <c r="G1">
        <f>AVERAGE(C:C)</f>
        <v>-4.8416236743020138E-5</v>
      </c>
      <c r="J1" t="s">
        <v>12</v>
      </c>
      <c r="K1">
        <f>COUNT(D:D)</f>
        <v>4976</v>
      </c>
    </row>
    <row r="2" spans="1:11" x14ac:dyDescent="0.3">
      <c r="A2" s="1">
        <v>37956</v>
      </c>
      <c r="B2">
        <v>1.7185969999999999</v>
      </c>
      <c r="F2" t="s">
        <v>4</v>
      </c>
      <c r="G2">
        <f>STDEV(C:C)</f>
        <v>6.0335372077023348E-3</v>
      </c>
    </row>
    <row r="3" spans="1:11" x14ac:dyDescent="0.3">
      <c r="A3" s="1">
        <v>37957</v>
      </c>
      <c r="B3">
        <v>1.730313</v>
      </c>
      <c r="C3">
        <f>(B3-B2)/B2</f>
        <v>6.8171886719225394E-3</v>
      </c>
      <c r="D3">
        <f>(C3-meanrtn)/stdevrtns</f>
        <v>1.1379071135752703</v>
      </c>
      <c r="F3" t="s">
        <v>6</v>
      </c>
      <c r="G3">
        <f>MIN(D:D)</f>
        <v>-12.59467647410434</v>
      </c>
    </row>
    <row r="4" spans="1:11" x14ac:dyDescent="0.3">
      <c r="A4" s="1">
        <v>37958</v>
      </c>
      <c r="B4">
        <v>1.7281010000000001</v>
      </c>
      <c r="C4">
        <f t="shared" ref="C4:C67" si="0">(B4-B3)/B3</f>
        <v>-1.2783814257882134E-3</v>
      </c>
      <c r="D4">
        <f>(C4-meanrtn)/stdevrtns</f>
        <v>-0.20385474502005818</v>
      </c>
      <c r="F4" t="s">
        <v>7</v>
      </c>
      <c r="G4">
        <f>MAX(D:D)</f>
        <v>5.8855503618929701</v>
      </c>
    </row>
    <row r="5" spans="1:11" x14ac:dyDescent="0.3">
      <c r="A5" s="1">
        <v>37959</v>
      </c>
      <c r="B5">
        <v>1.7206969999999999</v>
      </c>
      <c r="C5">
        <f t="shared" si="0"/>
        <v>-4.2844717988127935E-3</v>
      </c>
      <c r="D5">
        <f>(C5-meanrtn)/stdevrtns</f>
        <v>-0.70208493231169278</v>
      </c>
      <c r="F5" s="2" t="s">
        <v>8</v>
      </c>
      <c r="G5">
        <f>(G4-G3)/100</f>
        <v>0.1848022683599731</v>
      </c>
    </row>
    <row r="6" spans="1:11" x14ac:dyDescent="0.3">
      <c r="A6" s="1">
        <v>37960</v>
      </c>
      <c r="B6">
        <v>1.7331019999999999</v>
      </c>
      <c r="C6">
        <f t="shared" si="0"/>
        <v>7.2092878641620223E-3</v>
      </c>
      <c r="D6">
        <f>(C6-meanrtn)/stdevrtns</f>
        <v>1.2028937339840968</v>
      </c>
    </row>
    <row r="7" spans="1:11" x14ac:dyDescent="0.3">
      <c r="A7" s="1">
        <v>37963</v>
      </c>
      <c r="B7">
        <v>1.7342139999999999</v>
      </c>
      <c r="C7">
        <f t="shared" si="0"/>
        <v>6.4162409367711883E-4</v>
      </c>
      <c r="D7">
        <f>(C7-meanrtn)/stdevrtns</f>
        <v>0.11436746085517506</v>
      </c>
      <c r="F7" t="s">
        <v>9</v>
      </c>
      <c r="H7" t="s">
        <v>10</v>
      </c>
      <c r="I7" t="s">
        <v>11</v>
      </c>
      <c r="J7" t="s">
        <v>13</v>
      </c>
    </row>
    <row r="8" spans="1:11" x14ac:dyDescent="0.3">
      <c r="A8" s="1">
        <v>37964</v>
      </c>
      <c r="B8">
        <v>1.745414</v>
      </c>
      <c r="C8">
        <f t="shared" si="0"/>
        <v>6.458257170107091E-3</v>
      </c>
      <c r="D8">
        <f>(C8-meanrtn)/stdevrtns</f>
        <v>1.0784177146606102</v>
      </c>
      <c r="F8">
        <f>G3</f>
        <v>-12.59467647410434</v>
      </c>
      <c r="G8">
        <f>F8-0.5*bucketwidth</f>
        <v>-12.687077608284326</v>
      </c>
      <c r="H8">
        <f t="array" ref="H8:H135">FREQUENCY(D3:D4978,F8:F135)</f>
        <v>1</v>
      </c>
      <c r="I8">
        <f>H8/numdata/bucketwidth</f>
        <v>1.0874575945876645E-3</v>
      </c>
      <c r="J8">
        <f>1/SQRT(2*PI())*EXP(-0.5*G8*G8)</f>
        <v>4.4511197568007861E-36</v>
      </c>
    </row>
    <row r="9" spans="1:11" x14ac:dyDescent="0.3">
      <c r="A9" s="1">
        <v>37965</v>
      </c>
      <c r="B9">
        <v>1.7397959999999999</v>
      </c>
      <c r="C9">
        <f t="shared" si="0"/>
        <v>-3.2187206015307102E-3</v>
      </c>
      <c r="D9">
        <f>(C9-meanrtn)/stdevrtns</f>
        <v>-0.52544705628739985</v>
      </c>
      <c r="F9">
        <f>F8+bucketwidth</f>
        <v>-12.409874205744366</v>
      </c>
      <c r="G9">
        <f>F9-0.5*bucketwidth</f>
        <v>-12.502275339924353</v>
      </c>
      <c r="H9">
        <v>0</v>
      </c>
      <c r="I9">
        <f>H9/numdata/bucketwidth</f>
        <v>0</v>
      </c>
      <c r="J9">
        <f t="shared" ref="J9:J72" si="1">1/SQRT(2*PI())*EXP(-0.5*G9*G9)</f>
        <v>4.5635251493892746E-35</v>
      </c>
    </row>
    <row r="10" spans="1:11" x14ac:dyDescent="0.3">
      <c r="A10" s="1">
        <v>37966</v>
      </c>
      <c r="B10">
        <v>1.7462059999999999</v>
      </c>
      <c r="C10">
        <f t="shared" si="0"/>
        <v>3.6843400030808367E-3</v>
      </c>
      <c r="D10">
        <f>(C10-meanrtn)/stdevrtns</f>
        <v>0.61866797391398676</v>
      </c>
      <c r="F10">
        <f>F9+bucketwidth</f>
        <v>-12.225071937384392</v>
      </c>
      <c r="G10">
        <f>F10-0.5*bucketwidth</f>
        <v>-12.317473071564379</v>
      </c>
      <c r="H10">
        <v>0</v>
      </c>
      <c r="I10">
        <f>H10/numdata/bucketwidth</f>
        <v>0</v>
      </c>
      <c r="J10">
        <f t="shared" si="1"/>
        <v>4.5216781372148472E-34</v>
      </c>
    </row>
    <row r="11" spans="1:11" x14ac:dyDescent="0.3">
      <c r="A11" s="1">
        <v>37967</v>
      </c>
      <c r="B11">
        <v>1.7473050000000001</v>
      </c>
      <c r="C11">
        <f t="shared" si="0"/>
        <v>6.293644621540547E-4</v>
      </c>
      <c r="D11">
        <f>(C11-meanrtn)/stdevrtns</f>
        <v>0.11233554639090132</v>
      </c>
      <c r="F11">
        <f>F10+bucketwidth</f>
        <v>-12.040269669024418</v>
      </c>
      <c r="G11">
        <f>F11-0.5*bucketwidth</f>
        <v>-12.132670803204405</v>
      </c>
      <c r="H11">
        <v>0</v>
      </c>
      <c r="I11">
        <f>H11/numdata/bucketwidth</f>
        <v>0</v>
      </c>
      <c r="J11">
        <f t="shared" si="1"/>
        <v>4.3297903643150177E-33</v>
      </c>
    </row>
    <row r="12" spans="1:11" x14ac:dyDescent="0.3">
      <c r="A12" s="1">
        <v>37970</v>
      </c>
      <c r="B12">
        <v>1.7473050000000001</v>
      </c>
      <c r="C12">
        <f t="shared" si="0"/>
        <v>0</v>
      </c>
      <c r="D12">
        <f>(C12-meanrtn)/stdevrtns</f>
        <v>8.0245194611897972E-3</v>
      </c>
      <c r="F12">
        <f>F11+bucketwidth</f>
        <v>-11.855467400664445</v>
      </c>
      <c r="G12">
        <f>F12-0.5*bucketwidth</f>
        <v>-11.947868534844432</v>
      </c>
      <c r="H12">
        <v>0</v>
      </c>
      <c r="I12">
        <f>H12/numdata/bucketwidth</f>
        <v>0</v>
      </c>
      <c r="J12">
        <f t="shared" si="1"/>
        <v>4.006841117537797E-32</v>
      </c>
    </row>
    <row r="13" spans="1:11" x14ac:dyDescent="0.3">
      <c r="A13" s="1">
        <v>37971</v>
      </c>
      <c r="B13">
        <v>1.7542009999999999</v>
      </c>
      <c r="C13">
        <f t="shared" si="0"/>
        <v>3.9466492684447135E-3</v>
      </c>
      <c r="D13">
        <f>(C13-meanrtn)/stdevrtns</f>
        <v>0.66214317864613237</v>
      </c>
      <c r="F13">
        <f>F12+bucketwidth</f>
        <v>-11.670665132304471</v>
      </c>
      <c r="G13">
        <f>F13-0.5*bucketwidth</f>
        <v>-11.763066266484458</v>
      </c>
      <c r="H13">
        <v>0</v>
      </c>
      <c r="I13">
        <f>H13/numdata/bucketwidth</f>
        <v>0</v>
      </c>
      <c r="J13">
        <f t="shared" si="1"/>
        <v>3.5834834381999705E-31</v>
      </c>
    </row>
    <row r="14" spans="1:11" x14ac:dyDescent="0.3">
      <c r="A14" s="1">
        <v>37972</v>
      </c>
      <c r="B14">
        <v>1.765506</v>
      </c>
      <c r="C14">
        <f t="shared" si="0"/>
        <v>6.4445294467396384E-3</v>
      </c>
      <c r="D14">
        <f>(C14-meanrtn)/stdevrtns</f>
        <v>1.0761424782785542</v>
      </c>
      <c r="F14">
        <f>F13+bucketwidth</f>
        <v>-11.485862863944497</v>
      </c>
      <c r="G14">
        <f>F14-0.5*bucketwidth</f>
        <v>-11.578263998124484</v>
      </c>
      <c r="H14">
        <v>0</v>
      </c>
      <c r="I14">
        <f>H14/numdata/bucketwidth</f>
        <v>0</v>
      </c>
      <c r="J14">
        <f t="shared" si="1"/>
        <v>3.0972531916254831E-30</v>
      </c>
    </row>
    <row r="15" spans="1:11" x14ac:dyDescent="0.3">
      <c r="A15" s="1">
        <v>37973</v>
      </c>
      <c r="B15">
        <v>1.7710090000000001</v>
      </c>
      <c r="C15">
        <f t="shared" si="0"/>
        <v>3.1169534399770014E-3</v>
      </c>
      <c r="D15">
        <f>(C15-meanrtn)/stdevrtns</f>
        <v>0.5246291798249213</v>
      </c>
      <c r="F15">
        <f>F14+bucketwidth</f>
        <v>-11.301060595584524</v>
      </c>
      <c r="G15">
        <f>F15-0.5*bucketwidth</f>
        <v>-11.39346172976451</v>
      </c>
      <c r="H15">
        <v>0</v>
      </c>
      <c r="I15">
        <f>H15/numdata/bucketwidth</f>
        <v>0</v>
      </c>
      <c r="J15">
        <f t="shared" si="1"/>
        <v>2.5871168486705239E-29</v>
      </c>
    </row>
    <row r="16" spans="1:11" x14ac:dyDescent="0.3">
      <c r="A16" s="1">
        <v>37974</v>
      </c>
      <c r="B16">
        <v>1.7651939999999999</v>
      </c>
      <c r="C16">
        <f t="shared" si="0"/>
        <v>-3.2834389887347413E-3</v>
      </c>
      <c r="D16">
        <f>(C16-meanrtn)/stdevrtns</f>
        <v>-0.53617349833559214</v>
      </c>
      <c r="F16">
        <f>F15+bucketwidth</f>
        <v>-11.11625832722455</v>
      </c>
      <c r="G16">
        <f>F16-0.5*bucketwidth</f>
        <v>-11.208659461404537</v>
      </c>
      <c r="H16">
        <v>0</v>
      </c>
      <c r="I16">
        <f>H16/numdata/bucketwidth</f>
        <v>0</v>
      </c>
      <c r="J16">
        <f t="shared" si="1"/>
        <v>2.088446753967747E-28</v>
      </c>
    </row>
    <row r="17" spans="1:10" x14ac:dyDescent="0.3">
      <c r="A17" s="1">
        <v>37977</v>
      </c>
      <c r="B17">
        <v>1.7642910000000001</v>
      </c>
      <c r="C17">
        <f t="shared" si="0"/>
        <v>-5.1155850291802272E-4</v>
      </c>
      <c r="D17">
        <f>(C17-meanrtn)/stdevrtns</f>
        <v>-7.6761317653558384E-2</v>
      </c>
      <c r="F17">
        <f>F16+bucketwidth</f>
        <v>-10.931456058864576</v>
      </c>
      <c r="G17">
        <f>F17-0.5*bucketwidth</f>
        <v>-11.023857193044563</v>
      </c>
      <c r="H17">
        <v>0</v>
      </c>
      <c r="I17">
        <f>H17/numdata/bucketwidth</f>
        <v>0</v>
      </c>
      <c r="J17">
        <f t="shared" si="1"/>
        <v>1.629291522102252E-27</v>
      </c>
    </row>
    <row r="18" spans="1:10" x14ac:dyDescent="0.3">
      <c r="A18" s="1">
        <v>37978</v>
      </c>
      <c r="B18">
        <v>1.764197</v>
      </c>
      <c r="C18">
        <f t="shared" si="0"/>
        <v>-5.3279192604869888E-5</v>
      </c>
      <c r="D18">
        <f>(C18-meanrtn)/stdevrtns</f>
        <v>-8.0598754833926677E-4</v>
      </c>
      <c r="F18">
        <f>F17+bucketwidth</f>
        <v>-10.746653790504602</v>
      </c>
      <c r="G18">
        <f>F18-0.5*bucketwidth</f>
        <v>-10.839054924684589</v>
      </c>
      <c r="H18">
        <v>0</v>
      </c>
      <c r="I18">
        <f>H18/numdata/bucketwidth</f>
        <v>0</v>
      </c>
      <c r="J18">
        <f t="shared" si="1"/>
        <v>1.228406811363429E-26</v>
      </c>
    </row>
    <row r="19" spans="1:10" x14ac:dyDescent="0.3">
      <c r="A19" s="1">
        <v>37979</v>
      </c>
      <c r="B19">
        <v>1.7756000000000001</v>
      </c>
      <c r="C19">
        <f t="shared" si="0"/>
        <v>6.463563876369845E-3</v>
      </c>
      <c r="D19">
        <f>(C19-meanrtn)/stdevrtns</f>
        <v>1.0792972495138933</v>
      </c>
      <c r="F19">
        <f>F18+bucketwidth</f>
        <v>-10.561851522144629</v>
      </c>
      <c r="G19">
        <f>F19-0.5*bucketwidth</f>
        <v>-10.654252656324616</v>
      </c>
      <c r="H19">
        <v>0</v>
      </c>
      <c r="I19">
        <f>H19/numdata/bucketwidth</f>
        <v>0</v>
      </c>
      <c r="J19">
        <f t="shared" si="1"/>
        <v>8.9506311758405062E-26</v>
      </c>
    </row>
    <row r="20" spans="1:10" x14ac:dyDescent="0.3">
      <c r="A20" s="1">
        <v>37980</v>
      </c>
      <c r="B20">
        <v>1.7754110000000001</v>
      </c>
      <c r="C20">
        <f t="shared" si="0"/>
        <v>-1.0644289254336265E-4</v>
      </c>
      <c r="D20">
        <f>(C20-meanrtn)/stdevrtns</f>
        <v>-9.6173527738034718E-3</v>
      </c>
      <c r="F20">
        <f>F19+bucketwidth</f>
        <v>-10.377049253784655</v>
      </c>
      <c r="G20">
        <f>F20-0.5*bucketwidth</f>
        <v>-10.469450387964642</v>
      </c>
      <c r="H20">
        <v>0</v>
      </c>
      <c r="I20">
        <f>H20/numdata/bucketwidth</f>
        <v>0</v>
      </c>
      <c r="J20">
        <f t="shared" si="1"/>
        <v>6.3027943244207745E-25</v>
      </c>
    </row>
    <row r="21" spans="1:10" x14ac:dyDescent="0.3">
      <c r="A21" s="1">
        <v>37981</v>
      </c>
      <c r="B21">
        <v>1.7720130000000001</v>
      </c>
      <c r="C21">
        <f t="shared" si="0"/>
        <v>-1.9139230296534222E-3</v>
      </c>
      <c r="D21">
        <f>(C21-meanrtn)/stdevrtns</f>
        <v>-0.30918957299690147</v>
      </c>
      <c r="F21">
        <f>F20+bucketwidth</f>
        <v>-10.192246985424681</v>
      </c>
      <c r="G21">
        <f>F21-0.5*bucketwidth</f>
        <v>-10.284648119604668</v>
      </c>
      <c r="H21">
        <v>0</v>
      </c>
      <c r="I21">
        <f>H21/numdata/bucketwidth</f>
        <v>0</v>
      </c>
      <c r="J21">
        <f t="shared" si="1"/>
        <v>4.2892428546606439E-24</v>
      </c>
    </row>
    <row r="22" spans="1:10" x14ac:dyDescent="0.3">
      <c r="A22" s="1">
        <v>37984</v>
      </c>
      <c r="B22">
        <v>1.774497</v>
      </c>
      <c r="C22">
        <f t="shared" si="0"/>
        <v>1.4017955850210639E-3</v>
      </c>
      <c r="D22">
        <f>(C22-meanrtn)/stdevrtns</f>
        <v>0.24035847825928089</v>
      </c>
      <c r="F22">
        <f>F21+bucketwidth</f>
        <v>-10.007444717064708</v>
      </c>
      <c r="G22">
        <f>F22-0.5*bucketwidth</f>
        <v>-10.099845851244694</v>
      </c>
      <c r="H22">
        <v>0</v>
      </c>
      <c r="I22">
        <f>H22/numdata/bucketwidth</f>
        <v>0</v>
      </c>
      <c r="J22">
        <f t="shared" si="1"/>
        <v>2.8209550454274213E-23</v>
      </c>
    </row>
    <row r="23" spans="1:10" x14ac:dyDescent="0.3">
      <c r="A23" s="1">
        <v>37985</v>
      </c>
      <c r="B23">
        <v>1.7779990000000001</v>
      </c>
      <c r="C23">
        <f t="shared" si="0"/>
        <v>1.9735170022829661E-3</v>
      </c>
      <c r="D23">
        <f>(C23-meanrtn)/stdevrtns</f>
        <v>0.33511573218522833</v>
      </c>
      <c r="F23">
        <f>F22+bucketwidth</f>
        <v>-9.8226424487047339</v>
      </c>
      <c r="G23">
        <f>F23-0.5*bucketwidth</f>
        <v>-9.9150435828847208</v>
      </c>
      <c r="H23">
        <v>0</v>
      </c>
      <c r="I23">
        <f>H23/numdata/bucketwidth</f>
        <v>0</v>
      </c>
      <c r="J23">
        <f t="shared" si="1"/>
        <v>1.7929976561732736E-22</v>
      </c>
    </row>
    <row r="24" spans="1:10" x14ac:dyDescent="0.3">
      <c r="A24" s="1">
        <v>37986</v>
      </c>
      <c r="B24">
        <v>1.788813</v>
      </c>
      <c r="C24">
        <f t="shared" si="0"/>
        <v>6.0821181564218417E-3</v>
      </c>
      <c r="D24">
        <f>(C24-meanrtn)/stdevrtns</f>
        <v>1.0160763383274909</v>
      </c>
      <c r="F24">
        <f>F23+bucketwidth</f>
        <v>-9.6378401803447602</v>
      </c>
      <c r="G24">
        <f>F24-0.5*bucketwidth</f>
        <v>-9.7302413145247471</v>
      </c>
      <c r="H24">
        <v>0</v>
      </c>
      <c r="I24">
        <f>H24/numdata/bucketwidth</f>
        <v>0</v>
      </c>
      <c r="J24">
        <f t="shared" si="1"/>
        <v>1.1013650887967343E-21</v>
      </c>
    </row>
    <row r="25" spans="1:10" x14ac:dyDescent="0.3">
      <c r="A25" s="1">
        <v>37987</v>
      </c>
      <c r="B25">
        <v>1.785204</v>
      </c>
      <c r="C25">
        <f t="shared" si="0"/>
        <v>-2.017539004915535E-3</v>
      </c>
      <c r="D25">
        <f>(C25-meanrtn)/stdevrtns</f>
        <v>-0.3263629112386609</v>
      </c>
      <c r="F25">
        <f>F24+bucketwidth</f>
        <v>-9.4530379119847865</v>
      </c>
      <c r="G25">
        <f>F25-0.5*bucketwidth</f>
        <v>-9.5454390461647733</v>
      </c>
      <c r="H25">
        <v>0</v>
      </c>
      <c r="I25">
        <f>H25/numdata/bucketwidth</f>
        <v>0</v>
      </c>
      <c r="J25">
        <f t="shared" si="1"/>
        <v>6.5380903515001767E-21</v>
      </c>
    </row>
    <row r="26" spans="1:10" x14ac:dyDescent="0.3">
      <c r="A26" s="1">
        <v>37988</v>
      </c>
      <c r="B26">
        <v>1.79369</v>
      </c>
      <c r="C26">
        <f t="shared" si="0"/>
        <v>4.7535183654080953E-3</v>
      </c>
      <c r="D26">
        <f>(C26-meanrtn)/stdevrtns</f>
        <v>0.7958738691494317</v>
      </c>
      <c r="F26">
        <f>F25+bucketwidth</f>
        <v>-9.2682356436248128</v>
      </c>
      <c r="G26">
        <f>F26-0.5*bucketwidth</f>
        <v>-9.3606367778047996</v>
      </c>
      <c r="H26">
        <v>0</v>
      </c>
      <c r="I26">
        <f>H26/numdata/bucketwidth</f>
        <v>0</v>
      </c>
      <c r="J26">
        <f t="shared" si="1"/>
        <v>3.7509265283093065E-20</v>
      </c>
    </row>
    <row r="27" spans="1:10" x14ac:dyDescent="0.3">
      <c r="A27" s="1">
        <v>37991</v>
      </c>
      <c r="B27">
        <v>1.807207</v>
      </c>
      <c r="C27">
        <f t="shared" si="0"/>
        <v>7.5358618267370621E-3</v>
      </c>
      <c r="D27">
        <f>(C27-meanrtn)/stdevrtns</f>
        <v>1.2570201860689765</v>
      </c>
      <c r="F27">
        <f>F26+bucketwidth</f>
        <v>-9.0834333752648391</v>
      </c>
      <c r="G27">
        <f>F27-0.5*bucketwidth</f>
        <v>-9.1758345094448259</v>
      </c>
      <c r="H27">
        <v>0</v>
      </c>
      <c r="I27">
        <f>H27/numdata/bucketwidth</f>
        <v>0</v>
      </c>
      <c r="J27">
        <f t="shared" si="1"/>
        <v>2.0796690309627948E-19</v>
      </c>
    </row>
    <row r="28" spans="1:10" x14ac:dyDescent="0.3">
      <c r="A28" s="1">
        <v>37992</v>
      </c>
      <c r="B28">
        <v>1.8212950000000001</v>
      </c>
      <c r="C28">
        <f t="shared" si="0"/>
        <v>7.7954545328786911E-3</v>
      </c>
      <c r="D28">
        <f>(C28-meanrtn)/stdevrtns</f>
        <v>1.3000451475808135</v>
      </c>
      <c r="F28">
        <f>F27+bucketwidth</f>
        <v>-8.8986311069048654</v>
      </c>
      <c r="G28">
        <f>F28-0.5*bucketwidth</f>
        <v>-8.9910322410848522</v>
      </c>
      <c r="H28">
        <v>0</v>
      </c>
      <c r="I28">
        <f>H28/numdata/bucketwidth</f>
        <v>0</v>
      </c>
      <c r="J28">
        <f t="shared" si="1"/>
        <v>1.1143405116741006E-18</v>
      </c>
    </row>
    <row r="29" spans="1:10" x14ac:dyDescent="0.3">
      <c r="A29" s="1">
        <v>37993</v>
      </c>
      <c r="B29">
        <v>1.817785</v>
      </c>
      <c r="C29">
        <f t="shared" si="0"/>
        <v>-1.9272001515405928E-3</v>
      </c>
      <c r="D29">
        <f>(C29-meanrtn)/stdevrtns</f>
        <v>-0.31139012657436532</v>
      </c>
      <c r="F29">
        <f>F28+bucketwidth</f>
        <v>-8.7138288385448917</v>
      </c>
      <c r="G29">
        <f>F29-0.5*bucketwidth</f>
        <v>-8.8062299727248785</v>
      </c>
      <c r="H29">
        <v>0</v>
      </c>
      <c r="I29">
        <f>H29/numdata/bucketwidth</f>
        <v>0</v>
      </c>
      <c r="J29">
        <f t="shared" si="1"/>
        <v>5.7704494653607635E-18</v>
      </c>
    </row>
    <row r="30" spans="1:10" x14ac:dyDescent="0.3">
      <c r="A30" s="1">
        <v>37994</v>
      </c>
      <c r="B30">
        <v>1.833887</v>
      </c>
      <c r="C30">
        <f t="shared" si="0"/>
        <v>8.8580332657602848E-3</v>
      </c>
      <c r="D30">
        <f>(C30-meanrtn)/stdevrtns</f>
        <v>1.4761572185439493</v>
      </c>
      <c r="F30">
        <f>F29+bucketwidth</f>
        <v>-8.5290265701849179</v>
      </c>
      <c r="G30">
        <f>F30-0.5*bucketwidth</f>
        <v>-8.6214277043649048</v>
      </c>
      <c r="H30">
        <v>0</v>
      </c>
      <c r="I30">
        <f>H30/numdata/bucketwidth</f>
        <v>0</v>
      </c>
      <c r="J30">
        <f t="shared" si="1"/>
        <v>2.8878151619825247E-17</v>
      </c>
    </row>
    <row r="31" spans="1:10" x14ac:dyDescent="0.3">
      <c r="A31" s="1">
        <v>37995</v>
      </c>
      <c r="B31">
        <v>1.848087</v>
      </c>
      <c r="C31">
        <f t="shared" si="0"/>
        <v>7.7431161243849758E-3</v>
      </c>
      <c r="D31">
        <f>(C31-meanrtn)/stdevrtns</f>
        <v>1.2913705663704911</v>
      </c>
      <c r="F31">
        <f>F30+bucketwidth</f>
        <v>-8.3442243018249442</v>
      </c>
      <c r="G31">
        <f>F31-0.5*bucketwidth</f>
        <v>-8.4366254360049311</v>
      </c>
      <c r="H31">
        <v>0</v>
      </c>
      <c r="I31">
        <f>H31/numdata/bucketwidth</f>
        <v>0</v>
      </c>
      <c r="J31">
        <f t="shared" si="1"/>
        <v>1.3966808229486953E-16</v>
      </c>
    </row>
    <row r="32" spans="1:10" x14ac:dyDescent="0.3">
      <c r="A32" s="1">
        <v>37998</v>
      </c>
      <c r="B32">
        <v>1.8455969999999999</v>
      </c>
      <c r="C32">
        <f t="shared" si="0"/>
        <v>-1.3473391674743143E-3</v>
      </c>
      <c r="D32">
        <f>(C32-meanrtn)/stdevrtns</f>
        <v>-0.21528381876440675</v>
      </c>
      <c r="F32">
        <f>F31+bucketwidth</f>
        <v>-8.1594220334649705</v>
      </c>
      <c r="G32">
        <f>F32-0.5*bucketwidth</f>
        <v>-8.2518231676449574</v>
      </c>
      <c r="H32">
        <v>0</v>
      </c>
      <c r="I32">
        <f>H32/numdata/bucketwidth</f>
        <v>0</v>
      </c>
      <c r="J32">
        <f t="shared" si="1"/>
        <v>6.5281928530065112E-16</v>
      </c>
    </row>
    <row r="33" spans="1:10" x14ac:dyDescent="0.3">
      <c r="A33" s="1">
        <v>37999</v>
      </c>
      <c r="B33">
        <v>1.848805</v>
      </c>
      <c r="C33">
        <f t="shared" si="0"/>
        <v>1.7381909485115654E-3</v>
      </c>
      <c r="D33">
        <f>(C33-meanrtn)/stdevrtns</f>
        <v>0.29611273184390513</v>
      </c>
      <c r="F33">
        <f>F32+bucketwidth</f>
        <v>-7.9746197651049977</v>
      </c>
      <c r="G33">
        <f>F33-0.5*bucketwidth</f>
        <v>-8.0670208992849837</v>
      </c>
      <c r="H33">
        <v>0</v>
      </c>
      <c r="I33">
        <f>H33/numdata/bucketwidth</f>
        <v>0</v>
      </c>
      <c r="J33">
        <f t="shared" si="1"/>
        <v>2.9488780233969801E-15</v>
      </c>
    </row>
    <row r="34" spans="1:10" x14ac:dyDescent="0.3">
      <c r="A34" s="1">
        <v>38000</v>
      </c>
      <c r="B34">
        <v>1.8317030000000001</v>
      </c>
      <c r="C34">
        <f t="shared" si="0"/>
        <v>-9.2502995177966042E-3</v>
      </c>
      <c r="D34">
        <f>(C34-meanrtn)/stdevrtns</f>
        <v>-1.5251224885638528</v>
      </c>
      <c r="F34">
        <f>F33+bucketwidth</f>
        <v>-7.7898174967450249</v>
      </c>
      <c r="G34">
        <f>F34-0.5*bucketwidth</f>
        <v>-7.8822186309250117</v>
      </c>
      <c r="H34">
        <v>0</v>
      </c>
      <c r="I34">
        <f>H34/numdata/bucketwidth</f>
        <v>0</v>
      </c>
      <c r="J34">
        <f t="shared" si="1"/>
        <v>1.2873263824254675E-14</v>
      </c>
    </row>
    <row r="35" spans="1:10" x14ac:dyDescent="0.3">
      <c r="A35" s="1">
        <v>38001</v>
      </c>
      <c r="B35">
        <v>1.8251839999999999</v>
      </c>
      <c r="C35">
        <f t="shared" si="0"/>
        <v>-3.5589830884156237E-3</v>
      </c>
      <c r="D35">
        <f>(C35-meanrtn)/stdevrtns</f>
        <v>-0.5818422478925066</v>
      </c>
      <c r="F35">
        <f>F34+bucketwidth</f>
        <v>-7.6050152283850521</v>
      </c>
      <c r="G35">
        <f>F35-0.5*bucketwidth</f>
        <v>-7.6974163625650389</v>
      </c>
      <c r="H35">
        <v>0</v>
      </c>
      <c r="I35">
        <f>H35/numdata/bucketwidth</f>
        <v>0</v>
      </c>
      <c r="J35">
        <f t="shared" si="1"/>
        <v>5.4311094917867472E-14</v>
      </c>
    </row>
    <row r="36" spans="1:10" x14ac:dyDescent="0.3">
      <c r="A36" s="1">
        <v>38002</v>
      </c>
      <c r="B36">
        <v>1.7990139999999999</v>
      </c>
      <c r="C36">
        <f t="shared" si="0"/>
        <v>-1.4338280414467816E-2</v>
      </c>
      <c r="D36">
        <f>(C36-meanrtn)/stdevrtns</f>
        <v>-2.3684057437289923</v>
      </c>
      <c r="F36">
        <f>F35+bucketwidth</f>
        <v>-7.4202129600250792</v>
      </c>
      <c r="G36">
        <f>F36-0.5*bucketwidth</f>
        <v>-7.5126140942050661</v>
      </c>
      <c r="H36">
        <v>0</v>
      </c>
      <c r="I36">
        <f>H36/numdata/bucketwidth</f>
        <v>0</v>
      </c>
      <c r="J36">
        <f t="shared" si="1"/>
        <v>2.2144020484369926E-13</v>
      </c>
    </row>
    <row r="37" spans="1:10" x14ac:dyDescent="0.3">
      <c r="A37" s="1">
        <v>38005</v>
      </c>
      <c r="B37">
        <v>1.7832939999999999</v>
      </c>
      <c r="C37">
        <f t="shared" si="0"/>
        <v>-8.7381198812238013E-3</v>
      </c>
      <c r="D37">
        <f>(C37-meanrtn)/stdevrtns</f>
        <v>-1.4402337045982943</v>
      </c>
      <c r="F37">
        <f>F36+bucketwidth</f>
        <v>-7.2354106916651064</v>
      </c>
      <c r="G37">
        <f>F37-0.5*bucketwidth</f>
        <v>-7.3278118258450933</v>
      </c>
      <c r="H37">
        <v>0</v>
      </c>
      <c r="I37">
        <f>H37/numdata/bucketwidth</f>
        <v>0</v>
      </c>
      <c r="J37">
        <f t="shared" si="1"/>
        <v>8.7255421022404845E-13</v>
      </c>
    </row>
    <row r="38" spans="1:10" x14ac:dyDescent="0.3">
      <c r="A38" s="1">
        <v>38006</v>
      </c>
      <c r="B38">
        <v>1.81881</v>
      </c>
      <c r="C38">
        <f t="shared" si="0"/>
        <v>1.9915953286446377E-2</v>
      </c>
      <c r="D38">
        <f>(C38-meanrtn)/stdevrtns</f>
        <v>3.3088997110522738</v>
      </c>
      <c r="F38">
        <f>F37+bucketwidth</f>
        <v>-7.0506084233051336</v>
      </c>
      <c r="G38">
        <f>F38-0.5*bucketwidth</f>
        <v>-7.1430095574851205</v>
      </c>
      <c r="H38">
        <v>0</v>
      </c>
      <c r="I38">
        <f>H38/numdata/bucketwidth</f>
        <v>0</v>
      </c>
      <c r="J38">
        <f t="shared" si="1"/>
        <v>3.3227402319357339E-12</v>
      </c>
    </row>
    <row r="39" spans="1:10" x14ac:dyDescent="0.3">
      <c r="A39" s="1">
        <v>38007</v>
      </c>
      <c r="B39">
        <v>1.832811</v>
      </c>
      <c r="C39">
        <f t="shared" si="0"/>
        <v>7.6978903788740604E-3</v>
      </c>
      <c r="D39">
        <f>(C39-meanrtn)/stdevrtns</f>
        <v>1.2838748397421411</v>
      </c>
      <c r="F39">
        <f>F38+bucketwidth</f>
        <v>-6.8658061549451608</v>
      </c>
      <c r="G39">
        <f>F39-0.5*bucketwidth</f>
        <v>-6.9582072891251476</v>
      </c>
      <c r="H39">
        <v>0</v>
      </c>
      <c r="I39">
        <f>H39/numdata/bucketwidth</f>
        <v>0</v>
      </c>
      <c r="J39">
        <f t="shared" si="1"/>
        <v>1.2228364882582377E-11</v>
      </c>
    </row>
    <row r="40" spans="1:10" x14ac:dyDescent="0.3">
      <c r="A40" s="1">
        <v>38008</v>
      </c>
      <c r="B40">
        <v>1.8436920000000001</v>
      </c>
      <c r="C40">
        <f t="shared" si="0"/>
        <v>5.9367823523539202E-3</v>
      </c>
      <c r="D40">
        <f>(C40-meanrtn)/stdevrtns</f>
        <v>0.99198834498879263</v>
      </c>
      <c r="F40">
        <f>F39+bucketwidth</f>
        <v>-6.681003886585188</v>
      </c>
      <c r="G40">
        <f>F40-0.5*bucketwidth</f>
        <v>-6.7734050207651748</v>
      </c>
      <c r="H40">
        <v>2</v>
      </c>
      <c r="I40">
        <f>H40/numdata/bucketwidth</f>
        <v>2.174915189175329E-3</v>
      </c>
      <c r="J40">
        <f t="shared" si="1"/>
        <v>4.3491903531586267E-11</v>
      </c>
    </row>
    <row r="41" spans="1:10" x14ac:dyDescent="0.3">
      <c r="A41" s="1">
        <v>38009</v>
      </c>
      <c r="B41">
        <v>1.8277859999999999</v>
      </c>
      <c r="C41">
        <f t="shared" si="0"/>
        <v>-8.6272544438009153E-3</v>
      </c>
      <c r="D41">
        <f>(C41-meanrtn)/stdevrtns</f>
        <v>-1.4218588386438162</v>
      </c>
      <c r="F41">
        <f>F40+bucketwidth</f>
        <v>-6.4962016182252151</v>
      </c>
      <c r="G41">
        <f>F41-0.5*bucketwidth</f>
        <v>-6.588602752405202</v>
      </c>
      <c r="H41">
        <v>0</v>
      </c>
      <c r="I41">
        <f>H41/numdata/bucketwidth</f>
        <v>0</v>
      </c>
      <c r="J41">
        <f t="shared" si="1"/>
        <v>1.4949149001338496E-10</v>
      </c>
    </row>
    <row r="42" spans="1:10" x14ac:dyDescent="0.3">
      <c r="A42" s="1">
        <v>38012</v>
      </c>
      <c r="B42">
        <v>1.8150139999999999</v>
      </c>
      <c r="C42">
        <f t="shared" si="0"/>
        <v>-6.9876889307610443E-3</v>
      </c>
      <c r="D42">
        <f>(C42-meanrtn)/stdevrtns</f>
        <v>-1.1501168311615679</v>
      </c>
      <c r="F42">
        <f>F41+bucketwidth</f>
        <v>-6.3113993498652423</v>
      </c>
      <c r="G42">
        <f>F42-0.5*bucketwidth</f>
        <v>-6.4038004840452292</v>
      </c>
      <c r="H42">
        <v>0</v>
      </c>
      <c r="I42">
        <f>H42/numdata/bucketwidth</f>
        <v>0</v>
      </c>
      <c r="J42">
        <f t="shared" si="1"/>
        <v>4.9658380609873868E-10</v>
      </c>
    </row>
    <row r="43" spans="1:10" x14ac:dyDescent="0.3">
      <c r="A43" s="1">
        <v>38013</v>
      </c>
      <c r="B43">
        <v>1.826684</v>
      </c>
      <c r="C43">
        <f t="shared" si="0"/>
        <v>6.4297024706145905E-3</v>
      </c>
      <c r="D43">
        <f>(C43-meanrtn)/stdevrtns</f>
        <v>1.073685051463299</v>
      </c>
      <c r="F43">
        <f>F42+bucketwidth</f>
        <v>-6.1265970815052695</v>
      </c>
      <c r="G43">
        <f>F43-0.5*bucketwidth</f>
        <v>-6.2189982156852563</v>
      </c>
      <c r="H43">
        <v>1</v>
      </c>
      <c r="I43">
        <f>H43/numdata/bucketwidth</f>
        <v>1.0874575945876645E-3</v>
      </c>
      <c r="J43">
        <f t="shared" si="1"/>
        <v>1.5941774539975792E-9</v>
      </c>
    </row>
    <row r="44" spans="1:10" x14ac:dyDescent="0.3">
      <c r="A44" s="1">
        <v>38014</v>
      </c>
      <c r="B44">
        <v>1.815113</v>
      </c>
      <c r="C44">
        <f t="shared" si="0"/>
        <v>-6.3344289433749888E-3</v>
      </c>
      <c r="D44">
        <f>(C44-meanrtn)/stdevrtns</f>
        <v>-1.0418453537681556</v>
      </c>
      <c r="F44">
        <f>F43+bucketwidth</f>
        <v>-5.9417948131452967</v>
      </c>
      <c r="G44">
        <f>F44-0.5*bucketwidth</f>
        <v>-6.0341959473252835</v>
      </c>
      <c r="H44">
        <v>0</v>
      </c>
      <c r="I44">
        <f>H44/numdata/bucketwidth</f>
        <v>0</v>
      </c>
      <c r="J44">
        <f t="shared" si="1"/>
        <v>4.9459395072489822E-9</v>
      </c>
    </row>
    <row r="45" spans="1:10" x14ac:dyDescent="0.3">
      <c r="A45" s="1">
        <v>38015</v>
      </c>
      <c r="B45">
        <v>1.8170919999999999</v>
      </c>
      <c r="C45">
        <f t="shared" si="0"/>
        <v>1.0902902463923475E-3</v>
      </c>
      <c r="D45">
        <f>(C45-meanrtn)/stdevrtns</f>
        <v>0.18872950376136072</v>
      </c>
      <c r="F45">
        <f>F44+bucketwidth</f>
        <v>-5.7569925447853239</v>
      </c>
      <c r="G45">
        <f>F45-0.5*bucketwidth</f>
        <v>-5.8493936789653107</v>
      </c>
      <c r="H45">
        <v>0</v>
      </c>
      <c r="I45">
        <f>H45/numdata/bucketwidth</f>
        <v>0</v>
      </c>
      <c r="J45">
        <f t="shared" si="1"/>
        <v>1.482958390320948E-8</v>
      </c>
    </row>
    <row r="46" spans="1:10" x14ac:dyDescent="0.3">
      <c r="A46" s="1">
        <v>38016</v>
      </c>
      <c r="B46">
        <v>1.8252839999999999</v>
      </c>
      <c r="C46">
        <f t="shared" si="0"/>
        <v>4.5083022763844523E-3</v>
      </c>
      <c r="D46">
        <f>(C46-meanrtn)/stdevrtns</f>
        <v>0.75523169183583139</v>
      </c>
      <c r="F46">
        <f>F45+bucketwidth</f>
        <v>-5.572190276425351</v>
      </c>
      <c r="G46">
        <f>F46-0.5*bucketwidth</f>
        <v>-5.6645914106053379</v>
      </c>
      <c r="H46">
        <v>1</v>
      </c>
      <c r="I46">
        <f>H46/numdata/bucketwidth</f>
        <v>1.0874575945876645E-3</v>
      </c>
      <c r="J46">
        <f t="shared" si="1"/>
        <v>4.2971168000758613E-8</v>
      </c>
    </row>
    <row r="47" spans="1:10" x14ac:dyDescent="0.3">
      <c r="A47" s="1">
        <v>38019</v>
      </c>
      <c r="B47">
        <v>1.821593</v>
      </c>
      <c r="C47">
        <f t="shared" si="0"/>
        <v>-2.0221510734767241E-3</v>
      </c>
      <c r="D47">
        <f>(C47-meanrtn)/stdevrtns</f>
        <v>-0.32712731666161932</v>
      </c>
      <c r="F47">
        <f>F46+bucketwidth</f>
        <v>-5.3873880080653782</v>
      </c>
      <c r="G47">
        <f>F47-0.5*bucketwidth</f>
        <v>-5.4797891422453651</v>
      </c>
      <c r="H47">
        <v>0</v>
      </c>
      <c r="I47">
        <f>H47/numdata/bucketwidth</f>
        <v>0</v>
      </c>
      <c r="J47">
        <f t="shared" si="1"/>
        <v>1.2033539253609066E-7</v>
      </c>
    </row>
    <row r="48" spans="1:10" x14ac:dyDescent="0.3">
      <c r="A48" s="1">
        <v>38020</v>
      </c>
      <c r="B48">
        <v>1.837898</v>
      </c>
      <c r="C48">
        <f t="shared" si="0"/>
        <v>8.9509566626573625E-3</v>
      </c>
      <c r="D48">
        <f>(C48-meanrtn)/stdevrtns</f>
        <v>1.4915583661126512</v>
      </c>
      <c r="F48">
        <f>F47+bucketwidth</f>
        <v>-5.2025857397054054</v>
      </c>
      <c r="G48">
        <f>F48-0.5*bucketwidth</f>
        <v>-5.2949868738853922</v>
      </c>
      <c r="H48">
        <v>0</v>
      </c>
      <c r="I48">
        <f>H48/numdata/bucketwidth</f>
        <v>0</v>
      </c>
      <c r="J48">
        <f t="shared" si="1"/>
        <v>3.2566990480524458E-7</v>
      </c>
    </row>
    <row r="49" spans="1:10" x14ac:dyDescent="0.3">
      <c r="A49" s="1">
        <v>38021</v>
      </c>
      <c r="B49">
        <v>1.832206</v>
      </c>
      <c r="C49">
        <f t="shared" si="0"/>
        <v>-3.0970162653205075E-3</v>
      </c>
      <c r="D49">
        <f>(C49-meanrtn)/stdevrtns</f>
        <v>-0.50527574847565115</v>
      </c>
      <c r="F49">
        <f>F48+bucketwidth</f>
        <v>-5.0177834713454326</v>
      </c>
      <c r="G49">
        <f>F49-0.5*bucketwidth</f>
        <v>-5.1101846055254194</v>
      </c>
      <c r="H49">
        <v>1</v>
      </c>
      <c r="I49">
        <f>H49/numdata/bucketwidth</f>
        <v>1.0874575945876645E-3</v>
      </c>
      <c r="J49">
        <f t="shared" si="1"/>
        <v>8.5178483381739122E-7</v>
      </c>
    </row>
    <row r="50" spans="1:10" x14ac:dyDescent="0.3">
      <c r="A50" s="1">
        <v>38022</v>
      </c>
      <c r="B50">
        <v>1.8362099999999999</v>
      </c>
      <c r="C50">
        <f t="shared" si="0"/>
        <v>2.1853437877618E-3</v>
      </c>
      <c r="D50">
        <f>(C50-meanrtn)/stdevrtns</f>
        <v>0.37022395778934308</v>
      </c>
      <c r="F50">
        <f>F49+bucketwidth</f>
        <v>-4.8329812029854597</v>
      </c>
      <c r="G50">
        <f>F50-0.5*bucketwidth</f>
        <v>-4.9253823371654466</v>
      </c>
      <c r="H50">
        <v>0</v>
      </c>
      <c r="I50">
        <f>H50/numdata/bucketwidth</f>
        <v>0</v>
      </c>
      <c r="J50">
        <f t="shared" si="1"/>
        <v>2.1530306217914023E-6</v>
      </c>
    </row>
    <row r="51" spans="1:10" x14ac:dyDescent="0.3">
      <c r="A51" s="1">
        <v>38023</v>
      </c>
      <c r="B51">
        <v>1.847507</v>
      </c>
      <c r="C51">
        <f t="shared" si="0"/>
        <v>6.1523464091798397E-3</v>
      </c>
      <c r="D51">
        <f>(C51-meanrtn)/stdevrtns</f>
        <v>1.0277159869018537</v>
      </c>
      <c r="F51">
        <f>F50+bucketwidth</f>
        <v>-4.6481789346254869</v>
      </c>
      <c r="G51">
        <f>F51-0.5*bucketwidth</f>
        <v>-4.7405800688054738</v>
      </c>
      <c r="H51">
        <v>2</v>
      </c>
      <c r="I51">
        <f>H51/numdata/bucketwidth</f>
        <v>2.174915189175329E-3</v>
      </c>
      <c r="J51">
        <f t="shared" si="1"/>
        <v>5.2594282881770554E-6</v>
      </c>
    </row>
    <row r="52" spans="1:10" x14ac:dyDescent="0.3">
      <c r="A52" s="1">
        <v>38026</v>
      </c>
      <c r="B52">
        <v>1.859704</v>
      </c>
      <c r="C52">
        <f t="shared" si="0"/>
        <v>6.6018694381130968E-3</v>
      </c>
      <c r="D52">
        <f>(C52-meanrtn)/stdevrtns</f>
        <v>1.1022200486915783</v>
      </c>
      <c r="F52">
        <f>F51+bucketwidth</f>
        <v>-4.4633766662655141</v>
      </c>
      <c r="G52">
        <f>F52-0.5*bucketwidth</f>
        <v>-4.555777800445501</v>
      </c>
      <c r="H52">
        <v>1</v>
      </c>
      <c r="I52">
        <f>H52/numdata/bucketwidth</f>
        <v>1.0874575945876645E-3</v>
      </c>
      <c r="J52">
        <f t="shared" si="1"/>
        <v>1.2416377176527378E-5</v>
      </c>
    </row>
    <row r="53" spans="1:10" x14ac:dyDescent="0.3">
      <c r="A53" s="1">
        <v>38027</v>
      </c>
      <c r="B53">
        <v>1.8673090000000001</v>
      </c>
      <c r="C53">
        <f t="shared" si="0"/>
        <v>4.0893604573631519E-3</v>
      </c>
      <c r="D53">
        <f>(C53-meanrtn)/stdevrtns</f>
        <v>0.68579616759865847</v>
      </c>
      <c r="F53">
        <f>F52+bucketwidth</f>
        <v>-4.2785743979055413</v>
      </c>
      <c r="G53">
        <f>F53-0.5*bucketwidth</f>
        <v>-4.3709755320855281</v>
      </c>
      <c r="H53">
        <v>1</v>
      </c>
      <c r="I53">
        <f>H53/numdata/bucketwidth</f>
        <v>1.0874575945876645E-3</v>
      </c>
      <c r="J53">
        <f t="shared" si="1"/>
        <v>2.8328219795108289E-5</v>
      </c>
    </row>
    <row r="54" spans="1:10" x14ac:dyDescent="0.3">
      <c r="A54" s="1">
        <v>38028</v>
      </c>
      <c r="B54">
        <v>1.892506</v>
      </c>
      <c r="C54">
        <f t="shared" si="0"/>
        <v>1.3493749561534761E-2</v>
      </c>
      <c r="D54">
        <f>(C54-meanrtn)/stdevrtns</f>
        <v>2.2444820230809266</v>
      </c>
      <c r="F54">
        <f>F53+bucketwidth</f>
        <v>-4.0937721295455685</v>
      </c>
      <c r="G54">
        <f>F54-0.5*bucketwidth</f>
        <v>-4.1861732637255553</v>
      </c>
      <c r="H54">
        <v>1</v>
      </c>
      <c r="I54">
        <f>H54/numdata/bucketwidth</f>
        <v>1.0874575945876645E-3</v>
      </c>
      <c r="J54">
        <f t="shared" si="1"/>
        <v>6.2461397616807329E-5</v>
      </c>
    </row>
    <row r="55" spans="1:10" x14ac:dyDescent="0.3">
      <c r="A55" s="1">
        <v>38029</v>
      </c>
      <c r="B55">
        <v>1.8930070000000001</v>
      </c>
      <c r="C55">
        <f t="shared" si="0"/>
        <v>2.6472835489033309E-4</v>
      </c>
      <c r="D55">
        <f>(C55-meanrtn)/stdevrtns</f>
        <v>5.1900664710179782E-2</v>
      </c>
      <c r="F55">
        <f>F54+bucketwidth</f>
        <v>-3.9089698611855952</v>
      </c>
      <c r="G55">
        <f>F55-0.5*bucketwidth</f>
        <v>-4.0013709953655816</v>
      </c>
      <c r="H55">
        <v>3</v>
      </c>
      <c r="I55">
        <f>H55/numdata/bucketwidth</f>
        <v>3.2623727837629937E-3</v>
      </c>
      <c r="J55">
        <f t="shared" si="1"/>
        <v>1.3309818693507124E-4</v>
      </c>
    </row>
    <row r="56" spans="1:10" x14ac:dyDescent="0.3">
      <c r="A56" s="1">
        <v>38030</v>
      </c>
      <c r="B56">
        <v>1.8852979999999999</v>
      </c>
      <c r="C56">
        <f t="shared" si="0"/>
        <v>-4.0723568375606572E-3</v>
      </c>
      <c r="D56">
        <f>(C56-meanrtn)/stdevrtns</f>
        <v>-0.66692894438120431</v>
      </c>
      <c r="F56">
        <f>F55+bucketwidth</f>
        <v>-3.7241675928256219</v>
      </c>
      <c r="G56">
        <f>F56-0.5*bucketwidth</f>
        <v>-3.8165687270056083</v>
      </c>
      <c r="H56">
        <v>1</v>
      </c>
      <c r="I56">
        <f>H56/numdata/bucketwidth</f>
        <v>1.0874575945876645E-3</v>
      </c>
      <c r="J56">
        <f t="shared" si="1"/>
        <v>2.7409468181873874E-4</v>
      </c>
    </row>
    <row r="57" spans="1:10" x14ac:dyDescent="0.3">
      <c r="A57" s="1">
        <v>38033</v>
      </c>
      <c r="B57">
        <v>1.8887879999999999</v>
      </c>
      <c r="C57">
        <f t="shared" si="0"/>
        <v>1.851166234727875E-3</v>
      </c>
      <c r="D57">
        <f>(C57-meanrtn)/stdevrtns</f>
        <v>0.31483728467704031</v>
      </c>
      <c r="F57">
        <f>F56+bucketwidth</f>
        <v>-3.5393653244656487</v>
      </c>
      <c r="G57">
        <f>F57-0.5*bucketwidth</f>
        <v>-3.6317664586456351</v>
      </c>
      <c r="H57">
        <v>0</v>
      </c>
      <c r="I57">
        <f>H57/numdata/bucketwidth</f>
        <v>0</v>
      </c>
      <c r="J57">
        <f t="shared" si="1"/>
        <v>5.4550295357124064E-4</v>
      </c>
    </row>
    <row r="58" spans="1:10" x14ac:dyDescent="0.3">
      <c r="A58" s="1">
        <v>38034</v>
      </c>
      <c r="B58">
        <v>1.905597</v>
      </c>
      <c r="C58">
        <f t="shared" si="0"/>
        <v>8.8993576833398327E-3</v>
      </c>
      <c r="D58">
        <f>(C58-meanrtn)/stdevrtns</f>
        <v>1.4830063380831133</v>
      </c>
      <c r="F58">
        <f>F57+bucketwidth</f>
        <v>-3.3545630561056754</v>
      </c>
      <c r="G58">
        <f>F58-0.5*bucketwidth</f>
        <v>-3.4469641902856618</v>
      </c>
      <c r="H58">
        <v>4</v>
      </c>
      <c r="I58">
        <f>H58/numdata/bucketwidth</f>
        <v>4.3498303783506579E-3</v>
      </c>
      <c r="J58">
        <f t="shared" si="1"/>
        <v>1.0492080916830247E-3</v>
      </c>
    </row>
    <row r="59" spans="1:10" x14ac:dyDescent="0.3">
      <c r="A59" s="1">
        <v>38035</v>
      </c>
      <c r="B59">
        <v>1.8926130000000001</v>
      </c>
      <c r="C59">
        <f t="shared" si="0"/>
        <v>-6.8136127418336008E-3</v>
      </c>
      <c r="D59">
        <f>(C59-meanrtn)/stdevrtns</f>
        <v>-1.1212653990853358</v>
      </c>
      <c r="F59">
        <f>F58+bucketwidth</f>
        <v>-3.1697607877457021</v>
      </c>
      <c r="G59">
        <f>F59-0.5*bucketwidth</f>
        <v>-3.2621619219256885</v>
      </c>
      <c r="H59">
        <v>8</v>
      </c>
      <c r="I59">
        <f>H59/numdata/bucketwidth</f>
        <v>8.6996607567013159E-3</v>
      </c>
      <c r="J59">
        <f t="shared" si="1"/>
        <v>1.9502675013494362E-3</v>
      </c>
    </row>
    <row r="60" spans="1:10" x14ac:dyDescent="0.3">
      <c r="A60" s="1">
        <v>38036</v>
      </c>
      <c r="B60">
        <v>1.8991910000000001</v>
      </c>
      <c r="C60">
        <f t="shared" si="0"/>
        <v>3.475618100478002E-3</v>
      </c>
      <c r="D60">
        <f>(C60-meanrtn)/stdevrtns</f>
        <v>0.58407435239187488</v>
      </c>
      <c r="F60">
        <f>F59+bucketwidth</f>
        <v>-2.9849585193857289</v>
      </c>
      <c r="G60">
        <f>F60-0.5*bucketwidth</f>
        <v>-3.0773596535657153</v>
      </c>
      <c r="H60">
        <v>9</v>
      </c>
      <c r="I60">
        <f>H60/numdata/bucketwidth</f>
        <v>9.7871183512889797E-3</v>
      </c>
      <c r="J60">
        <f t="shared" si="1"/>
        <v>3.5034406450885434E-3</v>
      </c>
    </row>
    <row r="61" spans="1:10" x14ac:dyDescent="0.3">
      <c r="A61" s="1">
        <v>38037</v>
      </c>
      <c r="B61">
        <v>1.8619889999999999</v>
      </c>
      <c r="C61">
        <f t="shared" si="0"/>
        <v>-1.9588340509195851E-2</v>
      </c>
      <c r="D61">
        <f>(C61-meanrtn)/stdevrtns</f>
        <v>-3.238552046635002</v>
      </c>
      <c r="F61">
        <f>F60+bucketwidth</f>
        <v>-2.8001562510257556</v>
      </c>
      <c r="G61">
        <f>F61-0.5*bucketwidth</f>
        <v>-2.892557385205742</v>
      </c>
      <c r="H61">
        <v>6</v>
      </c>
      <c r="I61">
        <f>H61/numdata/bucketwidth</f>
        <v>6.5247455675259873E-3</v>
      </c>
      <c r="J61">
        <f t="shared" si="1"/>
        <v>6.082237465184364E-3</v>
      </c>
    </row>
    <row r="62" spans="1:10" x14ac:dyDescent="0.3">
      <c r="A62" s="1">
        <v>38040</v>
      </c>
      <c r="B62">
        <v>1.86839</v>
      </c>
      <c r="C62">
        <f t="shared" si="0"/>
        <v>3.4377217051229096E-3</v>
      </c>
      <c r="D62">
        <f>(C62-meanrtn)/stdevrtns</f>
        <v>0.57779339413297581</v>
      </c>
      <c r="F62">
        <f>F61+bucketwidth</f>
        <v>-2.6153539826657823</v>
      </c>
      <c r="G62">
        <f>F62-0.5*bucketwidth</f>
        <v>-2.7077551168457688</v>
      </c>
      <c r="H62">
        <v>12</v>
      </c>
      <c r="I62">
        <f>H62/numdata/bucketwidth</f>
        <v>1.3049491135051975E-2</v>
      </c>
      <c r="J62">
        <f t="shared" si="1"/>
        <v>1.0204694498645507E-2</v>
      </c>
    </row>
    <row r="63" spans="1:10" x14ac:dyDescent="0.3">
      <c r="A63" s="1">
        <v>38041</v>
      </c>
      <c r="B63">
        <v>1.890002</v>
      </c>
      <c r="C63">
        <f t="shared" si="0"/>
        <v>1.1567178158735578E-2</v>
      </c>
      <c r="D63">
        <f>(C63-meanrtn)/stdevrtns</f>
        <v>1.9251715860225875</v>
      </c>
      <c r="F63">
        <f>F62+bucketwidth</f>
        <v>-2.4305517143058091</v>
      </c>
      <c r="G63">
        <f>F63-0.5*bucketwidth</f>
        <v>-2.5229528484857955</v>
      </c>
      <c r="H63">
        <v>16</v>
      </c>
      <c r="I63">
        <f>H63/numdata/bucketwidth</f>
        <v>1.7399321513402632E-2</v>
      </c>
      <c r="J63">
        <f t="shared" si="1"/>
        <v>1.6546443888278792E-2</v>
      </c>
    </row>
    <row r="64" spans="1:10" x14ac:dyDescent="0.3">
      <c r="A64" s="1">
        <v>38042</v>
      </c>
      <c r="B64">
        <v>1.872309</v>
      </c>
      <c r="C64">
        <f t="shared" si="0"/>
        <v>-9.3613657551684919E-3</v>
      </c>
      <c r="D64">
        <f>(C64-meanrtn)/stdevrtns</f>
        <v>-1.5435306351532367</v>
      </c>
      <c r="F64">
        <f>F63+bucketwidth</f>
        <v>-2.2457494459458358</v>
      </c>
      <c r="G64">
        <f>F64-0.5*bucketwidth</f>
        <v>-2.3381505801258222</v>
      </c>
      <c r="H64">
        <v>17</v>
      </c>
      <c r="I64">
        <f>H64/numdata/bucketwidth</f>
        <v>1.8486779107990296E-2</v>
      </c>
      <c r="J64">
        <f t="shared" si="1"/>
        <v>2.5928498140440303E-2</v>
      </c>
    </row>
    <row r="65" spans="1:10" x14ac:dyDescent="0.3">
      <c r="A65" s="1">
        <v>38043</v>
      </c>
      <c r="B65">
        <v>1.863308</v>
      </c>
      <c r="C65">
        <f t="shared" si="0"/>
        <v>-4.8074329611191508E-3</v>
      </c>
      <c r="D65">
        <f>(C65-meanrtn)/stdevrtns</f>
        <v>-0.78876064910991717</v>
      </c>
      <c r="F65">
        <f>F64+bucketwidth</f>
        <v>-2.0609471775858625</v>
      </c>
      <c r="G65">
        <f>F65-0.5*bucketwidth</f>
        <v>-2.153348311765849</v>
      </c>
      <c r="H65">
        <v>16</v>
      </c>
      <c r="I65">
        <f>H65/numdata/bucketwidth</f>
        <v>1.7399321513402632E-2</v>
      </c>
      <c r="J65">
        <f t="shared" si="1"/>
        <v>3.9266128219739169E-2</v>
      </c>
    </row>
    <row r="66" spans="1:10" x14ac:dyDescent="0.3">
      <c r="A66" s="1">
        <v>38044</v>
      </c>
      <c r="B66">
        <v>1.8695079999999999</v>
      </c>
      <c r="C66">
        <f t="shared" si="0"/>
        <v>3.3274155426799988E-3</v>
      </c>
      <c r="D66">
        <f>(C66-meanrtn)/stdevrtns</f>
        <v>0.55951122255672447</v>
      </c>
      <c r="F66">
        <f>F65+bucketwidth</f>
        <v>-1.8761449092258895</v>
      </c>
      <c r="G66">
        <f>F66-0.5*bucketwidth</f>
        <v>-1.9685460434058761</v>
      </c>
      <c r="H66">
        <v>39</v>
      </c>
      <c r="I66">
        <f>H66/numdata/bucketwidth</f>
        <v>4.241084618891891E-2</v>
      </c>
      <c r="J66">
        <f t="shared" si="1"/>
        <v>5.7468098392456542E-2</v>
      </c>
    </row>
    <row r="67" spans="1:10" x14ac:dyDescent="0.3">
      <c r="A67" s="1">
        <v>38047</v>
      </c>
      <c r="B67">
        <v>1.867902</v>
      </c>
      <c r="C67">
        <f t="shared" si="0"/>
        <v>-8.5904954672566059E-4</v>
      </c>
      <c r="D67">
        <f>(C67-meanrtn)/stdevrtns</f>
        <v>-0.13435457213188254</v>
      </c>
      <c r="F67">
        <f>F66+bucketwidth</f>
        <v>-1.6913426408659165</v>
      </c>
      <c r="G67">
        <f>F67-0.5*bucketwidth</f>
        <v>-1.7837437750459031</v>
      </c>
      <c r="H67">
        <v>60</v>
      </c>
      <c r="I67">
        <f>H67/numdata/bucketwidth</f>
        <v>6.5247455675259858E-2</v>
      </c>
      <c r="J67">
        <f t="shared" si="1"/>
        <v>8.1283725508643628E-2</v>
      </c>
    </row>
    <row r="68" spans="1:10" x14ac:dyDescent="0.3">
      <c r="A68" s="1">
        <v>38048</v>
      </c>
      <c r="B68">
        <v>1.8382019999999999</v>
      </c>
      <c r="C68">
        <f t="shared" ref="C68:C131" si="2">(B68-B67)/B67</f>
        <v>-1.5900191765949208E-2</v>
      </c>
      <c r="D68">
        <f>(C68-meanrtn)/stdevrtns</f>
        <v>-2.627277330612964</v>
      </c>
      <c r="F68">
        <f>F67+bucketwidth</f>
        <v>-1.5065403725059434</v>
      </c>
      <c r="G68">
        <f>F68-0.5*bucketwidth</f>
        <v>-1.59894150668593</v>
      </c>
      <c r="H68">
        <v>75</v>
      </c>
      <c r="I68">
        <f>H68/numdata/bucketwidth</f>
        <v>8.1559319594074836E-2</v>
      </c>
      <c r="J68">
        <f t="shared" si="1"/>
        <v>0.11110878593877491</v>
      </c>
    </row>
    <row r="69" spans="1:10" x14ac:dyDescent="0.3">
      <c r="A69" s="1">
        <v>38049</v>
      </c>
      <c r="B69">
        <v>1.8275859999999999</v>
      </c>
      <c r="C69">
        <f t="shared" si="2"/>
        <v>-5.7752086005781519E-3</v>
      </c>
      <c r="D69">
        <f>(C69-meanrtn)/stdevrtns</f>
        <v>-0.94916003112144287</v>
      </c>
      <c r="F69">
        <f>F68+bucketwidth</f>
        <v>-1.3217381041459704</v>
      </c>
      <c r="G69">
        <f>F69-0.5*bucketwidth</f>
        <v>-1.414139238325957</v>
      </c>
      <c r="H69">
        <v>74</v>
      </c>
      <c r="I69">
        <f>H69/numdata/bucketwidth</f>
        <v>8.0471861999487165E-2</v>
      </c>
      <c r="J69">
        <f t="shared" si="1"/>
        <v>0.1467780898136917</v>
      </c>
    </row>
    <row r="70" spans="1:10" x14ac:dyDescent="0.3">
      <c r="A70" s="1">
        <v>38050</v>
      </c>
      <c r="B70">
        <v>1.8229880000000001</v>
      </c>
      <c r="C70">
        <f t="shared" si="2"/>
        <v>-2.5158870772701695E-3</v>
      </c>
      <c r="D70">
        <f>(C70-meanrtn)/stdevrtns</f>
        <v>-0.4089592482130065</v>
      </c>
      <c r="F70">
        <f>F69+bucketwidth</f>
        <v>-1.1369358357859973</v>
      </c>
      <c r="G70">
        <f>F70-0.5*bucketwidth</f>
        <v>-1.229336969965984</v>
      </c>
      <c r="H70">
        <v>128</v>
      </c>
      <c r="I70">
        <f>H70/numdata/bucketwidth</f>
        <v>0.13919457210722105</v>
      </c>
      <c r="J70">
        <f t="shared" si="1"/>
        <v>0.18738813479055874</v>
      </c>
    </row>
    <row r="71" spans="1:10" x14ac:dyDescent="0.3">
      <c r="A71" s="1">
        <v>38051</v>
      </c>
      <c r="B71">
        <v>1.8453930000000001</v>
      </c>
      <c r="C71">
        <f t="shared" si="2"/>
        <v>1.2290261921636351E-2</v>
      </c>
      <c r="D71">
        <f>(C71-meanrtn)/stdevrtns</f>
        <v>2.0450156738286083</v>
      </c>
      <c r="F71">
        <f>F70+bucketwidth</f>
        <v>-0.95213356742602429</v>
      </c>
      <c r="G71">
        <f>F71-0.5*bucketwidth</f>
        <v>-1.0445347016060109</v>
      </c>
      <c r="H71">
        <v>165</v>
      </c>
      <c r="I71">
        <f>H71/numdata/bucketwidth</f>
        <v>0.17943050310696462</v>
      </c>
      <c r="J71">
        <f t="shared" si="1"/>
        <v>0.23120167332753741</v>
      </c>
    </row>
    <row r="72" spans="1:10" x14ac:dyDescent="0.3">
      <c r="A72" s="1">
        <v>38054</v>
      </c>
      <c r="B72">
        <v>1.8527100000000001</v>
      </c>
      <c r="C72">
        <f t="shared" si="2"/>
        <v>3.9650090793668441E-3</v>
      </c>
      <c r="D72">
        <f>(C72-meanrtn)/stdevrtns</f>
        <v>0.66518613840424778</v>
      </c>
      <c r="F72">
        <f>F71+bucketwidth</f>
        <v>-0.76733129906605124</v>
      </c>
      <c r="G72">
        <f>F72-0.5*bucketwidth</f>
        <v>-0.85973243324603776</v>
      </c>
      <c r="H72">
        <v>237</v>
      </c>
      <c r="I72">
        <f>H72/numdata/bucketwidth</f>
        <v>0.25772744991727647</v>
      </c>
      <c r="J72">
        <f t="shared" si="1"/>
        <v>0.27568166638319513</v>
      </c>
    </row>
    <row r="73" spans="1:10" x14ac:dyDescent="0.3">
      <c r="A73" s="1">
        <v>38055</v>
      </c>
      <c r="B73">
        <v>1.826084</v>
      </c>
      <c r="C73">
        <f t="shared" si="2"/>
        <v>-1.4371380302367903E-2</v>
      </c>
      <c r="D73">
        <f>(C73-meanrtn)/stdevrtns</f>
        <v>-2.373891727615498</v>
      </c>
      <c r="F73">
        <f>F72+bucketwidth</f>
        <v>-0.5825290307060782</v>
      </c>
      <c r="G73">
        <f>F73-0.5*bucketwidth</f>
        <v>-0.67493016488606472</v>
      </c>
      <c r="H73">
        <v>285</v>
      </c>
      <c r="I73">
        <f>H73/numdata/bucketwidth</f>
        <v>0.30992541445748434</v>
      </c>
      <c r="J73">
        <f t="shared" ref="J73:J135" si="3">1/SQRT(2*PI())*EXP(-0.5*G73*G73)</f>
        <v>0.31768215871215788</v>
      </c>
    </row>
    <row r="74" spans="1:10" x14ac:dyDescent="0.3">
      <c r="A74" s="1">
        <v>38056</v>
      </c>
      <c r="B74">
        <v>1.8033939999999999</v>
      </c>
      <c r="C74">
        <f t="shared" si="2"/>
        <v>-1.2425496307946458E-2</v>
      </c>
      <c r="D74">
        <f>(C74-meanrtn)/stdevrtns</f>
        <v>-2.0513804166821115</v>
      </c>
      <c r="F74">
        <f>F73+bucketwidth</f>
        <v>-0.3977267623461051</v>
      </c>
      <c r="G74">
        <f>F74-0.5*bucketwidth</f>
        <v>-0.49012789652609168</v>
      </c>
      <c r="H74">
        <v>351</v>
      </c>
      <c r="I74">
        <f>H74/numdata/bucketwidth</f>
        <v>0.38169761570027022</v>
      </c>
      <c r="J74">
        <f t="shared" si="3"/>
        <v>0.35379019512618165</v>
      </c>
    </row>
    <row r="75" spans="1:10" x14ac:dyDescent="0.3">
      <c r="A75" s="1">
        <v>38057</v>
      </c>
      <c r="B75">
        <v>1.810184</v>
      </c>
      <c r="C75">
        <f t="shared" si="2"/>
        <v>3.7651228738700884E-3</v>
      </c>
      <c r="D75">
        <f>(C75-meanrtn)/stdevrtns</f>
        <v>0.6320569475804001</v>
      </c>
      <c r="F75">
        <f>F74+bucketwidth</f>
        <v>-0.212924493986132</v>
      </c>
      <c r="G75">
        <f>F75-0.5*bucketwidth</f>
        <v>-0.30532562816611852</v>
      </c>
      <c r="H75">
        <v>420</v>
      </c>
      <c r="I75">
        <f>H75/numdata/bucketwidth</f>
        <v>0.45673218972681906</v>
      </c>
      <c r="J75">
        <f t="shared" si="3"/>
        <v>0.38077356321236283</v>
      </c>
    </row>
    <row r="76" spans="1:10" x14ac:dyDescent="0.3">
      <c r="A76" s="1">
        <v>38058</v>
      </c>
      <c r="B76">
        <v>1.8041100000000001</v>
      </c>
      <c r="C76">
        <f t="shared" si="2"/>
        <v>-3.3554599974366765E-3</v>
      </c>
      <c r="D76">
        <f>(C76-meanrtn)/stdevrtns</f>
        <v>-0.54811027873863571</v>
      </c>
      <c r="F76">
        <f>F75+bucketwidth</f>
        <v>-2.8122225626158903E-2</v>
      </c>
      <c r="G76">
        <f>F76-0.5*bucketwidth</f>
        <v>-0.12052335980614545</v>
      </c>
      <c r="H76">
        <v>456</v>
      </c>
      <c r="I76">
        <f>H76/numdata/bucketwidth</f>
        <v>0.49588066313197499</v>
      </c>
      <c r="J76">
        <f t="shared" si="3"/>
        <v>0.39605528323835248</v>
      </c>
    </row>
    <row r="77" spans="1:10" x14ac:dyDescent="0.3">
      <c r="A77" s="1">
        <v>38061</v>
      </c>
      <c r="B77">
        <v>1.804891</v>
      </c>
      <c r="C77">
        <f t="shared" si="2"/>
        <v>4.3290043290038888E-4</v>
      </c>
      <c r="D77">
        <f>(C77-meanrtn)/stdevrtns</f>
        <v>7.9773547932872016E-2</v>
      </c>
      <c r="F77">
        <f>F76+bucketwidth</f>
        <v>0.1566800427338142</v>
      </c>
      <c r="G77">
        <f>F77-0.5*bucketwidth</f>
        <v>6.4278908553827646E-2</v>
      </c>
      <c r="H77">
        <v>483</v>
      </c>
      <c r="I77">
        <f>H77/numdata/bucketwidth</f>
        <v>0.52524201818584193</v>
      </c>
      <c r="J77">
        <f t="shared" si="3"/>
        <v>0.39811896065223157</v>
      </c>
    </row>
    <row r="78" spans="1:10" x14ac:dyDescent="0.3">
      <c r="A78" s="1">
        <v>38062</v>
      </c>
      <c r="B78">
        <v>1.813204</v>
      </c>
      <c r="C78">
        <f t="shared" si="2"/>
        <v>4.605818301493007E-3</v>
      </c>
      <c r="D78">
        <f>(C78-meanrtn)/stdevrtns</f>
        <v>0.7713940227789583</v>
      </c>
      <c r="F78">
        <f>F77+bucketwidth</f>
        <v>0.34148231109378729</v>
      </c>
      <c r="G78">
        <f>F78-0.5*bucketwidth</f>
        <v>0.24908117691380074</v>
      </c>
      <c r="H78">
        <v>416</v>
      </c>
      <c r="I78">
        <f>H78/numdata/bucketwidth</f>
        <v>0.45238235934846838</v>
      </c>
      <c r="J78">
        <f t="shared" si="3"/>
        <v>0.38675678364594779</v>
      </c>
    </row>
    <row r="79" spans="1:10" x14ac:dyDescent="0.3">
      <c r="A79" s="1">
        <v>38063</v>
      </c>
      <c r="B79">
        <v>1.8167949999999999</v>
      </c>
      <c r="C79">
        <f t="shared" si="2"/>
        <v>1.9804721366155709E-3</v>
      </c>
      <c r="D79">
        <f>(C79-meanrtn)/stdevrtns</f>
        <v>0.33626847792842623</v>
      </c>
      <c r="F79">
        <f>F78+bucketwidth</f>
        <v>0.52628457945376039</v>
      </c>
      <c r="G79">
        <f>F79-0.5*bucketwidth</f>
        <v>0.43388344527377387</v>
      </c>
      <c r="H79">
        <v>402</v>
      </c>
      <c r="I79">
        <f>H79/numdata/bucketwidth</f>
        <v>0.4371579530242411</v>
      </c>
      <c r="J79">
        <f t="shared" si="3"/>
        <v>0.36310401057633568</v>
      </c>
    </row>
    <row r="80" spans="1:10" x14ac:dyDescent="0.3">
      <c r="A80" s="1">
        <v>38064</v>
      </c>
      <c r="B80">
        <v>1.8354010000000001</v>
      </c>
      <c r="C80">
        <f t="shared" si="2"/>
        <v>1.0241111407726312E-2</v>
      </c>
      <c r="D80">
        <f>(C80-meanrtn)/stdevrtns</f>
        <v>1.7053889435427456</v>
      </c>
      <c r="F80">
        <f>F79+bucketwidth</f>
        <v>0.71108684781373355</v>
      </c>
      <c r="G80">
        <f>F80-0.5*bucketwidth</f>
        <v>0.61868571363374703</v>
      </c>
      <c r="H80">
        <v>296</v>
      </c>
      <c r="I80">
        <f>H80/numdata/bucketwidth</f>
        <v>0.32188744799794866</v>
      </c>
      <c r="J80">
        <f t="shared" si="3"/>
        <v>0.32945202358378239</v>
      </c>
    </row>
    <row r="81" spans="1:10" x14ac:dyDescent="0.3">
      <c r="A81" s="1">
        <v>38065</v>
      </c>
      <c r="B81">
        <v>1.8341890000000001</v>
      </c>
      <c r="C81">
        <f t="shared" si="2"/>
        <v>-6.6034615868684331E-4</v>
      </c>
      <c r="D81">
        <f>(C81-meanrtn)/stdevrtns</f>
        <v>-0.10142142177604231</v>
      </c>
      <c r="F81">
        <f>F80+bucketwidth</f>
        <v>0.89588911617370659</v>
      </c>
      <c r="G81">
        <f>F81-0.5*bucketwidth</f>
        <v>0.80348798199372007</v>
      </c>
      <c r="H81">
        <v>256</v>
      </c>
      <c r="I81">
        <f>H81/numdata/bucketwidth</f>
        <v>0.27838914421444211</v>
      </c>
      <c r="J81">
        <f t="shared" si="3"/>
        <v>0.28888257110239968</v>
      </c>
    </row>
    <row r="82" spans="1:10" x14ac:dyDescent="0.3">
      <c r="A82" s="1">
        <v>38068</v>
      </c>
      <c r="B82">
        <v>1.847507</v>
      </c>
      <c r="C82">
        <f t="shared" si="2"/>
        <v>7.2609747414251972E-3</v>
      </c>
      <c r="D82">
        <f>(C82-meanrtn)/stdevrtns</f>
        <v>1.2114603302416274</v>
      </c>
      <c r="F82">
        <f>F81+bucketwidth</f>
        <v>1.0806913845336796</v>
      </c>
      <c r="G82">
        <f>F82-0.5*bucketwidth</f>
        <v>0.98829025035369311</v>
      </c>
      <c r="H82">
        <v>198</v>
      </c>
      <c r="I82">
        <f>H82/numdata/bucketwidth</f>
        <v>0.21531660372835754</v>
      </c>
      <c r="J82">
        <f t="shared" si="3"/>
        <v>0.24480401124419654</v>
      </c>
    </row>
    <row r="83" spans="1:10" x14ac:dyDescent="0.3">
      <c r="A83" s="1">
        <v>38069</v>
      </c>
      <c r="B83">
        <v>1.8520920000000001</v>
      </c>
      <c r="C83">
        <f t="shared" si="2"/>
        <v>2.4817226673566387E-3</v>
      </c>
      <c r="D83">
        <f>(C83-meanrtn)/stdevrtns</f>
        <v>0.41934586909809995</v>
      </c>
      <c r="F83">
        <f>F82+bucketwidth</f>
        <v>1.2654936528936527</v>
      </c>
      <c r="G83">
        <f>F83-0.5*bucketwidth</f>
        <v>1.173092518713666</v>
      </c>
      <c r="H83">
        <v>130</v>
      </c>
      <c r="I83">
        <f>H83/numdata/bucketwidth</f>
        <v>0.14136948729639637</v>
      </c>
      <c r="J83">
        <f t="shared" si="3"/>
        <v>0.20048585929379648</v>
      </c>
    </row>
    <row r="84" spans="1:10" x14ac:dyDescent="0.3">
      <c r="A84" s="1">
        <v>38070</v>
      </c>
      <c r="B84">
        <v>1.8252839999999999</v>
      </c>
      <c r="C84">
        <f t="shared" si="2"/>
        <v>-1.4474442954237783E-2</v>
      </c>
      <c r="D84">
        <f>(C84-meanrtn)/stdevrtns</f>
        <v>-2.3909733578967054</v>
      </c>
      <c r="F84">
        <f>F83+bucketwidth</f>
        <v>1.4502959212536257</v>
      </c>
      <c r="G84">
        <f>F84-0.5*bucketwidth</f>
        <v>1.3578947870736391</v>
      </c>
      <c r="H84">
        <v>98</v>
      </c>
      <c r="I84">
        <f>H84/numdata/bucketwidth</f>
        <v>0.10657084426959111</v>
      </c>
      <c r="J84">
        <f t="shared" si="3"/>
        <v>0.15867809962010163</v>
      </c>
    </row>
    <row r="85" spans="1:10" x14ac:dyDescent="0.3">
      <c r="A85" s="1">
        <v>38071</v>
      </c>
      <c r="B85">
        <v>1.8079909999999999</v>
      </c>
      <c r="C85">
        <f t="shared" si="2"/>
        <v>-9.4741421061051347E-3</v>
      </c>
      <c r="D85">
        <f>(C85-meanrtn)/stdevrtns</f>
        <v>-1.5622222164022386</v>
      </c>
      <c r="F85">
        <f>F84+bucketwidth</f>
        <v>1.6350981896135988</v>
      </c>
      <c r="G85">
        <f>F85-0.5*bucketwidth</f>
        <v>1.5426970554336121</v>
      </c>
      <c r="H85">
        <v>86</v>
      </c>
      <c r="I85">
        <f>H85/numdata/bucketwidth</f>
        <v>9.3521353134539145E-2</v>
      </c>
      <c r="J85">
        <f t="shared" si="3"/>
        <v>0.12137193128362181</v>
      </c>
    </row>
    <row r="86" spans="1:10" x14ac:dyDescent="0.3">
      <c r="A86" s="1">
        <v>38072</v>
      </c>
      <c r="B86">
        <v>1.8176859999999999</v>
      </c>
      <c r="C86">
        <f t="shared" si="2"/>
        <v>5.3623054539541455E-3</v>
      </c>
      <c r="D86">
        <f>(C86-meanrtn)/stdevrtns</f>
        <v>0.89677439691428584</v>
      </c>
      <c r="F86">
        <f>F85+bucketwidth</f>
        <v>1.8199004579735718</v>
      </c>
      <c r="G86">
        <f>F86-0.5*bucketwidth</f>
        <v>1.7274993237935852</v>
      </c>
      <c r="H86">
        <v>64</v>
      </c>
      <c r="I86">
        <f>H86/numdata/bucketwidth</f>
        <v>6.9597286053610527E-2</v>
      </c>
      <c r="J86">
        <f t="shared" si="3"/>
        <v>8.9719648232956362E-2</v>
      </c>
    </row>
    <row r="87" spans="1:10" x14ac:dyDescent="0.3">
      <c r="A87" s="1">
        <v>38075</v>
      </c>
      <c r="B87">
        <v>1.819604</v>
      </c>
      <c r="C87">
        <f t="shared" si="2"/>
        <v>1.0551877496993906E-3</v>
      </c>
      <c r="D87">
        <f>(C87-meanrtn)/stdevrtns</f>
        <v>0.18291160698131839</v>
      </c>
      <c r="F87">
        <f>F86+bucketwidth</f>
        <v>2.0047027263335448</v>
      </c>
      <c r="G87">
        <f>F87-0.5*bucketwidth</f>
        <v>1.9123015921535582</v>
      </c>
      <c r="H87">
        <v>40</v>
      </c>
      <c r="I87">
        <f>H87/numdata/bucketwidth</f>
        <v>4.3498303783506574E-2</v>
      </c>
      <c r="J87">
        <f t="shared" si="3"/>
        <v>6.4095108854992811E-2</v>
      </c>
    </row>
    <row r="88" spans="1:10" x14ac:dyDescent="0.3">
      <c r="A88" s="1">
        <v>38076</v>
      </c>
      <c r="B88">
        <v>1.8275859999999999</v>
      </c>
      <c r="C88">
        <f t="shared" si="2"/>
        <v>4.3866687477055084E-3</v>
      </c>
      <c r="D88">
        <f>(C88-meanrtn)/stdevrtns</f>
        <v>0.73507211968242392</v>
      </c>
      <c r="F88">
        <f>F87+bucketwidth</f>
        <v>2.1895049946935181</v>
      </c>
      <c r="G88">
        <f>F88-0.5*bucketwidth</f>
        <v>2.0971038605135317</v>
      </c>
      <c r="H88">
        <v>30</v>
      </c>
      <c r="I88">
        <f>H88/numdata/bucketwidth</f>
        <v>3.2623727837629929E-2</v>
      </c>
      <c r="J88">
        <f t="shared" si="3"/>
        <v>4.4251729033196144E-2</v>
      </c>
    </row>
    <row r="89" spans="1:10" x14ac:dyDescent="0.3">
      <c r="A89" s="1">
        <v>38077</v>
      </c>
      <c r="B89">
        <v>1.843386</v>
      </c>
      <c r="C89">
        <f t="shared" si="2"/>
        <v>8.6452839975793404E-3</v>
      </c>
      <c r="D89">
        <f>(C89-meanrtn)/stdevrtns</f>
        <v>1.4408961004208438</v>
      </c>
      <c r="F89">
        <f>F88+bucketwidth</f>
        <v>2.3743072630534914</v>
      </c>
      <c r="G89">
        <f>F89-0.5*bucketwidth</f>
        <v>2.281906128873505</v>
      </c>
      <c r="H89">
        <v>20</v>
      </c>
      <c r="I89">
        <f>H89/numdata/bucketwidth</f>
        <v>2.1749151891753287E-2</v>
      </c>
      <c r="J89">
        <f t="shared" si="3"/>
        <v>2.9525932803929792E-2</v>
      </c>
    </row>
    <row r="90" spans="1:10" x14ac:dyDescent="0.3">
      <c r="A90" s="1">
        <v>38078</v>
      </c>
      <c r="B90">
        <v>1.8564929999999999</v>
      </c>
      <c r="C90">
        <f t="shared" si="2"/>
        <v>7.1102850949285607E-3</v>
      </c>
      <c r="D90">
        <f>(C90-meanrtn)/stdevrtns</f>
        <v>1.1864849896894438</v>
      </c>
      <c r="F90">
        <f>F89+bucketwidth</f>
        <v>2.5591095314134646</v>
      </c>
      <c r="G90">
        <f>F90-0.5*bucketwidth</f>
        <v>2.4667083972334782</v>
      </c>
      <c r="H90">
        <v>16</v>
      </c>
      <c r="I90">
        <f>H90/numdata/bucketwidth</f>
        <v>1.7399321513402632E-2</v>
      </c>
      <c r="J90">
        <f t="shared" si="3"/>
        <v>1.9039039607079422E-2</v>
      </c>
    </row>
    <row r="91" spans="1:10" x14ac:dyDescent="0.3">
      <c r="A91" s="1">
        <v>38079</v>
      </c>
      <c r="B91">
        <v>1.828087</v>
      </c>
      <c r="C91">
        <f t="shared" si="2"/>
        <v>-1.5300892596955622E-2</v>
      </c>
      <c r="D91">
        <f>(C91-meanrtn)/stdevrtns</f>
        <v>-2.5279493330614571</v>
      </c>
      <c r="F91">
        <f>F90+bucketwidth</f>
        <v>2.7439117997734379</v>
      </c>
      <c r="G91">
        <f>F91-0.5*bucketwidth</f>
        <v>2.6515106655934515</v>
      </c>
      <c r="H91">
        <v>12</v>
      </c>
      <c r="I91">
        <f>H91/numdata/bucketwidth</f>
        <v>1.3049491135051975E-2</v>
      </c>
      <c r="J91">
        <f t="shared" si="3"/>
        <v>1.186463754179168E-2</v>
      </c>
    </row>
    <row r="92" spans="1:10" x14ac:dyDescent="0.3">
      <c r="A92" s="1">
        <v>38082</v>
      </c>
      <c r="B92">
        <v>1.8237859999999999</v>
      </c>
      <c r="C92">
        <f t="shared" si="2"/>
        <v>-2.3527326653491384E-3</v>
      </c>
      <c r="D92">
        <f>(C92-meanrtn)/stdevrtns</f>
        <v>-0.38191799425127571</v>
      </c>
      <c r="F92">
        <f>F91+bucketwidth</f>
        <v>2.9287140681334112</v>
      </c>
      <c r="G92">
        <f>F92-0.5*bucketwidth</f>
        <v>2.8363129339534248</v>
      </c>
      <c r="H92">
        <v>10</v>
      </c>
      <c r="I92">
        <f>H92/numdata/bucketwidth</f>
        <v>1.0874575945876644E-2</v>
      </c>
      <c r="J92">
        <f t="shared" si="3"/>
        <v>7.1454887685833759E-3</v>
      </c>
    </row>
    <row r="93" spans="1:10" x14ac:dyDescent="0.3">
      <c r="A93" s="1">
        <v>38083</v>
      </c>
      <c r="B93">
        <v>1.843488</v>
      </c>
      <c r="C93">
        <f t="shared" si="2"/>
        <v>1.0802802521787155E-2</v>
      </c>
      <c r="D93">
        <f>(C93-meanrtn)/stdevrtns</f>
        <v>1.798483772450703</v>
      </c>
      <c r="F93">
        <f>F92+bucketwidth</f>
        <v>3.1135163364933844</v>
      </c>
      <c r="G93">
        <f>F93-0.5*bucketwidth</f>
        <v>3.021115202313398</v>
      </c>
      <c r="H93">
        <v>6</v>
      </c>
      <c r="I93">
        <f>H93/numdata/bucketwidth</f>
        <v>6.5247455675259873E-3</v>
      </c>
      <c r="J93">
        <f t="shared" si="3"/>
        <v>4.1588900050216274E-3</v>
      </c>
    </row>
    <row r="94" spans="1:10" x14ac:dyDescent="0.3">
      <c r="A94" s="1">
        <v>38084</v>
      </c>
      <c r="B94">
        <v>1.8401970000000001</v>
      </c>
      <c r="C94">
        <f t="shared" si="2"/>
        <v>-1.7852028328906578E-3</v>
      </c>
      <c r="D94">
        <f>(C94-meanrtn)/stdevrtns</f>
        <v>-0.28785545466272727</v>
      </c>
      <c r="F94">
        <f>F93+bucketwidth</f>
        <v>3.2983186048533577</v>
      </c>
      <c r="G94">
        <f>F94-0.5*bucketwidth</f>
        <v>3.2059174706733713</v>
      </c>
      <c r="H94">
        <v>2</v>
      </c>
      <c r="I94">
        <f>H94/numdata/bucketwidth</f>
        <v>2.174915189175329E-3</v>
      </c>
      <c r="J94">
        <f t="shared" si="3"/>
        <v>2.3393271174994073E-3</v>
      </c>
    </row>
    <row r="95" spans="1:10" x14ac:dyDescent="0.3">
      <c r="A95" s="1">
        <v>38085</v>
      </c>
      <c r="B95">
        <v>1.831099</v>
      </c>
      <c r="C95">
        <f t="shared" si="2"/>
        <v>-4.9440358831147153E-3</v>
      </c>
      <c r="D95">
        <f>(C95-meanrtn)/stdevrtns</f>
        <v>-0.81140125234033711</v>
      </c>
      <c r="F95">
        <f>F94+bucketwidth</f>
        <v>3.483120873213331</v>
      </c>
      <c r="G95">
        <f>F95-0.5*bucketwidth</f>
        <v>3.3907197390333446</v>
      </c>
      <c r="H95">
        <v>8</v>
      </c>
      <c r="I95">
        <f>H95/numdata/bucketwidth</f>
        <v>8.6996607567013159E-3</v>
      </c>
      <c r="J95">
        <f t="shared" si="3"/>
        <v>1.2716643717859792E-3</v>
      </c>
    </row>
    <row r="96" spans="1:10" x14ac:dyDescent="0.3">
      <c r="A96" s="1">
        <v>38086</v>
      </c>
      <c r="B96">
        <v>1.8337859999999999</v>
      </c>
      <c r="C96">
        <f t="shared" si="2"/>
        <v>1.467424754204925E-3</v>
      </c>
      <c r="D96">
        <f>(C96-meanrtn)/stdevrtns</f>
        <v>0.25123587354576055</v>
      </c>
      <c r="F96">
        <f>F95+bucketwidth</f>
        <v>3.6679231415733042</v>
      </c>
      <c r="G96">
        <f>F96-0.5*bucketwidth</f>
        <v>3.5755220073933178</v>
      </c>
      <c r="H96">
        <v>1</v>
      </c>
      <c r="I96">
        <f>H96/numdata/bucketwidth</f>
        <v>1.0874575945876645E-3</v>
      </c>
      <c r="J96">
        <f t="shared" si="3"/>
        <v>6.6807016943390125E-4</v>
      </c>
    </row>
    <row r="97" spans="1:10" x14ac:dyDescent="0.3">
      <c r="A97" s="1">
        <v>38089</v>
      </c>
      <c r="B97">
        <v>1.837898</v>
      </c>
      <c r="C97">
        <f t="shared" si="2"/>
        <v>2.2423554329677048E-3</v>
      </c>
      <c r="D97">
        <f>(C97-meanrtn)/stdevrtns</f>
        <v>0.37967308244761561</v>
      </c>
      <c r="F97">
        <f>F96+bucketwidth</f>
        <v>3.8527254099332775</v>
      </c>
      <c r="G97">
        <f>F97-0.5*bucketwidth</f>
        <v>3.7603242757532911</v>
      </c>
      <c r="H97">
        <v>2</v>
      </c>
      <c r="I97">
        <f>H97/numdata/bucketwidth</f>
        <v>2.174915189175329E-3</v>
      </c>
      <c r="J97">
        <f t="shared" si="3"/>
        <v>3.3918737908857169E-4</v>
      </c>
    </row>
    <row r="98" spans="1:10" x14ac:dyDescent="0.3">
      <c r="A98" s="1">
        <v>38090</v>
      </c>
      <c r="B98">
        <v>1.8181160000000001</v>
      </c>
      <c r="C98">
        <f t="shared" si="2"/>
        <v>-1.0763382951611007E-2</v>
      </c>
      <c r="D98">
        <f>(C98-meanrtn)/stdevrtns</f>
        <v>-1.7759013238850008</v>
      </c>
      <c r="F98">
        <f>F97+bucketwidth</f>
        <v>4.0375276782932508</v>
      </c>
      <c r="G98">
        <f>F98-0.5*bucketwidth</f>
        <v>3.9451265441132644</v>
      </c>
      <c r="H98">
        <v>2</v>
      </c>
      <c r="I98">
        <f>H98/numdata/bucketwidth</f>
        <v>2.174915189175329E-3</v>
      </c>
      <c r="J98">
        <f t="shared" si="3"/>
        <v>1.6642758672049028E-4</v>
      </c>
    </row>
    <row r="99" spans="1:10" x14ac:dyDescent="0.3">
      <c r="A99" s="1">
        <v>38091</v>
      </c>
      <c r="B99">
        <v>1.7898050000000001</v>
      </c>
      <c r="C99">
        <f t="shared" si="2"/>
        <v>-1.5571613692415651E-2</v>
      </c>
      <c r="D99">
        <f>(C99-meanrtn)/stdevrtns</f>
        <v>-2.5728187166652292</v>
      </c>
      <c r="F99">
        <f>F98+bucketwidth</f>
        <v>4.2223299466532236</v>
      </c>
      <c r="G99">
        <f>F99-0.5*bucketwidth</f>
        <v>4.1299288124732367</v>
      </c>
      <c r="H99">
        <v>0</v>
      </c>
      <c r="I99">
        <f>H99/numdata/bucketwidth</f>
        <v>0</v>
      </c>
      <c r="J99">
        <f t="shared" si="3"/>
        <v>7.8918527805081046E-5</v>
      </c>
    </row>
    <row r="100" spans="1:10" x14ac:dyDescent="0.3">
      <c r="A100" s="1">
        <v>38092</v>
      </c>
      <c r="B100">
        <v>1.7914079999999999</v>
      </c>
      <c r="C100">
        <f t="shared" si="2"/>
        <v>8.9562829470238314E-4</v>
      </c>
      <c r="D100">
        <f>(C100-meanrtn)/stdevrtns</f>
        <v>0.15646618209965596</v>
      </c>
      <c r="F100">
        <f>F99+bucketwidth</f>
        <v>4.4071322150131964</v>
      </c>
      <c r="G100">
        <f>F100-0.5*bucketwidth</f>
        <v>4.3147310808332096</v>
      </c>
      <c r="H100">
        <v>0</v>
      </c>
      <c r="I100">
        <f>H100/numdata/bucketwidth</f>
        <v>0</v>
      </c>
      <c r="J100">
        <f t="shared" si="3"/>
        <v>3.616601532870031E-5</v>
      </c>
    </row>
    <row r="101" spans="1:10" x14ac:dyDescent="0.3">
      <c r="A101" s="1">
        <v>38093</v>
      </c>
      <c r="B101">
        <v>1.7963</v>
      </c>
      <c r="C101">
        <f t="shared" si="2"/>
        <v>2.7308128578191673E-3</v>
      </c>
      <c r="D101">
        <f>(C101-meanrtn)/stdevrtns</f>
        <v>0.4606301409750585</v>
      </c>
      <c r="F101">
        <f>F100+bucketwidth</f>
        <v>4.5919344833731692</v>
      </c>
      <c r="G101">
        <f>F101-0.5*bucketwidth</f>
        <v>4.4995333491931824</v>
      </c>
      <c r="H101">
        <v>0</v>
      </c>
      <c r="I101">
        <f>H101/numdata/bucketwidth</f>
        <v>0</v>
      </c>
      <c r="J101">
        <f t="shared" si="3"/>
        <v>1.6017339344924366E-5</v>
      </c>
    </row>
    <row r="102" spans="1:10" x14ac:dyDescent="0.3">
      <c r="A102" s="1">
        <v>38096</v>
      </c>
      <c r="B102">
        <v>1.8071090000000001</v>
      </c>
      <c r="C102">
        <f t="shared" si="2"/>
        <v>6.0173690363525406E-3</v>
      </c>
      <c r="D102">
        <f>(C102-meanrtn)/stdevrtns</f>
        <v>1.0053448026063481</v>
      </c>
      <c r="F102">
        <f>F101+bucketwidth</f>
        <v>4.7767367517331421</v>
      </c>
      <c r="G102">
        <f>F102-0.5*bucketwidth</f>
        <v>4.6843356175531552</v>
      </c>
      <c r="H102">
        <v>0</v>
      </c>
      <c r="I102">
        <f>H102/numdata/bucketwidth</f>
        <v>0</v>
      </c>
      <c r="J102">
        <f t="shared" si="3"/>
        <v>6.8556418143841992E-6</v>
      </c>
    </row>
    <row r="103" spans="1:10" x14ac:dyDescent="0.3">
      <c r="A103" s="1">
        <v>38097</v>
      </c>
      <c r="B103">
        <v>1.7853000000000001</v>
      </c>
      <c r="C103">
        <f t="shared" si="2"/>
        <v>-1.2068447448383006E-2</v>
      </c>
      <c r="D103">
        <f>(C103-meanrtn)/stdevrtns</f>
        <v>-1.9922030473758197</v>
      </c>
      <c r="F103">
        <f>F102+bucketwidth</f>
        <v>4.9615390200931149</v>
      </c>
      <c r="G103">
        <f>F103-0.5*bucketwidth</f>
        <v>4.869137885913128</v>
      </c>
      <c r="H103">
        <v>3</v>
      </c>
      <c r="I103">
        <f>H103/numdata/bucketwidth</f>
        <v>3.2623727837629937E-3</v>
      </c>
      <c r="J103">
        <f t="shared" si="3"/>
        <v>2.835788839507027E-6</v>
      </c>
    </row>
    <row r="104" spans="1:10" x14ac:dyDescent="0.3">
      <c r="A104" s="1">
        <v>38098</v>
      </c>
      <c r="B104">
        <v>1.769504</v>
      </c>
      <c r="C104">
        <f t="shared" si="2"/>
        <v>-8.8478126925447508E-3</v>
      </c>
      <c r="D104">
        <f>(C104-meanrtn)/stdevrtns</f>
        <v>-1.4584142192027152</v>
      </c>
      <c r="F104">
        <f>F103+bucketwidth</f>
        <v>5.1463412884530877</v>
      </c>
      <c r="G104">
        <f>F104-0.5*bucketwidth</f>
        <v>5.0539401542731008</v>
      </c>
      <c r="H104">
        <v>1</v>
      </c>
      <c r="I104">
        <f>H104/numdata/bucketwidth</f>
        <v>1.0874575945876645E-3</v>
      </c>
      <c r="J104">
        <f t="shared" si="3"/>
        <v>1.1336204887335517E-6</v>
      </c>
    </row>
    <row r="105" spans="1:10" x14ac:dyDescent="0.3">
      <c r="A105" s="1">
        <v>38099</v>
      </c>
      <c r="B105">
        <v>1.775285</v>
      </c>
      <c r="C105">
        <f t="shared" si="2"/>
        <v>3.2670171980396972E-3</v>
      </c>
      <c r="D105">
        <f>(C105-meanrtn)/stdevrtns</f>
        <v>0.5495007854679802</v>
      </c>
      <c r="F105">
        <f>F104+bucketwidth</f>
        <v>5.3311435568130605</v>
      </c>
      <c r="G105">
        <f>F105-0.5*bucketwidth</f>
        <v>5.2387424226330737</v>
      </c>
      <c r="H105">
        <v>0</v>
      </c>
      <c r="I105">
        <f>H105/numdata/bucketwidth</f>
        <v>0</v>
      </c>
      <c r="J105">
        <f t="shared" si="3"/>
        <v>4.3795502322111206E-7</v>
      </c>
    </row>
    <row r="106" spans="1:10" x14ac:dyDescent="0.3">
      <c r="A106" s="1">
        <v>38100</v>
      </c>
      <c r="B106">
        <v>1.773207</v>
      </c>
      <c r="C106">
        <f t="shared" si="2"/>
        <v>-1.1705162833010048E-3</v>
      </c>
      <c r="D106">
        <f>(C106-meanrtn)/stdevrtns</f>
        <v>-0.18597714871560359</v>
      </c>
      <c r="F106">
        <f>F105+bucketwidth</f>
        <v>5.5159458251730333</v>
      </c>
      <c r="G106">
        <f>F106-0.5*bucketwidth</f>
        <v>5.4235446909930465</v>
      </c>
      <c r="H106">
        <v>0</v>
      </c>
      <c r="I106">
        <f>H106/numdata/bucketwidth</f>
        <v>0</v>
      </c>
      <c r="J106">
        <f t="shared" si="3"/>
        <v>1.6351566499950459E-7</v>
      </c>
    </row>
    <row r="107" spans="1:10" x14ac:dyDescent="0.3">
      <c r="A107" s="1">
        <v>38103</v>
      </c>
      <c r="B107">
        <v>1.7860009999999999</v>
      </c>
      <c r="C107">
        <f t="shared" si="2"/>
        <v>7.2151756675898375E-3</v>
      </c>
      <c r="D107">
        <f>(C107-meanrtn)/stdevrtns</f>
        <v>1.203869580030144</v>
      </c>
      <c r="F107">
        <f>F106+bucketwidth</f>
        <v>5.7007480935330062</v>
      </c>
      <c r="G107">
        <f>F107-0.5*bucketwidth</f>
        <v>5.6083469593530193</v>
      </c>
      <c r="H107">
        <v>0</v>
      </c>
      <c r="I107">
        <f>H107/numdata/bucketwidth</f>
        <v>0</v>
      </c>
      <c r="J107">
        <f t="shared" si="3"/>
        <v>5.9000711048324213E-8</v>
      </c>
    </row>
    <row r="108" spans="1:10" x14ac:dyDescent="0.3">
      <c r="A108" s="1">
        <v>38104</v>
      </c>
      <c r="B108">
        <v>1.79189</v>
      </c>
      <c r="C108">
        <f t="shared" si="2"/>
        <v>3.2973105838126817E-3</v>
      </c>
      <c r="D108">
        <f>(C108-meanrtn)/stdevrtns</f>
        <v>0.554521618974122</v>
      </c>
      <c r="F108">
        <f>F107+bucketwidth</f>
        <v>5.885550361892979</v>
      </c>
      <c r="G108">
        <f>F108-0.5*bucketwidth</f>
        <v>5.7931492277129921</v>
      </c>
      <c r="H108">
        <v>1</v>
      </c>
      <c r="I108">
        <f>H108/numdata/bucketwidth</f>
        <v>1.0874575945876645E-3</v>
      </c>
      <c r="J108">
        <f t="shared" si="3"/>
        <v>2.0574209315942988E-8</v>
      </c>
    </row>
    <row r="109" spans="1:10" x14ac:dyDescent="0.3">
      <c r="A109" s="1">
        <v>38105</v>
      </c>
      <c r="B109">
        <v>1.7710090000000001</v>
      </c>
      <c r="C109">
        <f t="shared" si="2"/>
        <v>-1.165305906054497E-2</v>
      </c>
      <c r="D109">
        <f>(C109-meanrtn)/stdevrtns</f>
        <v>-1.9233564697318208</v>
      </c>
      <c r="F109">
        <f>F108+bucketwidth</f>
        <v>6.0703526302529518</v>
      </c>
      <c r="G109">
        <f>F109-0.5*bucketwidth</f>
        <v>5.9779514960729649</v>
      </c>
      <c r="H109">
        <v>0</v>
      </c>
      <c r="I109">
        <f>H109/numdata/bucketwidth</f>
        <v>0</v>
      </c>
      <c r="J109">
        <f t="shared" si="3"/>
        <v>6.9335729604219238E-9</v>
      </c>
    </row>
    <row r="110" spans="1:10" x14ac:dyDescent="0.3">
      <c r="A110" s="1">
        <v>38106</v>
      </c>
      <c r="B110">
        <v>1.773396</v>
      </c>
      <c r="C110">
        <f t="shared" si="2"/>
        <v>1.3478192375080628E-3</v>
      </c>
      <c r="D110">
        <f>(C110-meanrtn)/stdevrtns</f>
        <v>0.23141242461696712</v>
      </c>
      <c r="F110">
        <f>F109+bucketwidth</f>
        <v>6.2551548986129246</v>
      </c>
      <c r="G110">
        <f>F110-0.5*bucketwidth</f>
        <v>6.1627537644329378</v>
      </c>
      <c r="H110">
        <v>0</v>
      </c>
      <c r="I110">
        <f>H110/numdata/bucketwidth</f>
        <v>0</v>
      </c>
      <c r="J110">
        <f t="shared" si="3"/>
        <v>2.2581825836122271E-9</v>
      </c>
    </row>
    <row r="111" spans="1:10" x14ac:dyDescent="0.3">
      <c r="A111" s="1">
        <v>38107</v>
      </c>
      <c r="B111">
        <v>1.7786</v>
      </c>
      <c r="C111">
        <f t="shared" si="2"/>
        <v>2.9344827663984729E-3</v>
      </c>
      <c r="D111">
        <f>(C111-meanrtn)/stdevrtns</f>
        <v>0.49438644371556423</v>
      </c>
      <c r="F111">
        <f>F110+bucketwidth</f>
        <v>6.4399571669728974</v>
      </c>
      <c r="G111">
        <f>F111-0.5*bucketwidth</f>
        <v>6.3475560327929106</v>
      </c>
      <c r="H111">
        <v>0</v>
      </c>
      <c r="I111">
        <f>H111/numdata/bucketwidth</f>
        <v>0</v>
      </c>
      <c r="J111">
        <f t="shared" si="3"/>
        <v>7.1076992791111523E-10</v>
      </c>
    </row>
    <row r="112" spans="1:10" x14ac:dyDescent="0.3">
      <c r="A112" s="1">
        <v>38110</v>
      </c>
      <c r="B112">
        <v>1.771385</v>
      </c>
      <c r="C112">
        <f t="shared" si="2"/>
        <v>-4.0565613403800585E-3</v>
      </c>
      <c r="D112">
        <f>(C112-meanrtn)/stdevrtns</f>
        <v>-0.66431099463848386</v>
      </c>
      <c r="F112">
        <f>F111+bucketwidth</f>
        <v>6.6247594353328703</v>
      </c>
      <c r="G112">
        <f>F112-0.5*bucketwidth</f>
        <v>6.5323583011528834</v>
      </c>
      <c r="H112">
        <v>0</v>
      </c>
      <c r="I112">
        <f>H112/numdata/bucketwidth</f>
        <v>0</v>
      </c>
      <c r="J112">
        <f t="shared" si="3"/>
        <v>2.16205662395016E-10</v>
      </c>
    </row>
    <row r="113" spans="1:10" x14ac:dyDescent="0.3">
      <c r="A113" s="1">
        <v>38111</v>
      </c>
      <c r="B113">
        <v>1.795687</v>
      </c>
      <c r="C113">
        <f t="shared" si="2"/>
        <v>1.3719208416013484E-2</v>
      </c>
      <c r="D113">
        <f>(C113-meanrtn)/stdevrtns</f>
        <v>2.2818496312877516</v>
      </c>
      <c r="F113">
        <f>F112+bucketwidth</f>
        <v>6.8095617036928431</v>
      </c>
      <c r="G113">
        <f>F113-0.5*bucketwidth</f>
        <v>6.7171605695128562</v>
      </c>
      <c r="H113">
        <v>0</v>
      </c>
      <c r="I113">
        <f>H113/numdata/bucketwidth</f>
        <v>0</v>
      </c>
      <c r="J113">
        <f t="shared" si="3"/>
        <v>6.3558422634922918E-11</v>
      </c>
    </row>
    <row r="114" spans="1:10" x14ac:dyDescent="0.3">
      <c r="A114" s="1">
        <v>38112</v>
      </c>
      <c r="B114">
        <v>1.790991</v>
      </c>
      <c r="C114">
        <f t="shared" si="2"/>
        <v>-2.615155091059875E-3</v>
      </c>
      <c r="D114">
        <f>(C114-meanrtn)/stdevrtns</f>
        <v>-0.42541195420825278</v>
      </c>
      <c r="F114">
        <f>F113+bucketwidth</f>
        <v>6.9943639720528159</v>
      </c>
      <c r="G114">
        <f>F114-0.5*bucketwidth</f>
        <v>6.901962837872829</v>
      </c>
      <c r="H114">
        <v>0</v>
      </c>
      <c r="I114">
        <f>H114/numdata/bucketwidth</f>
        <v>0</v>
      </c>
      <c r="J114">
        <f t="shared" si="3"/>
        <v>1.8057065976811574E-11</v>
      </c>
    </row>
    <row r="115" spans="1:10" x14ac:dyDescent="0.3">
      <c r="A115" s="1">
        <v>38113</v>
      </c>
      <c r="B115">
        <v>1.794591</v>
      </c>
      <c r="C115">
        <f t="shared" si="2"/>
        <v>2.0100603520620971E-3</v>
      </c>
      <c r="D115">
        <f>(C115-meanrtn)/stdevrtns</f>
        <v>0.34117243632429961</v>
      </c>
      <c r="F115">
        <f>F114+bucketwidth</f>
        <v>7.1791662404127887</v>
      </c>
      <c r="G115">
        <f>F115-0.5*bucketwidth</f>
        <v>7.0867651062328019</v>
      </c>
      <c r="H115">
        <v>0</v>
      </c>
      <c r="I115">
        <f>H115/numdata/bucketwidth</f>
        <v>0</v>
      </c>
      <c r="J115">
        <f t="shared" si="3"/>
        <v>4.9578032389883673E-12</v>
      </c>
    </row>
    <row r="116" spans="1:10" x14ac:dyDescent="0.3">
      <c r="A116" s="1">
        <v>38114</v>
      </c>
      <c r="B116">
        <v>1.7891969999999999</v>
      </c>
      <c r="C116">
        <f t="shared" si="2"/>
        <v>-3.0056987915352972E-3</v>
      </c>
      <c r="D116">
        <f>(C116-meanrtn)/stdevrtns</f>
        <v>-0.49014076701425641</v>
      </c>
      <c r="F116">
        <f>F115+bucketwidth</f>
        <v>7.3639685087727615</v>
      </c>
      <c r="G116">
        <f>F116-0.5*bucketwidth</f>
        <v>7.2715673745927747</v>
      </c>
      <c r="H116">
        <v>0</v>
      </c>
      <c r="I116">
        <f>H116/numdata/bucketwidth</f>
        <v>0</v>
      </c>
      <c r="J116">
        <f t="shared" si="3"/>
        <v>1.3155259413956754E-12</v>
      </c>
    </row>
    <row r="117" spans="1:10" x14ac:dyDescent="0.3">
      <c r="A117" s="1">
        <v>38117</v>
      </c>
      <c r="B117">
        <v>1.777209</v>
      </c>
      <c r="C117">
        <f t="shared" si="2"/>
        <v>-6.7002124416706979E-3</v>
      </c>
      <c r="D117">
        <f>(C117-meanrtn)/stdevrtns</f>
        <v>-1.1024704043319864</v>
      </c>
      <c r="F117">
        <f>F116+bucketwidth</f>
        <v>7.5487707771327344</v>
      </c>
      <c r="G117">
        <f>F117-0.5*bucketwidth</f>
        <v>7.4563696429527475</v>
      </c>
      <c r="H117">
        <v>0</v>
      </c>
      <c r="I117">
        <f>H117/numdata/bucketwidth</f>
        <v>0</v>
      </c>
      <c r="J117">
        <f t="shared" si="3"/>
        <v>3.3734756044844297E-13</v>
      </c>
    </row>
    <row r="118" spans="1:10" x14ac:dyDescent="0.3">
      <c r="A118" s="1">
        <v>38118</v>
      </c>
      <c r="B118">
        <v>1.7603150000000001</v>
      </c>
      <c r="C118">
        <f t="shared" si="2"/>
        <v>-9.5059162990959213E-3</v>
      </c>
      <c r="D118">
        <f>(C118-meanrtn)/stdevrtns</f>
        <v>-1.5674884792754042</v>
      </c>
      <c r="F118">
        <f>F117+bucketwidth</f>
        <v>7.7335730454927072</v>
      </c>
      <c r="G118">
        <f>F118-0.5*bucketwidth</f>
        <v>7.6411719113127203</v>
      </c>
      <c r="H118">
        <v>0</v>
      </c>
      <c r="I118">
        <f>H118/numdata/bucketwidth</f>
        <v>0</v>
      </c>
      <c r="J118">
        <f t="shared" si="3"/>
        <v>8.3603365176570041E-14</v>
      </c>
    </row>
    <row r="119" spans="1:10" x14ac:dyDescent="0.3">
      <c r="A119" s="1">
        <v>38119</v>
      </c>
      <c r="B119">
        <v>1.7722009999999999</v>
      </c>
      <c r="C119">
        <f t="shared" si="2"/>
        <v>6.7522006004606221E-3</v>
      </c>
      <c r="D119">
        <f>(C119-meanrtn)/stdevrtns</f>
        <v>1.1271359739891988</v>
      </c>
      <c r="F119">
        <f>F118+bucketwidth</f>
        <v>7.91837531385268</v>
      </c>
      <c r="G119">
        <f>F119-0.5*bucketwidth</f>
        <v>7.8259741796726932</v>
      </c>
      <c r="H119">
        <v>0</v>
      </c>
      <c r="I119">
        <f>H119/numdata/bucketwidth</f>
        <v>0</v>
      </c>
      <c r="J119">
        <f t="shared" si="3"/>
        <v>2.0023406840330537E-14</v>
      </c>
    </row>
    <row r="120" spans="1:10" x14ac:dyDescent="0.3">
      <c r="A120" s="1">
        <v>38120</v>
      </c>
      <c r="B120">
        <v>1.7603150000000001</v>
      </c>
      <c r="C120">
        <f t="shared" si="2"/>
        <v>-6.7069141705708565E-3</v>
      </c>
      <c r="D120">
        <f>(C120-meanrtn)/stdevrtns</f>
        <v>-1.1035811505939974</v>
      </c>
      <c r="F120">
        <f>F119+bucketwidth</f>
        <v>8.1031775822126537</v>
      </c>
      <c r="G120">
        <f>F120-0.5*bucketwidth</f>
        <v>8.0107764480326669</v>
      </c>
      <c r="H120">
        <v>0</v>
      </c>
      <c r="I120">
        <f>H120/numdata/bucketwidth</f>
        <v>0</v>
      </c>
      <c r="J120">
        <f t="shared" si="3"/>
        <v>4.6346848886993022E-15</v>
      </c>
    </row>
    <row r="121" spans="1:10" x14ac:dyDescent="0.3">
      <c r="A121" s="1">
        <v>38121</v>
      </c>
      <c r="B121">
        <v>1.758613</v>
      </c>
      <c r="C121">
        <f t="shared" si="2"/>
        <v>-9.6687240635914156E-4</v>
      </c>
      <c r="D121">
        <f>(C121-meanrtn)/stdevrtns</f>
        <v>-0.15222516046534565</v>
      </c>
      <c r="F121">
        <f>F120+bucketwidth</f>
        <v>8.2879798505726274</v>
      </c>
      <c r="G121">
        <f>F121-0.5*bucketwidth</f>
        <v>8.1955787163926406</v>
      </c>
      <c r="H121">
        <v>0</v>
      </c>
      <c r="I121">
        <f>H121/numdata/bucketwidth</f>
        <v>0</v>
      </c>
      <c r="J121">
        <f t="shared" si="3"/>
        <v>1.0367414917051393E-15</v>
      </c>
    </row>
    <row r="122" spans="1:10" x14ac:dyDescent="0.3">
      <c r="A122" s="1">
        <v>38124</v>
      </c>
      <c r="B122">
        <v>1.7711969999999999</v>
      </c>
      <c r="C122">
        <f t="shared" si="2"/>
        <v>7.155639131520084E-3</v>
      </c>
      <c r="D122">
        <f>(C122-meanrtn)/stdevrtns</f>
        <v>1.1940019793143068</v>
      </c>
      <c r="F122">
        <f>F121+bucketwidth</f>
        <v>8.4727821189326011</v>
      </c>
      <c r="G122">
        <f>F122-0.5*bucketwidth</f>
        <v>8.3803809847526143</v>
      </c>
      <c r="H122">
        <v>0</v>
      </c>
      <c r="I122">
        <f>H122/numdata/bucketwidth</f>
        <v>0</v>
      </c>
      <c r="J122">
        <f t="shared" si="3"/>
        <v>2.2412421196920075E-16</v>
      </c>
    </row>
    <row r="123" spans="1:10" x14ac:dyDescent="0.3">
      <c r="A123" s="1">
        <v>38125</v>
      </c>
      <c r="B123">
        <v>1.766785</v>
      </c>
      <c r="C123">
        <f t="shared" si="2"/>
        <v>-2.4909707954563274E-3</v>
      </c>
      <c r="D123">
        <f>(C123-meanrtn)/stdevrtns</f>
        <v>-0.40482961729235284</v>
      </c>
      <c r="F123">
        <f>F122+bucketwidth</f>
        <v>8.6575843872925748</v>
      </c>
      <c r="G123">
        <f>F123-0.5*bucketwidth</f>
        <v>8.565183253112588</v>
      </c>
      <c r="H123">
        <v>0</v>
      </c>
      <c r="I123">
        <f>H123/numdata/bucketwidth</f>
        <v>0</v>
      </c>
      <c r="J123">
        <f t="shared" si="3"/>
        <v>4.6824710278599336E-17</v>
      </c>
    </row>
    <row r="124" spans="1:10" x14ac:dyDescent="0.3">
      <c r="A124" s="1">
        <v>38126</v>
      </c>
      <c r="B124">
        <v>1.7820860000000001</v>
      </c>
      <c r="C124">
        <f t="shared" si="2"/>
        <v>8.6603633152873769E-3</v>
      </c>
      <c r="D124">
        <f>(C124-meanrtn)/stdevrtns</f>
        <v>1.4433953503946049</v>
      </c>
      <c r="F124">
        <f>F123+bucketwidth</f>
        <v>8.8423866556525486</v>
      </c>
      <c r="G124">
        <f>F124-0.5*bucketwidth</f>
        <v>8.7499855214725617</v>
      </c>
      <c r="H124">
        <v>0</v>
      </c>
      <c r="I124">
        <f>H124/numdata/bucketwidth</f>
        <v>0</v>
      </c>
      <c r="J124">
        <f t="shared" si="3"/>
        <v>9.4543015432339108E-18</v>
      </c>
    </row>
    <row r="125" spans="1:10" x14ac:dyDescent="0.3">
      <c r="A125" s="1">
        <v>38127</v>
      </c>
      <c r="B125">
        <v>1.7755050000000001</v>
      </c>
      <c r="C125">
        <f t="shared" si="2"/>
        <v>-3.6928633073824426E-3</v>
      </c>
      <c r="D125">
        <f>(C125-meanrtn)/stdevrtns</f>
        <v>-0.60403158962655756</v>
      </c>
      <c r="F125">
        <f>F124+bucketwidth</f>
        <v>9.0271889240125223</v>
      </c>
      <c r="G125">
        <f>F125-0.5*bucketwidth</f>
        <v>8.9347877898325354</v>
      </c>
      <c r="H125">
        <v>0</v>
      </c>
      <c r="I125">
        <f>H125/numdata/bucketwidth</f>
        <v>0</v>
      </c>
      <c r="J125">
        <f t="shared" si="3"/>
        <v>1.8448107837826302E-18</v>
      </c>
    </row>
    <row r="126" spans="1:10" x14ac:dyDescent="0.3">
      <c r="A126" s="1">
        <v>38128</v>
      </c>
      <c r="B126">
        <v>1.7896129999999999</v>
      </c>
      <c r="C126">
        <f t="shared" si="2"/>
        <v>7.9459083472025061E-3</v>
      </c>
      <c r="D126">
        <f>(C126-meanrtn)/stdevrtns</f>
        <v>1.324981401248355</v>
      </c>
      <c r="F126">
        <f>F125+bucketwidth</f>
        <v>9.211991192372496</v>
      </c>
      <c r="G126">
        <f>F126-0.5*bucketwidth</f>
        <v>9.1195900581925091</v>
      </c>
      <c r="H126">
        <v>0</v>
      </c>
      <c r="I126">
        <f>H126/numdata/bucketwidth</f>
        <v>0</v>
      </c>
      <c r="J126">
        <f t="shared" si="3"/>
        <v>3.4789023206900807E-19</v>
      </c>
    </row>
    <row r="127" spans="1:10" x14ac:dyDescent="0.3">
      <c r="A127" s="1">
        <v>38131</v>
      </c>
      <c r="B127">
        <v>1.7916970000000001</v>
      </c>
      <c r="C127">
        <f t="shared" si="2"/>
        <v>1.1644975757329639E-3</v>
      </c>
      <c r="D127">
        <f>(C127-meanrtn)/stdevrtns</f>
        <v>0.20102864550625363</v>
      </c>
      <c r="F127">
        <f>F126+bucketwidth</f>
        <v>9.3967934607324697</v>
      </c>
      <c r="G127">
        <f>F127-0.5*bucketwidth</f>
        <v>9.3043923265524828</v>
      </c>
      <c r="H127">
        <v>0</v>
      </c>
      <c r="I127">
        <f>H127/numdata/bucketwidth</f>
        <v>0</v>
      </c>
      <c r="J127">
        <f t="shared" si="3"/>
        <v>6.340166585832711E-20</v>
      </c>
    </row>
    <row r="128" spans="1:10" x14ac:dyDescent="0.3">
      <c r="A128" s="1">
        <v>38132</v>
      </c>
      <c r="B128">
        <v>1.812513</v>
      </c>
      <c r="C128">
        <f t="shared" si="2"/>
        <v>1.161803586209049E-2</v>
      </c>
      <c r="D128">
        <f>(C128-meanrtn)/stdevrtns</f>
        <v>1.9336007547844851</v>
      </c>
      <c r="F128">
        <f>F127+bucketwidth</f>
        <v>9.5815957290924434</v>
      </c>
      <c r="G128">
        <f>F128-0.5*bucketwidth</f>
        <v>9.4891945949124565</v>
      </c>
      <c r="H128">
        <v>0</v>
      </c>
      <c r="I128">
        <f>H128/numdata/bucketwidth</f>
        <v>0</v>
      </c>
      <c r="J128">
        <f t="shared" si="3"/>
        <v>1.1166758674231617E-20</v>
      </c>
    </row>
    <row r="129" spans="1:10" x14ac:dyDescent="0.3">
      <c r="A129" s="1">
        <v>38133</v>
      </c>
      <c r="B129">
        <v>1.8149150000000001</v>
      </c>
      <c r="C129">
        <f t="shared" si="2"/>
        <v>1.3252318741989795E-3</v>
      </c>
      <c r="D129">
        <f>(C129-meanrtn)/stdevrtns</f>
        <v>0.22766878924495873</v>
      </c>
      <c r="F129">
        <f>F128+bucketwidth</f>
        <v>9.7663979974524171</v>
      </c>
      <c r="G129">
        <f>F129-0.5*bucketwidth</f>
        <v>9.6739968632724302</v>
      </c>
      <c r="H129">
        <v>0</v>
      </c>
      <c r="I129">
        <f>H129/numdata/bucketwidth</f>
        <v>0</v>
      </c>
      <c r="J129">
        <f t="shared" si="3"/>
        <v>1.900735210780761E-21</v>
      </c>
    </row>
    <row r="130" spans="1:10" x14ac:dyDescent="0.3">
      <c r="A130" s="1">
        <v>38134</v>
      </c>
      <c r="B130">
        <v>1.8366150000000001</v>
      </c>
      <c r="C130">
        <f t="shared" si="2"/>
        <v>1.1956482810489777E-2</v>
      </c>
      <c r="D130">
        <f>(C130-meanrtn)/stdevrtns</f>
        <v>1.9896950385766246</v>
      </c>
      <c r="F130">
        <f>F129+bucketwidth</f>
        <v>9.9512002658123908</v>
      </c>
      <c r="G130">
        <f>F130-0.5*bucketwidth</f>
        <v>9.858799131632404</v>
      </c>
      <c r="H130">
        <v>0</v>
      </c>
      <c r="I130">
        <f>H130/numdata/bucketwidth</f>
        <v>0</v>
      </c>
      <c r="J130">
        <f t="shared" si="3"/>
        <v>3.126685049570873E-22</v>
      </c>
    </row>
    <row r="131" spans="1:10" x14ac:dyDescent="0.3">
      <c r="A131" s="1">
        <v>38135</v>
      </c>
      <c r="B131">
        <v>1.8329120000000001</v>
      </c>
      <c r="C131">
        <f t="shared" si="2"/>
        <v>-2.0162091674085269E-3</v>
      </c>
      <c r="D131">
        <f>(C131-meanrtn)/stdevrtns</f>
        <v>-0.32614250363011732</v>
      </c>
      <c r="F131">
        <f>F130+bucketwidth</f>
        <v>10.136002534172365</v>
      </c>
      <c r="G131">
        <f>F131-0.5*bucketwidth</f>
        <v>10.043601399992378</v>
      </c>
      <c r="H131">
        <v>0</v>
      </c>
      <c r="I131">
        <f>H131/numdata/bucketwidth</f>
        <v>0</v>
      </c>
      <c r="J131">
        <f t="shared" si="3"/>
        <v>4.9706671409618741E-23</v>
      </c>
    </row>
    <row r="132" spans="1:10" x14ac:dyDescent="0.3">
      <c r="A132" s="1">
        <v>38138</v>
      </c>
      <c r="B132">
        <v>1.8326100000000001</v>
      </c>
      <c r="C132">
        <f t="shared" ref="C132:C195" si="4">(B132-B131)/B131</f>
        <v>-1.6476513875190104E-4</v>
      </c>
      <c r="D132">
        <f>(C132-meanrtn)/stdevrtns</f>
        <v>-1.928369677746437E-2</v>
      </c>
      <c r="F132">
        <f>F131+bucketwidth</f>
        <v>10.320804802532338</v>
      </c>
      <c r="G132">
        <f>F132-0.5*bucketwidth</f>
        <v>10.228403668352351</v>
      </c>
      <c r="H132">
        <v>0</v>
      </c>
      <c r="I132">
        <f>H132/numdata/bucketwidth</f>
        <v>0</v>
      </c>
      <c r="J132">
        <f t="shared" si="3"/>
        <v>7.6368323037400222E-24</v>
      </c>
    </row>
    <row r="133" spans="1:10" x14ac:dyDescent="0.3">
      <c r="A133" s="1">
        <v>38139</v>
      </c>
      <c r="B133">
        <v>1.8406039999999999</v>
      </c>
      <c r="C133">
        <f t="shared" si="4"/>
        <v>4.3620846770452163E-3</v>
      </c>
      <c r="D133">
        <f>(C133-meanrtn)/stdevrtns</f>
        <v>0.73099754952332918</v>
      </c>
      <c r="F133">
        <f>F132+bucketwidth</f>
        <v>10.505607070892312</v>
      </c>
      <c r="G133">
        <f>F133-0.5*bucketwidth</f>
        <v>10.413205936712325</v>
      </c>
      <c r="H133">
        <v>0</v>
      </c>
      <c r="I133">
        <f>H133/numdata/bucketwidth</f>
        <v>0</v>
      </c>
      <c r="J133">
        <f t="shared" si="3"/>
        <v>1.1339133125929507E-24</v>
      </c>
    </row>
    <row r="134" spans="1:10" x14ac:dyDescent="0.3">
      <c r="A134" s="1">
        <v>38140</v>
      </c>
      <c r="B134">
        <v>1.83429</v>
      </c>
      <c r="C134">
        <f t="shared" si="4"/>
        <v>-3.4303956744633451E-3</v>
      </c>
      <c r="D134">
        <f>(C134-meanrtn)/stdevrtns</f>
        <v>-0.56053013701530408</v>
      </c>
      <c r="F134">
        <f>F133+bucketwidth</f>
        <v>10.690409339252286</v>
      </c>
      <c r="G134">
        <f>F134-0.5*bucketwidth</f>
        <v>10.598008205072299</v>
      </c>
      <c r="H134">
        <v>0</v>
      </c>
      <c r="I134">
        <f>H134/numdata/bucketwidth</f>
        <v>0</v>
      </c>
      <c r="J134">
        <f t="shared" si="3"/>
        <v>1.6271008869217929E-25</v>
      </c>
    </row>
    <row r="135" spans="1:10" x14ac:dyDescent="0.3">
      <c r="A135" s="1">
        <v>38141</v>
      </c>
      <c r="B135">
        <v>1.839588</v>
      </c>
      <c r="C135">
        <f t="shared" si="4"/>
        <v>2.8883110086191524E-3</v>
      </c>
      <c r="D135">
        <f>(C135-meanrtn)/stdevrtns</f>
        <v>0.48673392477188754</v>
      </c>
      <c r="F135">
        <f>F134+bucketwidth</f>
        <v>10.875211607612259</v>
      </c>
      <c r="G135">
        <f>F135-0.5*bucketwidth</f>
        <v>10.782810473432273</v>
      </c>
      <c r="H135">
        <v>0</v>
      </c>
      <c r="I135">
        <f>H135/numdata/bucketwidth</f>
        <v>0</v>
      </c>
      <c r="J135">
        <f t="shared" si="3"/>
        <v>2.2564054351697931E-26</v>
      </c>
    </row>
    <row r="136" spans="1:10" x14ac:dyDescent="0.3">
      <c r="A136" s="1">
        <v>38142</v>
      </c>
      <c r="B136">
        <v>1.838911</v>
      </c>
      <c r="C136">
        <f t="shared" si="4"/>
        <v>-3.6801718645698857E-4</v>
      </c>
      <c r="D136">
        <f>(C136-meanrtn)/stdevrtns</f>
        <v>-5.2970743149801089E-2</v>
      </c>
    </row>
    <row r="137" spans="1:10" x14ac:dyDescent="0.3">
      <c r="A137" s="1">
        <v>38145</v>
      </c>
      <c r="B137">
        <v>1.8412139999999999</v>
      </c>
      <c r="C137">
        <f t="shared" si="4"/>
        <v>1.2523716482200303E-3</v>
      </c>
      <c r="D137">
        <f>(C137-meanrtn)/stdevrtns</f>
        <v>0.21559291675577663</v>
      </c>
    </row>
    <row r="138" spans="1:10" x14ac:dyDescent="0.3">
      <c r="A138" s="1">
        <v>38146</v>
      </c>
      <c r="B138">
        <v>1.839486</v>
      </c>
      <c r="C138">
        <f t="shared" si="4"/>
        <v>-9.385112214006367E-4</v>
      </c>
      <c r="D138">
        <f>(C138-meanrtn)/stdevrtns</f>
        <v>-0.14752457041639402</v>
      </c>
    </row>
    <row r="139" spans="1:10" x14ac:dyDescent="0.3">
      <c r="A139" s="1">
        <v>38147</v>
      </c>
      <c r="B139">
        <v>1.828087</v>
      </c>
      <c r="C139">
        <f t="shared" si="4"/>
        <v>-6.1968397693703227E-3</v>
      </c>
      <c r="D139">
        <f>(C139-meanrtn)/stdevrtns</f>
        <v>-1.0190412888774938</v>
      </c>
    </row>
    <row r="140" spans="1:10" x14ac:dyDescent="0.3">
      <c r="A140" s="1">
        <v>38148</v>
      </c>
      <c r="B140">
        <v>1.8419939999999999</v>
      </c>
      <c r="C140">
        <f t="shared" si="4"/>
        <v>7.6074059932595616E-3</v>
      </c>
      <c r="D140">
        <f>(C140-meanrtn)/stdevrtns</f>
        <v>1.2688779345272387</v>
      </c>
    </row>
    <row r="141" spans="1:10" x14ac:dyDescent="0.3">
      <c r="A141" s="1">
        <v>38149</v>
      </c>
      <c r="B141">
        <v>1.817785</v>
      </c>
      <c r="C141">
        <f t="shared" si="4"/>
        <v>-1.3142822397901365E-2</v>
      </c>
      <c r="D141">
        <f>(C141-meanrtn)/stdevrtns</f>
        <v>-2.1702702263014468</v>
      </c>
    </row>
    <row r="142" spans="1:10" x14ac:dyDescent="0.3">
      <c r="A142" s="1">
        <v>38152</v>
      </c>
      <c r="B142">
        <v>1.8141910000000001</v>
      </c>
      <c r="C142">
        <f t="shared" si="4"/>
        <v>-1.9771315089517601E-3</v>
      </c>
      <c r="D142">
        <f>(C142-meanrtn)/stdevrtns</f>
        <v>-0.31966576252261564</v>
      </c>
    </row>
    <row r="143" spans="1:10" x14ac:dyDescent="0.3">
      <c r="A143" s="1">
        <v>38153</v>
      </c>
      <c r="B143">
        <v>1.8335840000000001</v>
      </c>
      <c r="C143">
        <f t="shared" si="4"/>
        <v>1.0689613166419629E-2</v>
      </c>
      <c r="D143">
        <f>(C143-meanrtn)/stdevrtns</f>
        <v>1.7797237397416925</v>
      </c>
    </row>
    <row r="144" spans="1:10" x14ac:dyDescent="0.3">
      <c r="A144" s="1">
        <v>38154</v>
      </c>
      <c r="B144">
        <v>1.8251839999999999</v>
      </c>
      <c r="C144">
        <f t="shared" si="4"/>
        <v>-4.5811918079565403E-3</v>
      </c>
      <c r="D144">
        <f>(C144-meanrtn)/stdevrtns</f>
        <v>-0.75126338251913627</v>
      </c>
    </row>
    <row r="145" spans="1:4" x14ac:dyDescent="0.3">
      <c r="A145" s="1">
        <v>38155</v>
      </c>
      <c r="B145">
        <v>1.8343910000000001</v>
      </c>
      <c r="C145">
        <f t="shared" si="4"/>
        <v>5.0444229184565433E-3</v>
      </c>
      <c r="D145">
        <f>(C145-meanrtn)/stdevrtns</f>
        <v>0.84408846417622341</v>
      </c>
    </row>
    <row r="146" spans="1:4" x14ac:dyDescent="0.3">
      <c r="A146" s="1">
        <v>38156</v>
      </c>
      <c r="B146">
        <v>1.839283</v>
      </c>
      <c r="C146">
        <f t="shared" si="4"/>
        <v>2.6668251207075788E-3</v>
      </c>
      <c r="D146">
        <f>(C146-meanrtn)/stdevrtns</f>
        <v>0.45002479706006571</v>
      </c>
    </row>
    <row r="147" spans="1:4" x14ac:dyDescent="0.3">
      <c r="A147" s="1">
        <v>38159</v>
      </c>
      <c r="B147">
        <v>1.833113</v>
      </c>
      <c r="C147">
        <f t="shared" si="4"/>
        <v>-3.3545680572266523E-3</v>
      </c>
      <c r="D147">
        <f>(C147-meanrtn)/stdevrtns</f>
        <v>-0.54796244834009511</v>
      </c>
    </row>
    <row r="148" spans="1:4" x14ac:dyDescent="0.3">
      <c r="A148" s="1">
        <v>38160</v>
      </c>
      <c r="B148">
        <v>1.8219909999999999</v>
      </c>
      <c r="C148">
        <f t="shared" si="4"/>
        <v>-6.0672746306420153E-3</v>
      </c>
      <c r="D148">
        <f>(C148-meanrtn)/stdevrtns</f>
        <v>-0.99756712964584016</v>
      </c>
    </row>
    <row r="149" spans="1:4" x14ac:dyDescent="0.3">
      <c r="A149" s="1">
        <v>38161</v>
      </c>
      <c r="B149">
        <v>1.8169919999999999</v>
      </c>
      <c r="C149">
        <f t="shared" si="4"/>
        <v>-2.743701807528125E-3</v>
      </c>
      <c r="D149">
        <f>(C149-meanrtn)/stdevrtns</f>
        <v>-0.44671731987404312</v>
      </c>
    </row>
    <row r="150" spans="1:4" x14ac:dyDescent="0.3">
      <c r="A150" s="1">
        <v>38162</v>
      </c>
      <c r="B150">
        <v>1.8236859999999999</v>
      </c>
      <c r="C150">
        <f t="shared" si="4"/>
        <v>3.6841108821612741E-3</v>
      </c>
      <c r="D150">
        <f>(C150-meanrtn)/stdevrtns</f>
        <v>0.61862999935417629</v>
      </c>
    </row>
    <row r="151" spans="1:4" x14ac:dyDescent="0.3">
      <c r="A151" s="1">
        <v>38163</v>
      </c>
      <c r="B151">
        <v>1.826084</v>
      </c>
      <c r="C151">
        <f t="shared" si="4"/>
        <v>1.314919344667954E-3</v>
      </c>
      <c r="D151">
        <f>(C151-meanrtn)/stdevrtns</f>
        <v>0.22595958796285498</v>
      </c>
    </row>
    <row r="152" spans="1:4" x14ac:dyDescent="0.3">
      <c r="A152" s="1">
        <v>38166</v>
      </c>
      <c r="B152">
        <v>1.829993</v>
      </c>
      <c r="C152">
        <f t="shared" si="4"/>
        <v>2.1406463229511567E-3</v>
      </c>
      <c r="D152">
        <f>(C152-meanrtn)/stdevrtns</f>
        <v>0.36281578853937424</v>
      </c>
    </row>
    <row r="153" spans="1:4" x14ac:dyDescent="0.3">
      <c r="A153" s="1">
        <v>38167</v>
      </c>
      <c r="B153">
        <v>1.809005</v>
      </c>
      <c r="C153">
        <f t="shared" si="4"/>
        <v>-1.1468896329111645E-2</v>
      </c>
      <c r="D153">
        <f>(C153-meanrtn)/stdevrtns</f>
        <v>-1.8928332915208328</v>
      </c>
    </row>
    <row r="154" spans="1:4" x14ac:dyDescent="0.3">
      <c r="A154" s="1">
        <v>38168</v>
      </c>
      <c r="B154">
        <v>1.820201</v>
      </c>
      <c r="C154">
        <f t="shared" si="4"/>
        <v>6.1890376201281828E-3</v>
      </c>
      <c r="D154">
        <f>(C154-meanrtn)/stdevrtns</f>
        <v>1.0337971975889286</v>
      </c>
    </row>
    <row r="155" spans="1:4" x14ac:dyDescent="0.3">
      <c r="A155" s="1">
        <v>38169</v>
      </c>
      <c r="B155">
        <v>1.8203</v>
      </c>
      <c r="C155">
        <f t="shared" si="4"/>
        <v>5.4389597632388541E-5</v>
      </c>
      <c r="D155">
        <f>(C155-meanrtn)/stdevrtns</f>
        <v>1.7039065283987659E-2</v>
      </c>
    </row>
    <row r="156" spans="1:4" x14ac:dyDescent="0.3">
      <c r="A156" s="1">
        <v>38170</v>
      </c>
      <c r="B156">
        <v>1.8295920000000001</v>
      </c>
      <c r="C156">
        <f t="shared" si="4"/>
        <v>5.1046530791628185E-3</v>
      </c>
      <c r="D156">
        <f>(C156-meanrtn)/stdevrtns</f>
        <v>0.85407102641672572</v>
      </c>
    </row>
    <row r="157" spans="1:4" x14ac:dyDescent="0.3">
      <c r="A157" s="1">
        <v>38173</v>
      </c>
      <c r="B157">
        <v>1.830999</v>
      </c>
      <c r="C157">
        <f t="shared" si="4"/>
        <v>7.690239135282271E-4</v>
      </c>
      <c r="D157">
        <f>(C157-meanrtn)/stdevrtns</f>
        <v>0.13548273958229906</v>
      </c>
    </row>
    <row r="158" spans="1:4" x14ac:dyDescent="0.3">
      <c r="A158" s="1">
        <v>38174</v>
      </c>
      <c r="B158">
        <v>1.8406039999999999</v>
      </c>
      <c r="C158">
        <f t="shared" si="4"/>
        <v>5.2457702052266892E-3</v>
      </c>
      <c r="D158">
        <f>(C158-meanrtn)/stdevrtns</f>
        <v>0.87745981498402303</v>
      </c>
    </row>
    <row r="159" spans="1:4" x14ac:dyDescent="0.3">
      <c r="A159" s="1">
        <v>38175</v>
      </c>
      <c r="B159">
        <v>1.85429</v>
      </c>
      <c r="C159">
        <f t="shared" si="4"/>
        <v>7.4356026608657201E-3</v>
      </c>
      <c r="D159">
        <f>(C159-meanrtn)/stdevrtns</f>
        <v>1.2404032062742134</v>
      </c>
    </row>
    <row r="160" spans="1:4" x14ac:dyDescent="0.3">
      <c r="A160" s="1">
        <v>38176</v>
      </c>
      <c r="B160">
        <v>1.850789</v>
      </c>
      <c r="C160">
        <f t="shared" si="4"/>
        <v>-1.8880541878562556E-3</v>
      </c>
      <c r="D160">
        <f>(C160-meanrtn)/stdevrtns</f>
        <v>-0.30490206454097568</v>
      </c>
    </row>
    <row r="161" spans="1:4" x14ac:dyDescent="0.3">
      <c r="A161" s="1">
        <v>38177</v>
      </c>
      <c r="B161">
        <v>1.8618159999999999</v>
      </c>
      <c r="C161">
        <f t="shared" si="4"/>
        <v>5.9579995342526337E-3</v>
      </c>
      <c r="D161">
        <f>(C161-meanrtn)/stdevrtns</f>
        <v>0.99550488614339561</v>
      </c>
    </row>
    <row r="162" spans="1:4" x14ac:dyDescent="0.3">
      <c r="A162" s="1">
        <v>38180</v>
      </c>
      <c r="B162">
        <v>1.8619889999999999</v>
      </c>
      <c r="C162">
        <f t="shared" si="4"/>
        <v>9.2920030765649629E-5</v>
      </c>
      <c r="D162">
        <f>(C162-meanrtn)/stdevrtns</f>
        <v>2.3425109126407929E-2</v>
      </c>
    </row>
    <row r="163" spans="1:4" x14ac:dyDescent="0.3">
      <c r="A163" s="1">
        <v>38181</v>
      </c>
      <c r="B163">
        <v>1.8575969999999999</v>
      </c>
      <c r="C163">
        <f t="shared" si="4"/>
        <v>-2.3587679626463701E-3</v>
      </c>
      <c r="D163">
        <f>(C163-meanrtn)/stdevrtns</f>
        <v>-0.38291828596896449</v>
      </c>
    </row>
    <row r="164" spans="1:4" x14ac:dyDescent="0.3">
      <c r="A164" s="1">
        <v>38182</v>
      </c>
      <c r="B164">
        <v>1.8560110000000001</v>
      </c>
      <c r="C164">
        <f t="shared" si="4"/>
        <v>-8.5379121520968505E-4</v>
      </c>
      <c r="D164">
        <f>(C164-meanrtn)/stdevrtns</f>
        <v>-0.13348305492150336</v>
      </c>
    </row>
    <row r="165" spans="1:4" x14ac:dyDescent="0.3">
      <c r="A165" s="1">
        <v>38183</v>
      </c>
      <c r="B165">
        <v>1.852984</v>
      </c>
      <c r="C165">
        <f t="shared" si="4"/>
        <v>-1.6309170581424964E-3</v>
      </c>
      <c r="D165">
        <f>(C165-meanrtn)/stdevrtns</f>
        <v>-0.26228409089435573</v>
      </c>
    </row>
    <row r="166" spans="1:4" x14ac:dyDescent="0.3">
      <c r="A166" s="1">
        <v>38184</v>
      </c>
      <c r="B166">
        <v>1.8728</v>
      </c>
      <c r="C166">
        <f t="shared" si="4"/>
        <v>1.0694102053768438E-2</v>
      </c>
      <c r="D166">
        <f>(C166-meanrtn)/stdevrtns</f>
        <v>1.7804677290790052</v>
      </c>
    </row>
    <row r="167" spans="1:4" x14ac:dyDescent="0.3">
      <c r="A167" s="1">
        <v>38187</v>
      </c>
      <c r="B167">
        <v>1.8681110000000001</v>
      </c>
      <c r="C167">
        <f t="shared" si="4"/>
        <v>-2.5037377189235065E-3</v>
      </c>
      <c r="D167">
        <f>(C167-meanrtn)/stdevrtns</f>
        <v>-0.40694561045319405</v>
      </c>
    </row>
    <row r="168" spans="1:4" x14ac:dyDescent="0.3">
      <c r="A168" s="1">
        <v>38188</v>
      </c>
      <c r="B168">
        <v>1.8527100000000001</v>
      </c>
      <c r="C168">
        <f t="shared" si="4"/>
        <v>-8.2441567979632882E-3</v>
      </c>
      <c r="D168">
        <f>(C168-meanrtn)/stdevrtns</f>
        <v>-1.3583641368379551</v>
      </c>
    </row>
    <row r="169" spans="1:4" x14ac:dyDescent="0.3">
      <c r="A169" s="1">
        <v>38189</v>
      </c>
      <c r="B169">
        <v>1.839791</v>
      </c>
      <c r="C169">
        <f t="shared" si="4"/>
        <v>-6.9730286985011814E-3</v>
      </c>
      <c r="D169">
        <f>(C169-meanrtn)/stdevrtns</f>
        <v>-1.1476870405171764</v>
      </c>
    </row>
    <row r="170" spans="1:4" x14ac:dyDescent="0.3">
      <c r="A170" s="1">
        <v>38190</v>
      </c>
      <c r="B170">
        <v>1.844916</v>
      </c>
      <c r="C170">
        <f t="shared" si="4"/>
        <v>2.7856424996100353E-3</v>
      </c>
      <c r="D170">
        <f>(C170-meanrtn)/stdevrtns</f>
        <v>0.46971761982923266</v>
      </c>
    </row>
    <row r="171" spans="1:4" x14ac:dyDescent="0.3">
      <c r="A171" s="1">
        <v>38191</v>
      </c>
      <c r="B171">
        <v>1.833013</v>
      </c>
      <c r="C171">
        <f t="shared" si="4"/>
        <v>-6.4517842546760922E-3</v>
      </c>
      <c r="D171">
        <f>(C171-meanrtn)/stdevrtns</f>
        <v>-1.0612958530791219</v>
      </c>
    </row>
    <row r="172" spans="1:4" x14ac:dyDescent="0.3">
      <c r="A172" s="1">
        <v>38194</v>
      </c>
      <c r="B172">
        <v>1.841316</v>
      </c>
      <c r="C172">
        <f t="shared" si="4"/>
        <v>4.5297005531329832E-3</v>
      </c>
      <c r="D172">
        <f>(C172-meanrtn)/stdevrtns</f>
        <v>0.75877824769716162</v>
      </c>
    </row>
    <row r="173" spans="1:4" x14ac:dyDescent="0.3">
      <c r="A173" s="1">
        <v>38195</v>
      </c>
      <c r="B173">
        <v>1.8229880000000001</v>
      </c>
      <c r="C173">
        <f t="shared" si="4"/>
        <v>-9.9537504697726521E-3</v>
      </c>
      <c r="D173">
        <f>(C173-meanrtn)/stdevrtns</f>
        <v>-1.6417126292657336</v>
      </c>
    </row>
    <row r="174" spans="1:4" x14ac:dyDescent="0.3">
      <c r="A174" s="1">
        <v>38196</v>
      </c>
      <c r="B174">
        <v>1.8228880000000001</v>
      </c>
      <c r="C174">
        <f t="shared" si="4"/>
        <v>-5.4854996302767209E-5</v>
      </c>
      <c r="D174">
        <f>(C174-meanrtn)/stdevrtns</f>
        <v>-1.0671616562714546E-3</v>
      </c>
    </row>
    <row r="175" spans="1:4" x14ac:dyDescent="0.3">
      <c r="A175" s="1">
        <v>38197</v>
      </c>
      <c r="B175">
        <v>1.8181160000000001</v>
      </c>
      <c r="C175">
        <f t="shared" si="4"/>
        <v>-2.6178240242955126E-3</v>
      </c>
      <c r="D175">
        <f>(C175-meanrtn)/stdevrtns</f>
        <v>-0.42585430388535933</v>
      </c>
    </row>
    <row r="176" spans="1:4" x14ac:dyDescent="0.3">
      <c r="A176" s="1">
        <v>38198</v>
      </c>
      <c r="B176">
        <v>1.8220909999999999</v>
      </c>
      <c r="C176">
        <f t="shared" si="4"/>
        <v>2.1863291451149651E-3</v>
      </c>
      <c r="D176">
        <f>(C176-meanrtn)/stdevrtns</f>
        <v>0.3703872711690811</v>
      </c>
    </row>
    <row r="177" spans="1:4" x14ac:dyDescent="0.3">
      <c r="A177" s="1">
        <v>38201</v>
      </c>
      <c r="B177">
        <v>1.8242849999999999</v>
      </c>
      <c r="C177">
        <f t="shared" si="4"/>
        <v>1.204111100927467E-3</v>
      </c>
      <c r="D177">
        <f>(C177-meanrtn)/stdevrtns</f>
        <v>0.20759420130392617</v>
      </c>
    </row>
    <row r="178" spans="1:4" x14ac:dyDescent="0.3">
      <c r="A178" s="1">
        <v>38202</v>
      </c>
      <c r="B178">
        <v>1.824884</v>
      </c>
      <c r="C178">
        <f t="shared" si="4"/>
        <v>3.2834781846039201E-4</v>
      </c>
      <c r="D178">
        <f>(C178-meanrtn)/stdevrtns</f>
        <v>6.2444970874206272E-2</v>
      </c>
    </row>
    <row r="179" spans="1:4" x14ac:dyDescent="0.3">
      <c r="A179" s="1">
        <v>38203</v>
      </c>
      <c r="B179">
        <v>1.8254840000000001</v>
      </c>
      <c r="C179">
        <f t="shared" si="4"/>
        <v>3.2878802159488273E-4</v>
      </c>
      <c r="D179">
        <f>(C179-meanrtn)/stdevrtns</f>
        <v>6.2517930254307338E-2</v>
      </c>
    </row>
    <row r="180" spans="1:4" x14ac:dyDescent="0.3">
      <c r="A180" s="1">
        <v>38204</v>
      </c>
      <c r="B180">
        <v>1.823985</v>
      </c>
      <c r="C180">
        <f t="shared" si="4"/>
        <v>-8.2115208898031369E-4</v>
      </c>
      <c r="D180">
        <f>(C180-meanrtn)/stdevrtns</f>
        <v>-0.12807343779215102</v>
      </c>
    </row>
    <row r="181" spans="1:4" x14ac:dyDescent="0.3">
      <c r="A181" s="1">
        <v>38205</v>
      </c>
      <c r="B181">
        <v>1.840096</v>
      </c>
      <c r="C181">
        <f t="shared" si="4"/>
        <v>8.8328577263519087E-3</v>
      </c>
      <c r="D181">
        <f>(C181-meanrtn)/stdevrtns</f>
        <v>1.4719846182032672</v>
      </c>
    </row>
    <row r="182" spans="1:4" x14ac:dyDescent="0.3">
      <c r="A182" s="1">
        <v>38208</v>
      </c>
      <c r="B182">
        <v>1.8409089999999999</v>
      </c>
      <c r="C182">
        <f t="shared" si="4"/>
        <v>4.4182477435957289E-4</v>
      </c>
      <c r="D182">
        <f>(C182-meanrtn)/stdevrtns</f>
        <v>8.1252670568892446E-2</v>
      </c>
    </row>
    <row r="183" spans="1:4" x14ac:dyDescent="0.3">
      <c r="A183" s="1">
        <v>38209</v>
      </c>
      <c r="B183">
        <v>1.8278859999999999</v>
      </c>
      <c r="C183">
        <f t="shared" si="4"/>
        <v>-7.0742225715665508E-3</v>
      </c>
      <c r="D183">
        <f>(C183-meanrtn)/stdevrtns</f>
        <v>-1.1644589389213476</v>
      </c>
    </row>
    <row r="184" spans="1:4" x14ac:dyDescent="0.3">
      <c r="A184" s="1">
        <v>38210</v>
      </c>
      <c r="B184">
        <v>1.830597</v>
      </c>
      <c r="C184">
        <f t="shared" si="4"/>
        <v>1.4831340685360741E-3</v>
      </c>
      <c r="D184">
        <f>(C184-meanrtn)/stdevrtns</f>
        <v>0.25383953932097031</v>
      </c>
    </row>
    <row r="185" spans="1:4" x14ac:dyDescent="0.3">
      <c r="A185" s="1">
        <v>38211</v>
      </c>
      <c r="B185">
        <v>1.8230869999999999</v>
      </c>
      <c r="C185">
        <f t="shared" si="4"/>
        <v>-4.1024867843660441E-3</v>
      </c>
      <c r="D185">
        <f>(C185-meanrtn)/stdevrtns</f>
        <v>-0.67192268947105371</v>
      </c>
    </row>
    <row r="186" spans="1:4" x14ac:dyDescent="0.3">
      <c r="A186" s="1">
        <v>38212</v>
      </c>
      <c r="B186">
        <v>1.842706</v>
      </c>
      <c r="C186">
        <f t="shared" si="4"/>
        <v>1.0761417310309411E-2</v>
      </c>
      <c r="D186">
        <f>(C186-meanrtn)/stdevrtns</f>
        <v>1.7916245769153025</v>
      </c>
    </row>
    <row r="187" spans="1:4" x14ac:dyDescent="0.3">
      <c r="A187" s="1">
        <v>38215</v>
      </c>
      <c r="B187">
        <v>1.841383</v>
      </c>
      <c r="C187">
        <f t="shared" si="4"/>
        <v>-7.1796586107602796E-4</v>
      </c>
      <c r="D187">
        <f>(C187-meanrtn)/stdevrtns</f>
        <v>-0.11097132598739418</v>
      </c>
    </row>
    <row r="188" spans="1:4" x14ac:dyDescent="0.3">
      <c r="A188" s="1">
        <v>38216</v>
      </c>
      <c r="B188">
        <v>1.8275859999999999</v>
      </c>
      <c r="C188">
        <f t="shared" si="4"/>
        <v>-7.4927377954505173E-3</v>
      </c>
      <c r="D188">
        <f>(C188-meanrtn)/stdevrtns</f>
        <v>-1.2338237591713488</v>
      </c>
    </row>
    <row r="189" spans="1:4" x14ac:dyDescent="0.3">
      <c r="A189" s="1">
        <v>38217</v>
      </c>
      <c r="B189">
        <v>1.8236859999999999</v>
      </c>
      <c r="C189">
        <f t="shared" si="4"/>
        <v>-2.1339625057316125E-3</v>
      </c>
      <c r="D189">
        <f>(C189-meanrtn)/stdevrtns</f>
        <v>-0.34565897204151014</v>
      </c>
    </row>
    <row r="190" spans="1:4" x14ac:dyDescent="0.3">
      <c r="A190" s="1">
        <v>38218</v>
      </c>
      <c r="B190">
        <v>1.8326100000000001</v>
      </c>
      <c r="C190">
        <f t="shared" si="4"/>
        <v>4.893386251800011E-3</v>
      </c>
      <c r="D190">
        <f>(C190-meanrtn)/stdevrtns</f>
        <v>0.81905560841398151</v>
      </c>
    </row>
    <row r="191" spans="1:4" x14ac:dyDescent="0.3">
      <c r="A191" s="1">
        <v>38219</v>
      </c>
      <c r="B191">
        <v>1.819207</v>
      </c>
      <c r="C191">
        <f t="shared" si="4"/>
        <v>-7.3136128254238783E-3</v>
      </c>
      <c r="D191">
        <f>(C191-meanrtn)/stdevrtns</f>
        <v>-1.2041355408244112</v>
      </c>
    </row>
    <row r="192" spans="1:4" x14ac:dyDescent="0.3">
      <c r="A192" s="1">
        <v>38222</v>
      </c>
      <c r="B192">
        <v>1.8093980000000001</v>
      </c>
      <c r="C192">
        <f t="shared" si="4"/>
        <v>-5.3919097716752171E-3</v>
      </c>
      <c r="D192">
        <f>(C192-meanrtn)/stdevrtns</f>
        <v>-0.88563198518288122</v>
      </c>
    </row>
    <row r="193" spans="1:4" x14ac:dyDescent="0.3">
      <c r="A193" s="1">
        <v>38223</v>
      </c>
      <c r="B193">
        <v>1.7923070000000001</v>
      </c>
      <c r="C193">
        <f t="shared" si="4"/>
        <v>-9.445683039331295E-3</v>
      </c>
      <c r="D193">
        <f>(C193-meanrtn)/stdevrtns</f>
        <v>-1.5575054033961782</v>
      </c>
    </row>
    <row r="194" spans="1:4" x14ac:dyDescent="0.3">
      <c r="A194" s="1">
        <v>38224</v>
      </c>
      <c r="B194">
        <v>1.7963960000000001</v>
      </c>
      <c r="C194">
        <f t="shared" si="4"/>
        <v>2.2814171902469883E-3</v>
      </c>
      <c r="D194">
        <f>(C194-meanrtn)/stdevrtns</f>
        <v>0.38614718808989418</v>
      </c>
    </row>
    <row r="195" spans="1:4" x14ac:dyDescent="0.3">
      <c r="A195" s="1">
        <v>38225</v>
      </c>
      <c r="B195">
        <v>1.795687</v>
      </c>
      <c r="C195">
        <f t="shared" si="4"/>
        <v>-3.9467912420205272E-4</v>
      </c>
      <c r="D195">
        <f>(C195-meanrtn)/stdevrtns</f>
        <v>-5.7389699530981247E-2</v>
      </c>
    </row>
    <row r="196" spans="1:4" x14ac:dyDescent="0.3">
      <c r="A196" s="1">
        <v>38226</v>
      </c>
      <c r="B196">
        <v>1.790286</v>
      </c>
      <c r="C196">
        <f t="shared" ref="C196:C259" si="5">(B196-B195)/B195</f>
        <v>-3.0077624886742449E-3</v>
      </c>
      <c r="D196">
        <f>(C196-meanrtn)/stdevrtns</f>
        <v>-0.49048280470589656</v>
      </c>
    </row>
    <row r="197" spans="1:4" x14ac:dyDescent="0.3">
      <c r="A197" s="1">
        <v>38229</v>
      </c>
      <c r="B197">
        <v>1.7952030000000001</v>
      </c>
      <c r="C197">
        <f t="shared" si="5"/>
        <v>2.7464885498741879E-3</v>
      </c>
      <c r="D197">
        <f>(C197-meanrtn)/stdevrtns</f>
        <v>0.46322823418562314</v>
      </c>
    </row>
    <row r="198" spans="1:4" x14ac:dyDescent="0.3">
      <c r="A198" s="1">
        <v>38230</v>
      </c>
      <c r="B198">
        <v>1.802484</v>
      </c>
      <c r="C198">
        <f t="shared" si="5"/>
        <v>4.0558087302660873E-3</v>
      </c>
      <c r="D198">
        <f>(C198-meanrtn)/stdevrtns</f>
        <v>0.68023529576807906</v>
      </c>
    </row>
    <row r="199" spans="1:4" x14ac:dyDescent="0.3">
      <c r="A199" s="1">
        <v>38231</v>
      </c>
      <c r="B199">
        <v>1.7934000000000001</v>
      </c>
      <c r="C199">
        <f t="shared" si="5"/>
        <v>-5.0397118642938688E-3</v>
      </c>
      <c r="D199">
        <f>(C199-meanrtn)/stdevrtns</f>
        <v>-0.82725861393197775</v>
      </c>
    </row>
    <row r="200" spans="1:4" x14ac:dyDescent="0.3">
      <c r="A200" s="1">
        <v>38232</v>
      </c>
      <c r="B200">
        <v>1.791601</v>
      </c>
      <c r="C200">
        <f t="shared" si="5"/>
        <v>-1.0031225604996688E-3</v>
      </c>
      <c r="D200">
        <f>(C200-meanrtn)/stdevrtns</f>
        <v>-0.15823327028428413</v>
      </c>
    </row>
    <row r="201" spans="1:4" x14ac:dyDescent="0.3">
      <c r="A201" s="1">
        <v>38233</v>
      </c>
      <c r="B201">
        <v>1.7760100000000001</v>
      </c>
      <c r="C201">
        <f t="shared" si="5"/>
        <v>-8.7022724367757723E-3</v>
      </c>
      <c r="D201">
        <f>(C201-meanrtn)/stdevrtns</f>
        <v>-1.4342923399867913</v>
      </c>
    </row>
    <row r="202" spans="1:4" x14ac:dyDescent="0.3">
      <c r="A202" s="1">
        <v>38236</v>
      </c>
      <c r="B202">
        <v>1.780405</v>
      </c>
      <c r="C202">
        <f t="shared" si="5"/>
        <v>2.4746482283320064E-3</v>
      </c>
      <c r="D202">
        <f>(C202-meanrtn)/stdevrtns</f>
        <v>0.41817334976473092</v>
      </c>
    </row>
    <row r="203" spans="1:4" x14ac:dyDescent="0.3">
      <c r="A203" s="1">
        <v>38237</v>
      </c>
      <c r="B203">
        <v>1.7750010000000001</v>
      </c>
      <c r="C203">
        <f t="shared" si="5"/>
        <v>-3.0352644482575394E-3</v>
      </c>
      <c r="D203">
        <f>(C203-meanrtn)/stdevrtns</f>
        <v>-0.49504098652139711</v>
      </c>
    </row>
    <row r="204" spans="1:4" x14ac:dyDescent="0.3">
      <c r="A204" s="1">
        <v>38238</v>
      </c>
      <c r="B204">
        <v>1.7874060000000001</v>
      </c>
      <c r="C204">
        <f t="shared" si="5"/>
        <v>6.9887284570543896E-3</v>
      </c>
      <c r="D204">
        <f>(C204-meanrtn)/stdevrtns</f>
        <v>1.1663381614376858</v>
      </c>
    </row>
    <row r="205" spans="1:4" x14ac:dyDescent="0.3">
      <c r="A205" s="1">
        <v>38239</v>
      </c>
      <c r="B205">
        <v>1.7898050000000001</v>
      </c>
      <c r="C205">
        <f t="shared" si="5"/>
        <v>1.3421684832657158E-3</v>
      </c>
      <c r="D205">
        <f>(C205-meanrtn)/stdevrtns</f>
        <v>0.23047586716354937</v>
      </c>
    </row>
    <row r="206" spans="1:4" x14ac:dyDescent="0.3">
      <c r="A206" s="1">
        <v>38240</v>
      </c>
      <c r="B206">
        <v>1.8001149999999999</v>
      </c>
      <c r="C206">
        <f t="shared" si="5"/>
        <v>5.7604040663646701E-3</v>
      </c>
      <c r="D206">
        <f>(C206-meanrtn)/stdevrtns</f>
        <v>0.96275536275673013</v>
      </c>
    </row>
    <row r="207" spans="1:4" x14ac:dyDescent="0.3">
      <c r="A207" s="1">
        <v>38243</v>
      </c>
      <c r="B207">
        <v>1.7972999999999999</v>
      </c>
      <c r="C207">
        <f t="shared" si="5"/>
        <v>-1.5637889801484973E-3</v>
      </c>
      <c r="D207">
        <f>(C207-meanrtn)/stdevrtns</f>
        <v>-0.25115826607830843</v>
      </c>
    </row>
    <row r="208" spans="1:4" x14ac:dyDescent="0.3">
      <c r="A208" s="1">
        <v>38244</v>
      </c>
      <c r="B208">
        <v>1.797785</v>
      </c>
      <c r="C208">
        <f t="shared" si="5"/>
        <v>2.6984921827189048E-4</v>
      </c>
      <c r="D208">
        <f>(C208-meanrtn)/stdevrtns</f>
        <v>5.2749397916800292E-2</v>
      </c>
    </row>
    <row r="209" spans="1:4" x14ac:dyDescent="0.3">
      <c r="A209" s="1">
        <v>38245</v>
      </c>
      <c r="B209">
        <v>1.7766090000000001</v>
      </c>
      <c r="C209">
        <f t="shared" si="5"/>
        <v>-1.1778939083371961E-2</v>
      </c>
      <c r="D209">
        <f>(C209-meanrtn)/stdevrtns</f>
        <v>-1.9442198569114497</v>
      </c>
    </row>
    <row r="210" spans="1:4" x14ac:dyDescent="0.3">
      <c r="A210" s="1">
        <v>38246</v>
      </c>
      <c r="B210">
        <v>1.79369</v>
      </c>
      <c r="C210">
        <f t="shared" si="5"/>
        <v>9.6143833561576578E-3</v>
      </c>
      <c r="D210">
        <f>(C210-meanrtn)/stdevrtns</f>
        <v>1.601514875977772</v>
      </c>
    </row>
    <row r="211" spans="1:4" x14ac:dyDescent="0.3">
      <c r="A211" s="1">
        <v>38247</v>
      </c>
      <c r="B211">
        <v>1.7917940000000001</v>
      </c>
      <c r="C211">
        <f t="shared" si="5"/>
        <v>-1.0570388417172967E-3</v>
      </c>
      <c r="D211">
        <f>(C211-meanrtn)/stdevrtns</f>
        <v>-0.16716936852343967</v>
      </c>
    </row>
    <row r="212" spans="1:4" x14ac:dyDescent="0.3">
      <c r="A212" s="1">
        <v>38250</v>
      </c>
      <c r="B212">
        <v>1.786799</v>
      </c>
      <c r="C212">
        <f t="shared" si="5"/>
        <v>-2.7877088549242168E-3</v>
      </c>
      <c r="D212">
        <f>(C212-meanrtn)/stdevrtns</f>
        <v>-0.4540110591651364</v>
      </c>
    </row>
    <row r="213" spans="1:4" x14ac:dyDescent="0.3">
      <c r="A213" s="1">
        <v>38251</v>
      </c>
      <c r="B213">
        <v>1.7966869999999999</v>
      </c>
      <c r="C213">
        <f t="shared" si="5"/>
        <v>5.5339184765605398E-3</v>
      </c>
      <c r="D213">
        <f>(C213-meanrtn)/stdevrtns</f>
        <v>0.92521758317446423</v>
      </c>
    </row>
    <row r="214" spans="1:4" x14ac:dyDescent="0.3">
      <c r="A214" s="1">
        <v>38252</v>
      </c>
      <c r="B214">
        <v>1.7939149999999999</v>
      </c>
      <c r="C214">
        <f t="shared" si="5"/>
        <v>-1.542839682148308E-3</v>
      </c>
      <c r="D214">
        <f>(C214-meanrtn)/stdevrtns</f>
        <v>-0.24768612406956345</v>
      </c>
    </row>
    <row r="215" spans="1:4" x14ac:dyDescent="0.3">
      <c r="A215" s="1">
        <v>38253</v>
      </c>
      <c r="B215">
        <v>1.797914</v>
      </c>
      <c r="C215">
        <f t="shared" si="5"/>
        <v>2.2292026099341865E-3</v>
      </c>
      <c r="D215">
        <f>(C215-meanrtn)/stdevrtns</f>
        <v>0.37749313019394792</v>
      </c>
    </row>
    <row r="216" spans="1:4" x14ac:dyDescent="0.3">
      <c r="A216" s="1">
        <v>38254</v>
      </c>
      <c r="B216">
        <v>1.804891</v>
      </c>
      <c r="C216">
        <f t="shared" si="5"/>
        <v>3.8806083049578626E-3</v>
      </c>
      <c r="D216">
        <f>(C216-meanrtn)/stdevrtns</f>
        <v>0.65119753246655065</v>
      </c>
    </row>
    <row r="217" spans="1:4" x14ac:dyDescent="0.3">
      <c r="A217" s="1">
        <v>38257</v>
      </c>
      <c r="B217">
        <v>1.8115939999999999</v>
      </c>
      <c r="C217">
        <f t="shared" si="5"/>
        <v>3.7137976753166277E-3</v>
      </c>
      <c r="D217">
        <f>(C217-meanrtn)/stdevrtns</f>
        <v>0.6235502960447239</v>
      </c>
    </row>
    <row r="218" spans="1:4" x14ac:dyDescent="0.3">
      <c r="A218" s="1">
        <v>38258</v>
      </c>
      <c r="B218">
        <v>1.8136969999999999</v>
      </c>
      <c r="C218">
        <f t="shared" si="5"/>
        <v>1.1608561300158679E-3</v>
      </c>
      <c r="D218">
        <f>(C218-meanrtn)/stdevrtns</f>
        <v>0.200425111361731</v>
      </c>
    </row>
    <row r="219" spans="1:4" x14ac:dyDescent="0.3">
      <c r="A219" s="1">
        <v>38259</v>
      </c>
      <c r="B219">
        <v>1.8003100000000001</v>
      </c>
      <c r="C219">
        <f t="shared" si="5"/>
        <v>-7.3810564829736259E-3</v>
      </c>
      <c r="D219">
        <f>(C219-meanrtn)/stdevrtns</f>
        <v>-1.2153136698767437</v>
      </c>
    </row>
    <row r="220" spans="1:4" x14ac:dyDescent="0.3">
      <c r="A220" s="1">
        <v>38260</v>
      </c>
      <c r="B220">
        <v>1.8128089999999999</v>
      </c>
      <c r="C220">
        <f t="shared" si="5"/>
        <v>6.9426932028371869E-3</v>
      </c>
      <c r="D220">
        <f>(C220-meanrtn)/stdevrtns</f>
        <v>1.158708266629308</v>
      </c>
    </row>
    <row r="221" spans="1:4" x14ac:dyDescent="0.3">
      <c r="A221" s="1">
        <v>38261</v>
      </c>
      <c r="B221">
        <v>1.7991109999999999</v>
      </c>
      <c r="C221">
        <f t="shared" si="5"/>
        <v>-7.5562290346087146E-3</v>
      </c>
      <c r="D221">
        <f>(C221-meanrtn)/stdevrtns</f>
        <v>-1.2443468133885573</v>
      </c>
    </row>
    <row r="222" spans="1:4" x14ac:dyDescent="0.3">
      <c r="A222" s="1">
        <v>38264</v>
      </c>
      <c r="B222">
        <v>1.7843119999999999</v>
      </c>
      <c r="C222">
        <f t="shared" si="5"/>
        <v>-8.225729262952652E-3</v>
      </c>
      <c r="D222">
        <f>(C222-meanrtn)/stdevrtns</f>
        <v>-1.3553099524720891</v>
      </c>
    </row>
    <row r="223" spans="1:4" x14ac:dyDescent="0.3">
      <c r="A223" s="1">
        <v>38265</v>
      </c>
      <c r="B223">
        <v>1.7829120000000001</v>
      </c>
      <c r="C223">
        <f t="shared" si="5"/>
        <v>-7.846161433649753E-4</v>
      </c>
      <c r="D223">
        <f>(C223-meanrtn)/stdevrtns</f>
        <v>-0.12201796082108053</v>
      </c>
    </row>
    <row r="224" spans="1:4" x14ac:dyDescent="0.3">
      <c r="A224" s="1">
        <v>38266</v>
      </c>
      <c r="B224">
        <v>1.7794859999999999</v>
      </c>
      <c r="C224">
        <f t="shared" si="5"/>
        <v>-1.9215754899850083E-3</v>
      </c>
      <c r="D224">
        <f>(C224-meanrtn)/stdevrtns</f>
        <v>-0.31045789372952531</v>
      </c>
    </row>
    <row r="225" spans="1:4" x14ac:dyDescent="0.3">
      <c r="A225" s="1">
        <v>38267</v>
      </c>
      <c r="B225">
        <v>1.7824990000000001</v>
      </c>
      <c r="C225">
        <f t="shared" si="5"/>
        <v>1.6931855603248098E-3</v>
      </c>
      <c r="D225">
        <f>(C225-meanrtn)/stdevrtns</f>
        <v>0.28865352729482197</v>
      </c>
    </row>
    <row r="226" spans="1:4" x14ac:dyDescent="0.3">
      <c r="A226" s="1">
        <v>38268</v>
      </c>
      <c r="B226">
        <v>1.7952030000000001</v>
      </c>
      <c r="C226">
        <f t="shared" si="5"/>
        <v>7.12707272206046E-3</v>
      </c>
      <c r="D226">
        <f>(C226-meanrtn)/stdevrtns</f>
        <v>1.1892673753040497</v>
      </c>
    </row>
    <row r="227" spans="1:4" x14ac:dyDescent="0.3">
      <c r="A227" s="1">
        <v>38271</v>
      </c>
      <c r="B227">
        <v>1.798691</v>
      </c>
      <c r="C227">
        <f t="shared" si="5"/>
        <v>1.9429557548644556E-3</v>
      </c>
      <c r="D227">
        <f>(C227-meanrtn)/stdevrtns</f>
        <v>0.33005050322144636</v>
      </c>
    </row>
    <row r="228" spans="1:4" x14ac:dyDescent="0.3">
      <c r="A228" s="1">
        <v>38272</v>
      </c>
      <c r="B228">
        <v>1.791088</v>
      </c>
      <c r="C228">
        <f t="shared" si="5"/>
        <v>-4.2269628301915257E-3</v>
      </c>
      <c r="D228">
        <f>(C228-meanrtn)/stdevrtns</f>
        <v>-0.69255338114335774</v>
      </c>
    </row>
    <row r="229" spans="1:4" x14ac:dyDescent="0.3">
      <c r="A229" s="1">
        <v>38273</v>
      </c>
      <c r="B229">
        <v>1.793304</v>
      </c>
      <c r="C229">
        <f t="shared" si="5"/>
        <v>1.2372368080183641E-3</v>
      </c>
      <c r="D229">
        <f>(C229-meanrtn)/stdevrtns</f>
        <v>0.2130844644697204</v>
      </c>
    </row>
    <row r="230" spans="1:4" x14ac:dyDescent="0.3">
      <c r="A230" s="1">
        <v>38274</v>
      </c>
      <c r="B230">
        <v>1.797107</v>
      </c>
      <c r="C230">
        <f t="shared" si="5"/>
        <v>2.1206666577445882E-3</v>
      </c>
      <c r="D230">
        <f>(C230-meanrtn)/stdevrtns</f>
        <v>0.35950435371784656</v>
      </c>
    </row>
    <row r="231" spans="1:4" x14ac:dyDescent="0.3">
      <c r="A231" s="1">
        <v>38275</v>
      </c>
      <c r="B231">
        <v>1.8045979999999999</v>
      </c>
      <c r="C231">
        <f t="shared" si="5"/>
        <v>4.1683661573851272E-3</v>
      </c>
      <c r="D231">
        <f>(C231-meanrtn)/stdevrtns</f>
        <v>0.69889059252755714</v>
      </c>
    </row>
    <row r="232" spans="1:4" x14ac:dyDescent="0.3">
      <c r="A232" s="1">
        <v>38278</v>
      </c>
      <c r="B232">
        <v>1.797785</v>
      </c>
      <c r="C232">
        <f t="shared" si="5"/>
        <v>-3.7753560626798644E-3</v>
      </c>
      <c r="D232">
        <f>(C232-meanrtn)/stdevrtns</f>
        <v>-0.61770395998869154</v>
      </c>
    </row>
    <row r="233" spans="1:4" x14ac:dyDescent="0.3">
      <c r="A233" s="1">
        <v>38279</v>
      </c>
      <c r="B233">
        <v>1.803914</v>
      </c>
      <c r="C233">
        <f t="shared" si="5"/>
        <v>3.4091952040984051E-3</v>
      </c>
      <c r="D233">
        <f>(C233-meanrtn)/stdevrtns</f>
        <v>0.57306540455696264</v>
      </c>
    </row>
    <row r="234" spans="1:4" x14ac:dyDescent="0.3">
      <c r="A234" s="1">
        <v>38280</v>
      </c>
      <c r="B234">
        <v>1.8162990000000001</v>
      </c>
      <c r="C234">
        <f t="shared" si="5"/>
        <v>6.86562663186831E-3</v>
      </c>
      <c r="D234">
        <f>(C234-meanrtn)/stdevrtns</f>
        <v>1.1459352334456401</v>
      </c>
    </row>
    <row r="235" spans="1:4" x14ac:dyDescent="0.3">
      <c r="A235" s="1">
        <v>38281</v>
      </c>
      <c r="B235">
        <v>1.827485</v>
      </c>
      <c r="C235">
        <f t="shared" si="5"/>
        <v>6.158677618607904E-3</v>
      </c>
      <c r="D235">
        <f>(C235-meanrtn)/stdevrtns</f>
        <v>1.0287653231717919</v>
      </c>
    </row>
    <row r="236" spans="1:4" x14ac:dyDescent="0.3">
      <c r="A236" s="1">
        <v>38282</v>
      </c>
      <c r="B236">
        <v>1.829291</v>
      </c>
      <c r="C236">
        <f t="shared" si="5"/>
        <v>9.8824340555461417E-4</v>
      </c>
      <c r="D236">
        <f>(C236-meanrtn)/stdevrtns</f>
        <v>0.17181623426043482</v>
      </c>
    </row>
    <row r="237" spans="1:4" x14ac:dyDescent="0.3">
      <c r="A237" s="1">
        <v>38285</v>
      </c>
      <c r="B237">
        <v>1.84179</v>
      </c>
      <c r="C237">
        <f t="shared" si="5"/>
        <v>6.8327018500610555E-3</v>
      </c>
      <c r="D237">
        <f>(C237-meanrtn)/stdevrtns</f>
        <v>1.1404782716877473</v>
      </c>
    </row>
    <row r="238" spans="1:4" x14ac:dyDescent="0.3">
      <c r="A238" s="1">
        <v>38286</v>
      </c>
      <c r="B238">
        <v>1.835907</v>
      </c>
      <c r="C238">
        <f t="shared" si="5"/>
        <v>-3.194175231703985E-3</v>
      </c>
      <c r="D238">
        <f>(C238-meanrtn)/stdevrtns</f>
        <v>-0.52137890041435897</v>
      </c>
    </row>
    <row r="239" spans="1:4" x14ac:dyDescent="0.3">
      <c r="A239" s="1">
        <v>38287</v>
      </c>
      <c r="B239">
        <v>1.828087</v>
      </c>
      <c r="C239">
        <f t="shared" si="5"/>
        <v>-4.2594750169806742E-3</v>
      </c>
      <c r="D239">
        <f>(C239-meanrtn)/stdevrtns</f>
        <v>-0.69794195929742031</v>
      </c>
    </row>
    <row r="240" spans="1:4" x14ac:dyDescent="0.3">
      <c r="A240" s="1">
        <v>38289</v>
      </c>
      <c r="B240">
        <v>1.8381000000000001</v>
      </c>
      <c r="C240">
        <f t="shared" si="5"/>
        <v>5.4773104343502519E-3</v>
      </c>
      <c r="D240">
        <f>(C240-meanrtn)/stdevrtns</f>
        <v>0.91583535177991471</v>
      </c>
    </row>
    <row r="241" spans="1:4" x14ac:dyDescent="0.3">
      <c r="A241" s="1">
        <v>38292</v>
      </c>
      <c r="B241">
        <v>1.8327100000000001</v>
      </c>
      <c r="C241">
        <f t="shared" si="5"/>
        <v>-2.9323758228605658E-3</v>
      </c>
      <c r="D241">
        <f>(C241-meanrtn)/stdevrtns</f>
        <v>-0.47798819943231985</v>
      </c>
    </row>
    <row r="242" spans="1:4" x14ac:dyDescent="0.3">
      <c r="A242" s="1">
        <v>38293</v>
      </c>
      <c r="B242">
        <v>1.839791</v>
      </c>
      <c r="C242">
        <f t="shared" si="5"/>
        <v>3.8636772866410358E-3</v>
      </c>
      <c r="D242">
        <f>(C242-meanrtn)/stdevrtns</f>
        <v>0.64839138116027994</v>
      </c>
    </row>
    <row r="243" spans="1:4" x14ac:dyDescent="0.3">
      <c r="A243" s="1">
        <v>38294</v>
      </c>
      <c r="B243">
        <v>1.8476090000000001</v>
      </c>
      <c r="C243">
        <f t="shared" si="5"/>
        <v>4.2493957194051409E-3</v>
      </c>
      <c r="D243">
        <f>(C243-meanrtn)/stdevrtns</f>
        <v>0.71232045286165313</v>
      </c>
    </row>
    <row r="244" spans="1:4" x14ac:dyDescent="0.3">
      <c r="A244" s="1">
        <v>38295</v>
      </c>
      <c r="B244">
        <v>1.843896</v>
      </c>
      <c r="C244">
        <f t="shared" si="5"/>
        <v>-2.0096243306890567E-3</v>
      </c>
      <c r="D244">
        <f>(C244-meanrtn)/stdevrtns</f>
        <v>-0.3250511311080313</v>
      </c>
    </row>
    <row r="245" spans="1:4" x14ac:dyDescent="0.3">
      <c r="A245" s="1">
        <v>38296</v>
      </c>
      <c r="B245">
        <v>1.857286</v>
      </c>
      <c r="C245">
        <f t="shared" si="5"/>
        <v>7.2617978454316365E-3</v>
      </c>
      <c r="D245">
        <f>(C245-meanrtn)/stdevrtns</f>
        <v>1.2115967517101798</v>
      </c>
    </row>
    <row r="246" spans="1:4" x14ac:dyDescent="0.3">
      <c r="A246" s="1">
        <v>38299</v>
      </c>
      <c r="B246">
        <v>1.8545990000000001</v>
      </c>
      <c r="C246">
        <f t="shared" si="5"/>
        <v>-1.4467346439912237E-3</v>
      </c>
      <c r="D246">
        <f>(C246-meanrtn)/stdevrtns</f>
        <v>-0.23175765046466087</v>
      </c>
    </row>
    <row r="247" spans="1:4" x14ac:dyDescent="0.3">
      <c r="A247" s="1">
        <v>38300</v>
      </c>
      <c r="B247">
        <v>1.855701</v>
      </c>
      <c r="C247">
        <f t="shared" si="5"/>
        <v>5.9419853024828353E-4</v>
      </c>
      <c r="D247">
        <f>(C247-meanrtn)/stdevrtns</f>
        <v>0.10650713584246238</v>
      </c>
    </row>
    <row r="248" spans="1:4" x14ac:dyDescent="0.3">
      <c r="A248" s="1">
        <v>38301</v>
      </c>
      <c r="B248">
        <v>1.846892</v>
      </c>
      <c r="C248">
        <f t="shared" si="5"/>
        <v>-4.7469931847857316E-3</v>
      </c>
      <c r="D248">
        <f>(C248-meanrtn)/stdevrtns</f>
        <v>-0.77874334512175869</v>
      </c>
    </row>
    <row r="249" spans="1:4" x14ac:dyDescent="0.3">
      <c r="A249" s="1">
        <v>38302</v>
      </c>
      <c r="B249">
        <v>1.8431139999999999</v>
      </c>
      <c r="C249">
        <f t="shared" si="5"/>
        <v>-2.0455987680925896E-3</v>
      </c>
      <c r="D249">
        <f>(C249-meanrtn)/stdevrtns</f>
        <v>-0.33101354356446039</v>
      </c>
    </row>
    <row r="250" spans="1:4" x14ac:dyDescent="0.3">
      <c r="A250" s="1">
        <v>38303</v>
      </c>
      <c r="B250">
        <v>1.857286</v>
      </c>
      <c r="C250">
        <f t="shared" si="5"/>
        <v>7.6891608440932437E-3</v>
      </c>
      <c r="D250">
        <f>(C250-meanrtn)/stdevrtns</f>
        <v>1.2824280044148189</v>
      </c>
    </row>
    <row r="251" spans="1:4" x14ac:dyDescent="0.3">
      <c r="A251" s="1">
        <v>38306</v>
      </c>
      <c r="B251">
        <v>1.8464149999999999</v>
      </c>
      <c r="C251">
        <f t="shared" si="5"/>
        <v>-5.8531642407254857E-3</v>
      </c>
      <c r="D251">
        <f>(C251-meanrtn)/stdevrtns</f>
        <v>-0.9620804188581451</v>
      </c>
    </row>
    <row r="252" spans="1:4" x14ac:dyDescent="0.3">
      <c r="A252" s="1">
        <v>38307</v>
      </c>
      <c r="B252">
        <v>1.8531899999999999</v>
      </c>
      <c r="C252">
        <f t="shared" si="5"/>
        <v>3.6692726174776397E-3</v>
      </c>
      <c r="D252">
        <f>(C252-meanrtn)/stdevrtns</f>
        <v>0.61617070157033371</v>
      </c>
    </row>
    <row r="253" spans="1:4" x14ac:dyDescent="0.3">
      <c r="A253" s="1">
        <v>38308</v>
      </c>
      <c r="B253">
        <v>1.8593930000000001</v>
      </c>
      <c r="C253">
        <f t="shared" si="5"/>
        <v>3.3472013123318069E-3</v>
      </c>
      <c r="D253">
        <f>(C253-meanrtn)/stdevrtns</f>
        <v>0.56279052107941352</v>
      </c>
    </row>
    <row r="254" spans="1:4" x14ac:dyDescent="0.3">
      <c r="A254" s="1">
        <v>38309</v>
      </c>
      <c r="B254">
        <v>1.848292</v>
      </c>
      <c r="C254">
        <f t="shared" si="5"/>
        <v>-5.9702279184658796E-3</v>
      </c>
      <c r="D254">
        <f>(C254-meanrtn)/stdevrtns</f>
        <v>-0.98148258274816835</v>
      </c>
    </row>
    <row r="255" spans="1:4" x14ac:dyDescent="0.3">
      <c r="A255" s="1">
        <v>38310</v>
      </c>
      <c r="B255">
        <v>1.8600840000000001</v>
      </c>
      <c r="C255">
        <f t="shared" si="5"/>
        <v>6.3799442945162476E-3</v>
      </c>
      <c r="D255">
        <f>(C255-meanrtn)/stdevrtns</f>
        <v>1.0654381186301307</v>
      </c>
    </row>
    <row r="256" spans="1:4" x14ac:dyDescent="0.3">
      <c r="A256" s="1">
        <v>38313</v>
      </c>
      <c r="B256">
        <v>1.8598079999999999</v>
      </c>
      <c r="C256">
        <f t="shared" si="5"/>
        <v>-1.4838039572415279E-4</v>
      </c>
      <c r="D256">
        <f>(C256-meanrtn)/stdevrtns</f>
        <v>-1.6568085277326158E-2</v>
      </c>
    </row>
    <row r="257" spans="1:4" x14ac:dyDescent="0.3">
      <c r="A257" s="1">
        <v>38314</v>
      </c>
      <c r="B257">
        <v>1.868984</v>
      </c>
      <c r="C257">
        <f t="shared" si="5"/>
        <v>4.9338426332180925E-3</v>
      </c>
      <c r="D257">
        <f>(C257-meanrtn)/stdevrtns</f>
        <v>0.82576085941772692</v>
      </c>
    </row>
    <row r="258" spans="1:4" x14ac:dyDescent="0.3">
      <c r="A258" s="1">
        <v>38315</v>
      </c>
      <c r="B258">
        <v>1.881114</v>
      </c>
      <c r="C258">
        <f t="shared" si="5"/>
        <v>6.4901572191094058E-3</v>
      </c>
      <c r="D258">
        <f>(C258-meanrtn)/stdevrtns</f>
        <v>1.0837048369413167</v>
      </c>
    </row>
    <row r="259" spans="1:4" x14ac:dyDescent="0.3">
      <c r="A259" s="1">
        <v>38316</v>
      </c>
      <c r="B259">
        <v>1.8917900000000001</v>
      </c>
      <c r="C259">
        <f t="shared" si="5"/>
        <v>5.675360451307114E-3</v>
      </c>
      <c r="D259">
        <f>(C259-meanrtn)/stdevrtns</f>
        <v>0.94866021224551922</v>
      </c>
    </row>
    <row r="260" spans="1:4" x14ac:dyDescent="0.3">
      <c r="A260" s="1">
        <v>38317</v>
      </c>
      <c r="B260">
        <v>1.8935090000000001</v>
      </c>
      <c r="C260">
        <f t="shared" ref="C260:C323" si="6">(B260-B259)/B259</f>
        <v>9.0866322371934837E-4</v>
      </c>
      <c r="D260">
        <f>(C260-meanrtn)/stdevrtns</f>
        <v>0.15862659456886641</v>
      </c>
    </row>
    <row r="261" spans="1:4" x14ac:dyDescent="0.3">
      <c r="A261" s="1">
        <v>38320</v>
      </c>
      <c r="B261">
        <v>1.892506</v>
      </c>
      <c r="C261">
        <f t="shared" si="6"/>
        <v>-5.2970437425968778E-4</v>
      </c>
      <c r="D261">
        <f>(C261-meanrtn)/stdevrtns</f>
        <v>-7.9768819010888253E-2</v>
      </c>
    </row>
    <row r="262" spans="1:4" x14ac:dyDescent="0.3">
      <c r="A262" s="1">
        <v>38321</v>
      </c>
      <c r="B262">
        <v>1.9096</v>
      </c>
      <c r="C262">
        <f t="shared" si="6"/>
        <v>9.0324680608674119E-3</v>
      </c>
      <c r="D262">
        <f>(C262-meanrtn)/stdevrtns</f>
        <v>1.5050680861001229</v>
      </c>
    </row>
    <row r="263" spans="1:4" x14ac:dyDescent="0.3">
      <c r="A263" s="1">
        <v>38322</v>
      </c>
      <c r="B263">
        <v>1.933114</v>
      </c>
      <c r="C263">
        <f t="shared" si="6"/>
        <v>1.2313573523250961E-2</v>
      </c>
      <c r="D263">
        <f>(C263-meanrtn)/stdevrtns</f>
        <v>2.048879344642613</v>
      </c>
    </row>
    <row r="264" spans="1:4" x14ac:dyDescent="0.3">
      <c r="A264" s="1">
        <v>38323</v>
      </c>
      <c r="B264">
        <v>1.924002</v>
      </c>
      <c r="C264">
        <f t="shared" si="6"/>
        <v>-4.7136382024029668E-3</v>
      </c>
      <c r="D264">
        <f>(C264-meanrtn)/stdevrtns</f>
        <v>-0.77321508181044862</v>
      </c>
    </row>
    <row r="265" spans="1:4" x14ac:dyDescent="0.3">
      <c r="A265" s="1">
        <v>38324</v>
      </c>
      <c r="B265">
        <v>1.944088</v>
      </c>
      <c r="C265">
        <f t="shared" si="6"/>
        <v>1.0439698087631951E-2</v>
      </c>
      <c r="D265">
        <f>(C265-meanrtn)/stdevrtns</f>
        <v>1.7383027506627424</v>
      </c>
    </row>
    <row r="266" spans="1:4" x14ac:dyDescent="0.3">
      <c r="A266" s="1">
        <v>38327</v>
      </c>
      <c r="B266">
        <v>1.9367080000000001</v>
      </c>
      <c r="C266">
        <f t="shared" si="6"/>
        <v>-3.7961244552715424E-3</v>
      </c>
      <c r="D266">
        <f>(C266-meanrtn)/stdevrtns</f>
        <v>-0.62114611868875969</v>
      </c>
    </row>
    <row r="267" spans="1:4" x14ac:dyDescent="0.3">
      <c r="A267" s="1">
        <v>38328</v>
      </c>
      <c r="B267">
        <v>1.945109</v>
      </c>
      <c r="C267">
        <f t="shared" si="6"/>
        <v>4.3377731697291904E-3</v>
      </c>
      <c r="D267">
        <f>(C267-meanrtn)/stdevrtns</f>
        <v>0.72696815408262638</v>
      </c>
    </row>
    <row r="268" spans="1:4" x14ac:dyDescent="0.3">
      <c r="A268" s="1">
        <v>38329</v>
      </c>
      <c r="B268">
        <v>1.9370830000000001</v>
      </c>
      <c r="C268">
        <f t="shared" si="6"/>
        <v>-4.126246909556157E-3</v>
      </c>
      <c r="D268">
        <f>(C268-meanrtn)/stdevrtns</f>
        <v>-0.6758606986971808</v>
      </c>
    </row>
    <row r="269" spans="1:4" x14ac:dyDescent="0.3">
      <c r="A269" s="1">
        <v>38330</v>
      </c>
      <c r="B269">
        <v>1.9232990000000001</v>
      </c>
      <c r="C269">
        <f t="shared" si="6"/>
        <v>-7.1158540960815919E-3</v>
      </c>
      <c r="D269">
        <f>(C269-meanrtn)/stdevrtns</f>
        <v>-1.171358958442549</v>
      </c>
    </row>
    <row r="270" spans="1:4" x14ac:dyDescent="0.3">
      <c r="A270" s="1">
        <v>38331</v>
      </c>
      <c r="B270">
        <v>1.9132899999999999</v>
      </c>
      <c r="C270">
        <f t="shared" si="6"/>
        <v>-5.2040790329533557E-3</v>
      </c>
      <c r="D270">
        <f>(C270-meanrtn)/stdevrtns</f>
        <v>-0.85450087050572654</v>
      </c>
    </row>
    <row r="271" spans="1:4" x14ac:dyDescent="0.3">
      <c r="A271" s="1">
        <v>38334</v>
      </c>
      <c r="B271">
        <v>1.9238170000000001</v>
      </c>
      <c r="C271">
        <f t="shared" si="6"/>
        <v>5.5020409869910867E-3</v>
      </c>
      <c r="D271">
        <f>(C271-meanrtn)/stdevrtns</f>
        <v>0.9199341998999303</v>
      </c>
    </row>
    <row r="272" spans="1:4" x14ac:dyDescent="0.3">
      <c r="A272" s="1">
        <v>38335</v>
      </c>
      <c r="B272">
        <v>1.9274880000000001</v>
      </c>
      <c r="C272">
        <f t="shared" si="6"/>
        <v>1.9081856538329684E-3</v>
      </c>
      <c r="D272">
        <f>(C272-meanrtn)/stdevrtns</f>
        <v>0.3242876977833527</v>
      </c>
    </row>
    <row r="273" spans="1:4" x14ac:dyDescent="0.3">
      <c r="A273" s="1">
        <v>38336</v>
      </c>
      <c r="B273">
        <v>1.942502</v>
      </c>
      <c r="C273">
        <f t="shared" si="6"/>
        <v>7.7894129561376568E-3</v>
      </c>
      <c r="D273">
        <f>(C273-meanrtn)/stdevrtns</f>
        <v>1.2990438151065029</v>
      </c>
    </row>
    <row r="274" spans="1:4" x14ac:dyDescent="0.3">
      <c r="A274" s="1">
        <v>38337</v>
      </c>
      <c r="B274">
        <v>1.931397</v>
      </c>
      <c r="C274">
        <f t="shared" si="6"/>
        <v>-5.7168538307810855E-3</v>
      </c>
      <c r="D274">
        <f>(C274-meanrtn)/stdevrtns</f>
        <v>-0.93948829664990086</v>
      </c>
    </row>
    <row r="275" spans="1:4" x14ac:dyDescent="0.3">
      <c r="A275" s="1">
        <v>38338</v>
      </c>
      <c r="B275">
        <v>1.9420109999999999</v>
      </c>
      <c r="C275">
        <f t="shared" si="6"/>
        <v>5.495504031537742E-3</v>
      </c>
      <c r="D275">
        <f>(C275-meanrtn)/stdevrtns</f>
        <v>0.91885076323113846</v>
      </c>
    </row>
    <row r="276" spans="1:4" x14ac:dyDescent="0.3">
      <c r="A276" s="1">
        <v>38341</v>
      </c>
      <c r="B276">
        <v>1.947003</v>
      </c>
      <c r="C276">
        <f t="shared" si="6"/>
        <v>2.5705312688754636E-3</v>
      </c>
      <c r="D276">
        <f>(C276-meanrtn)/stdevrtns</f>
        <v>0.43406502942837072</v>
      </c>
    </row>
    <row r="277" spans="1:4" x14ac:dyDescent="0.3">
      <c r="A277" s="1">
        <v>38342</v>
      </c>
      <c r="B277">
        <v>1.9290119999999999</v>
      </c>
      <c r="C277">
        <f t="shared" si="6"/>
        <v>-9.2403555618558834E-3</v>
      </c>
      <c r="D277">
        <f>(C277-meanrtn)/stdevrtns</f>
        <v>-1.5234743747628761</v>
      </c>
    </row>
    <row r="278" spans="1:4" x14ac:dyDescent="0.3">
      <c r="A278" s="1">
        <v>38343</v>
      </c>
      <c r="B278">
        <v>1.9149020000000001</v>
      </c>
      <c r="C278">
        <f t="shared" si="6"/>
        <v>-7.3146253107807752E-3</v>
      </c>
      <c r="D278">
        <f>(C278-meanrtn)/stdevrtns</f>
        <v>-1.2043033504064262</v>
      </c>
    </row>
    <row r="279" spans="1:4" x14ac:dyDescent="0.3">
      <c r="A279" s="1">
        <v>38344</v>
      </c>
      <c r="B279">
        <v>1.923891</v>
      </c>
      <c r="C279">
        <f t="shared" si="6"/>
        <v>4.6942350052378203E-3</v>
      </c>
      <c r="D279">
        <f>(C279-meanrtn)/stdevrtns</f>
        <v>0.78604822987192879</v>
      </c>
    </row>
    <row r="280" spans="1:4" x14ac:dyDescent="0.3">
      <c r="A280" s="1">
        <v>38345</v>
      </c>
      <c r="B280">
        <v>1.921894</v>
      </c>
      <c r="C280">
        <f t="shared" si="6"/>
        <v>-1.0380005935887358E-3</v>
      </c>
      <c r="D280">
        <f>(C280-meanrtn)/stdevrtns</f>
        <v>-0.16401396440920679</v>
      </c>
    </row>
    <row r="281" spans="1:4" x14ac:dyDescent="0.3">
      <c r="A281" s="1">
        <v>38348</v>
      </c>
      <c r="B281">
        <v>1.9349099999999999</v>
      </c>
      <c r="C281">
        <f t="shared" si="6"/>
        <v>6.7724858915215493E-3</v>
      </c>
      <c r="D281">
        <f>(C281-meanrtn)/stdevrtns</f>
        <v>1.1304980633179977</v>
      </c>
    </row>
    <row r="282" spans="1:4" x14ac:dyDescent="0.3">
      <c r="A282" s="1">
        <v>38349</v>
      </c>
      <c r="B282">
        <v>1.9271910000000001</v>
      </c>
      <c r="C282">
        <f t="shared" si="6"/>
        <v>-3.9893328371861277E-3</v>
      </c>
      <c r="D282">
        <f>(C282-meanrtn)/stdevrtns</f>
        <v>-0.65316852532411418</v>
      </c>
    </row>
    <row r="283" spans="1:4" x14ac:dyDescent="0.3">
      <c r="A283" s="1">
        <v>38350</v>
      </c>
      <c r="B283">
        <v>1.917913</v>
      </c>
      <c r="C283">
        <f t="shared" si="6"/>
        <v>-4.8142607556802197E-3</v>
      </c>
      <c r="D283">
        <f>(C283-meanrtn)/stdevrtns</f>
        <v>-0.78989228952681101</v>
      </c>
    </row>
    <row r="284" spans="1:4" x14ac:dyDescent="0.3">
      <c r="A284" s="1">
        <v>38351</v>
      </c>
      <c r="B284">
        <v>1.9238170000000001</v>
      </c>
      <c r="C284">
        <f t="shared" si="6"/>
        <v>3.0783460980764671E-3</v>
      </c>
      <c r="D284">
        <f>(C284-meanrtn)/stdevrtns</f>
        <v>0.5182303891037422</v>
      </c>
    </row>
    <row r="285" spans="1:4" x14ac:dyDescent="0.3">
      <c r="A285" s="1">
        <v>38352</v>
      </c>
      <c r="B285">
        <v>1.919791</v>
      </c>
      <c r="C285">
        <f t="shared" si="6"/>
        <v>-2.0927146396981025E-3</v>
      </c>
      <c r="D285">
        <f>(C285-meanrtn)/stdevrtns</f>
        <v>-0.33882254017516589</v>
      </c>
    </row>
    <row r="286" spans="1:4" x14ac:dyDescent="0.3">
      <c r="A286" s="1">
        <v>38355</v>
      </c>
      <c r="B286">
        <v>1.904617</v>
      </c>
      <c r="C286">
        <f t="shared" si="6"/>
        <v>-7.9039853817420864E-3</v>
      </c>
      <c r="D286">
        <f>(C286-meanrtn)/stdevrtns</f>
        <v>-1.3019840393079452</v>
      </c>
    </row>
    <row r="287" spans="1:4" x14ac:dyDescent="0.3">
      <c r="A287" s="1">
        <v>38356</v>
      </c>
      <c r="B287">
        <v>1.883594</v>
      </c>
      <c r="C287">
        <f t="shared" si="6"/>
        <v>-1.1037914709361522E-2</v>
      </c>
      <c r="D287">
        <f>(C287-meanrtn)/stdevrtns</f>
        <v>-1.8214022876314497</v>
      </c>
    </row>
    <row r="288" spans="1:4" x14ac:dyDescent="0.3">
      <c r="A288" s="1">
        <v>38357</v>
      </c>
      <c r="B288">
        <v>1.8855120000000001</v>
      </c>
      <c r="C288">
        <f t="shared" si="6"/>
        <v>1.0182661444027143E-3</v>
      </c>
      <c r="D288">
        <f>(C288-meanrtn)/stdevrtns</f>
        <v>0.17679221067602294</v>
      </c>
    </row>
    <row r="289" spans="1:4" x14ac:dyDescent="0.3">
      <c r="A289" s="1">
        <v>38358</v>
      </c>
      <c r="B289">
        <v>1.87649</v>
      </c>
      <c r="C289">
        <f t="shared" si="6"/>
        <v>-4.784907229442234E-3</v>
      </c>
      <c r="D289">
        <f>(C289-meanrtn)/stdevrtns</f>
        <v>-0.78502722858038754</v>
      </c>
    </row>
    <row r="290" spans="1:4" x14ac:dyDescent="0.3">
      <c r="A290" s="1">
        <v>38359</v>
      </c>
      <c r="B290">
        <v>1.8712930000000001</v>
      </c>
      <c r="C290">
        <f t="shared" si="6"/>
        <v>-2.769532478190609E-3</v>
      </c>
      <c r="D290">
        <f>(C290-meanrtn)/stdevrtns</f>
        <v>-0.4509985018363436</v>
      </c>
    </row>
    <row r="291" spans="1:4" x14ac:dyDescent="0.3">
      <c r="A291" s="1">
        <v>38362</v>
      </c>
      <c r="B291">
        <v>1.8769119999999999</v>
      </c>
      <c r="C291">
        <f t="shared" si="6"/>
        <v>3.0027366104612256E-3</v>
      </c>
      <c r="D291">
        <f>(C291-meanrtn)/stdevrtns</f>
        <v>0.50569885328778341</v>
      </c>
    </row>
    <row r="292" spans="1:4" x14ac:dyDescent="0.3">
      <c r="A292" s="1">
        <v>38363</v>
      </c>
      <c r="B292">
        <v>1.8786050000000001</v>
      </c>
      <c r="C292">
        <f t="shared" si="6"/>
        <v>9.0201352007987946E-4</v>
      </c>
      <c r="D292">
        <f>(C292-meanrtn)/stdevrtns</f>
        <v>0.15752447098686878</v>
      </c>
    </row>
    <row r="293" spans="1:4" x14ac:dyDescent="0.3">
      <c r="A293" s="1">
        <v>38364</v>
      </c>
      <c r="B293">
        <v>1.8907160000000001</v>
      </c>
      <c r="C293">
        <f t="shared" si="6"/>
        <v>6.4468049430295256E-3</v>
      </c>
      <c r="D293">
        <f>(C293-meanrtn)/stdevrtns</f>
        <v>1.0765196196156428</v>
      </c>
    </row>
    <row r="294" spans="1:4" x14ac:dyDescent="0.3">
      <c r="A294" s="1">
        <v>38365</v>
      </c>
      <c r="B294">
        <v>1.881008</v>
      </c>
      <c r="C294">
        <f t="shared" si="6"/>
        <v>-5.1345627793915371E-3</v>
      </c>
      <c r="D294">
        <f>(C294-meanrtn)/stdevrtns</f>
        <v>-0.84297922886024612</v>
      </c>
    </row>
    <row r="295" spans="1:4" x14ac:dyDescent="0.3">
      <c r="A295" s="1">
        <v>38366</v>
      </c>
      <c r="B295">
        <v>1.870592</v>
      </c>
      <c r="C295">
        <f t="shared" si="6"/>
        <v>-5.5374565126782987E-3</v>
      </c>
      <c r="D295">
        <f>(C295-meanrtn)/stdevrtns</f>
        <v>-0.9097549392631642</v>
      </c>
    </row>
    <row r="296" spans="1:4" x14ac:dyDescent="0.3">
      <c r="A296" s="1">
        <v>38369</v>
      </c>
      <c r="B296">
        <v>1.857286</v>
      </c>
      <c r="C296">
        <f t="shared" si="6"/>
        <v>-7.1132561242644252E-3</v>
      </c>
      <c r="D296">
        <f>(C296-meanrtn)/stdevrtns</f>
        <v>-1.1709283699290896</v>
      </c>
    </row>
    <row r="297" spans="1:4" x14ac:dyDescent="0.3">
      <c r="A297" s="1">
        <v>38370</v>
      </c>
      <c r="B297">
        <v>1.863308</v>
      </c>
      <c r="C297">
        <f t="shared" si="6"/>
        <v>3.2423654730612149E-3</v>
      </c>
      <c r="D297">
        <f>(C297-meanrtn)/stdevrtns</f>
        <v>0.54541500226488471</v>
      </c>
    </row>
    <row r="298" spans="1:4" x14ac:dyDescent="0.3">
      <c r="A298" s="1">
        <v>38371</v>
      </c>
      <c r="B298">
        <v>1.8709070000000001</v>
      </c>
      <c r="C298">
        <f t="shared" si="6"/>
        <v>4.0782307594880362E-3</v>
      </c>
      <c r="D298">
        <f>(C298-meanrtn)/stdevrtns</f>
        <v>0.68395152862619835</v>
      </c>
    </row>
    <row r="299" spans="1:4" x14ac:dyDescent="0.3">
      <c r="A299" s="1">
        <v>38372</v>
      </c>
      <c r="B299">
        <v>1.870592</v>
      </c>
      <c r="C299">
        <f t="shared" si="6"/>
        <v>-1.6836753510466592E-4</v>
      </c>
      <c r="D299">
        <f>(C299-meanrtn)/stdevrtns</f>
        <v>-1.9880758870355106E-2</v>
      </c>
    </row>
    <row r="300" spans="1:4" x14ac:dyDescent="0.3">
      <c r="A300" s="1">
        <v>38373</v>
      </c>
      <c r="B300">
        <v>1.877194</v>
      </c>
      <c r="C300">
        <f t="shared" si="6"/>
        <v>3.5293639660599406E-3</v>
      </c>
      <c r="D300">
        <f>(C300-meanrtn)/stdevrtns</f>
        <v>0.59298220589998407</v>
      </c>
    </row>
    <row r="301" spans="1:4" x14ac:dyDescent="0.3">
      <c r="A301" s="1">
        <v>38376</v>
      </c>
      <c r="B301">
        <v>1.878887</v>
      </c>
      <c r="C301">
        <f t="shared" si="6"/>
        <v>9.0187801580441046E-4</v>
      </c>
      <c r="D301">
        <f>(C301-meanrtn)/stdevrtns</f>
        <v>0.15750201247359466</v>
      </c>
    </row>
    <row r="302" spans="1:4" x14ac:dyDescent="0.3">
      <c r="A302" s="1">
        <v>38377</v>
      </c>
      <c r="B302">
        <v>1.8643149999999999</v>
      </c>
      <c r="C302">
        <f t="shared" si="6"/>
        <v>-7.7556553427641098E-3</v>
      </c>
      <c r="D302">
        <f>(C302-meanrtn)/stdevrtns</f>
        <v>-1.2773997807094202</v>
      </c>
    </row>
    <row r="303" spans="1:4" x14ac:dyDescent="0.3">
      <c r="A303" s="1">
        <v>38378</v>
      </c>
      <c r="B303">
        <v>1.8821049999999999</v>
      </c>
      <c r="C303">
        <f t="shared" si="6"/>
        <v>9.5423788361945136E-3</v>
      </c>
      <c r="D303">
        <f>(C303-meanrtn)/stdevrtns</f>
        <v>1.589580828422513</v>
      </c>
    </row>
    <row r="304" spans="1:4" x14ac:dyDescent="0.3">
      <c r="A304" s="1">
        <v>38379</v>
      </c>
      <c r="B304">
        <v>1.891003</v>
      </c>
      <c r="C304">
        <f t="shared" si="6"/>
        <v>4.7276852247882415E-3</v>
      </c>
      <c r="D304">
        <f>(C304-meanrtn)/stdevrtns</f>
        <v>0.79159227781576502</v>
      </c>
    </row>
    <row r="305" spans="1:4" x14ac:dyDescent="0.3">
      <c r="A305" s="1">
        <v>38380</v>
      </c>
      <c r="B305">
        <v>1.8887879999999999</v>
      </c>
      <c r="C305">
        <f t="shared" si="6"/>
        <v>-1.1713360581659987E-3</v>
      </c>
      <c r="D305">
        <f>(C305-meanrtn)/stdevrtns</f>
        <v>-0.18611301841140118</v>
      </c>
    </row>
    <row r="306" spans="1:4" x14ac:dyDescent="0.3">
      <c r="A306" s="1">
        <v>38383</v>
      </c>
      <c r="B306">
        <v>1.8841969999999999</v>
      </c>
      <c r="C306">
        <f t="shared" si="6"/>
        <v>-2.4306592375639893E-3</v>
      </c>
      <c r="D306">
        <f>(C306-meanrtn)/stdevrtns</f>
        <v>-0.39483356426141353</v>
      </c>
    </row>
    <row r="307" spans="1:4" x14ac:dyDescent="0.3">
      <c r="A307" s="1">
        <v>38384</v>
      </c>
      <c r="B307">
        <v>1.88331</v>
      </c>
      <c r="C307">
        <f t="shared" si="6"/>
        <v>-4.7075756940482345E-4</v>
      </c>
      <c r="D307">
        <f>(C307-meanrtn)/stdevrtns</f>
        <v>-6.9998960497442184E-2</v>
      </c>
    </row>
    <row r="308" spans="1:4" x14ac:dyDescent="0.3">
      <c r="A308" s="1">
        <v>38385</v>
      </c>
      <c r="B308">
        <v>1.8846940000000001</v>
      </c>
      <c r="C308">
        <f t="shared" si="6"/>
        <v>7.3487636130007902E-4</v>
      </c>
      <c r="D308">
        <f>(C308-meanrtn)/stdevrtns</f>
        <v>0.12982311554209994</v>
      </c>
    </row>
    <row r="309" spans="1:4" x14ac:dyDescent="0.3">
      <c r="A309" s="1">
        <v>38386</v>
      </c>
      <c r="B309">
        <v>1.882388</v>
      </c>
      <c r="C309">
        <f t="shared" si="6"/>
        <v>-1.2235407976043545E-3</v>
      </c>
      <c r="D309">
        <f>(C309-meanrtn)/stdevrtns</f>
        <v>-0.19476544527829973</v>
      </c>
    </row>
    <row r="310" spans="1:4" x14ac:dyDescent="0.3">
      <c r="A310" s="1">
        <v>38387</v>
      </c>
      <c r="B310">
        <v>1.873291</v>
      </c>
      <c r="C310">
        <f t="shared" si="6"/>
        <v>-4.8326912411255866E-3</v>
      </c>
      <c r="D310">
        <f>(C310-meanrtn)/stdevrtns</f>
        <v>-0.7929469628984841</v>
      </c>
    </row>
    <row r="311" spans="1:4" x14ac:dyDescent="0.3">
      <c r="A311" s="1">
        <v>38390</v>
      </c>
      <c r="B311">
        <v>1.8580110000000001</v>
      </c>
      <c r="C311">
        <f t="shared" si="6"/>
        <v>-8.1567679554324229E-3</v>
      </c>
      <c r="D311">
        <f>(C311-meanrtn)/stdevrtns</f>
        <v>-1.3438802877254801</v>
      </c>
    </row>
    <row r="312" spans="1:4" x14ac:dyDescent="0.3">
      <c r="A312" s="1">
        <v>38391</v>
      </c>
      <c r="B312">
        <v>1.853912</v>
      </c>
      <c r="C312">
        <f t="shared" si="6"/>
        <v>-2.2061225687038852E-3</v>
      </c>
      <c r="D312">
        <f>(C312-meanrtn)/stdevrtns</f>
        <v>-0.35761879933488527</v>
      </c>
    </row>
    <row r="313" spans="1:4" x14ac:dyDescent="0.3">
      <c r="A313" s="1">
        <v>38392</v>
      </c>
      <c r="B313">
        <v>1.8591850000000001</v>
      </c>
      <c r="C313">
        <f t="shared" si="6"/>
        <v>2.8442558222828715E-3</v>
      </c>
      <c r="D313">
        <f>(C313-meanrtn)/stdevrtns</f>
        <v>0.47943220692053479</v>
      </c>
    </row>
    <row r="314" spans="1:4" x14ac:dyDescent="0.3">
      <c r="A314" s="1">
        <v>38393</v>
      </c>
      <c r="B314">
        <v>1.8681110000000001</v>
      </c>
      <c r="C314">
        <f t="shared" si="6"/>
        <v>4.8010284076087043E-3</v>
      </c>
      <c r="D314">
        <f>(C314-meanrtn)/stdevrtns</f>
        <v>0.80374819569538525</v>
      </c>
    </row>
    <row r="315" spans="1:4" x14ac:dyDescent="0.3">
      <c r="A315" s="1">
        <v>38394</v>
      </c>
      <c r="B315">
        <v>1.869893</v>
      </c>
      <c r="C315">
        <f t="shared" si="6"/>
        <v>9.5390477332447064E-4</v>
      </c>
      <c r="D315">
        <f>(C315-meanrtn)/stdevrtns</f>
        <v>0.16612494057183252</v>
      </c>
    </row>
    <row r="316" spans="1:4" x14ac:dyDescent="0.3">
      <c r="A316" s="1">
        <v>38397</v>
      </c>
      <c r="B316">
        <v>1.887184</v>
      </c>
      <c r="C316">
        <f t="shared" si="6"/>
        <v>9.2470531736307607E-3</v>
      </c>
      <c r="D316">
        <f>(C316-meanrtn)/stdevrtns</f>
        <v>1.5406334775738693</v>
      </c>
    </row>
    <row r="317" spans="1:4" x14ac:dyDescent="0.3">
      <c r="A317" s="1">
        <v>38398</v>
      </c>
      <c r="B317">
        <v>1.895303</v>
      </c>
      <c r="C317">
        <f t="shared" si="6"/>
        <v>4.3021772121849206E-3</v>
      </c>
      <c r="D317">
        <f>(C317-meanrtn)/stdevrtns</f>
        <v>0.72106847097487525</v>
      </c>
    </row>
    <row r="318" spans="1:4" x14ac:dyDescent="0.3">
      <c r="A318" s="1">
        <v>38399</v>
      </c>
      <c r="B318">
        <v>1.8841969999999999</v>
      </c>
      <c r="C318">
        <f t="shared" si="6"/>
        <v>-5.8597490744224327E-3</v>
      </c>
      <c r="D318">
        <f>(C318-meanrtn)/stdevrtns</f>
        <v>-0.9631717908792774</v>
      </c>
    </row>
    <row r="319" spans="1:4" x14ac:dyDescent="0.3">
      <c r="A319" s="1">
        <v>38400</v>
      </c>
      <c r="B319">
        <v>1.895016</v>
      </c>
      <c r="C319">
        <f t="shared" si="6"/>
        <v>5.7419685945790883E-3</v>
      </c>
      <c r="D319">
        <f>(C319-meanrtn)/stdevrtns</f>
        <v>0.95969986294775456</v>
      </c>
    </row>
    <row r="320" spans="1:4" x14ac:dyDescent="0.3">
      <c r="A320" s="1">
        <v>38401</v>
      </c>
      <c r="B320">
        <v>1.8945129999999999</v>
      </c>
      <c r="C320">
        <f t="shared" si="6"/>
        <v>-2.6543311507667598E-4</v>
      </c>
      <c r="D320">
        <f>(C320-meanrtn)/stdevrtns</f>
        <v>-3.5968432921340887E-2</v>
      </c>
    </row>
    <row r="321" spans="1:4" x14ac:dyDescent="0.3">
      <c r="A321" s="1">
        <v>38404</v>
      </c>
      <c r="B321">
        <v>1.8968130000000001</v>
      </c>
      <c r="C321">
        <f t="shared" si="6"/>
        <v>1.2140323133175601E-3</v>
      </c>
      <c r="D321">
        <f>(C321-meanrtn)/stdevrtns</f>
        <v>0.20923854558300475</v>
      </c>
    </row>
    <row r="322" spans="1:4" x14ac:dyDescent="0.3">
      <c r="A322" s="1">
        <v>38405</v>
      </c>
      <c r="B322">
        <v>1.911205</v>
      </c>
      <c r="C322">
        <f t="shared" si="6"/>
        <v>7.5874638143032334E-3</v>
      </c>
      <c r="D322">
        <f>(C322-meanrtn)/stdevrtns</f>
        <v>1.2655727126864136</v>
      </c>
    </row>
    <row r="323" spans="1:4" x14ac:dyDescent="0.3">
      <c r="A323" s="1">
        <v>38406</v>
      </c>
      <c r="B323">
        <v>1.906396</v>
      </c>
      <c r="C323">
        <f t="shared" si="6"/>
        <v>-2.5162135929950283E-3</v>
      </c>
      <c r="D323">
        <f>(C323-meanrtn)/stdevrtns</f>
        <v>-0.40901336501275742</v>
      </c>
    </row>
    <row r="324" spans="1:4" x14ac:dyDescent="0.3">
      <c r="A324" s="1">
        <v>38407</v>
      </c>
      <c r="B324">
        <v>1.9074869999999999</v>
      </c>
      <c r="C324">
        <f t="shared" ref="C324:C387" si="7">(B324-B323)/B323</f>
        <v>5.7228403752418336E-4</v>
      </c>
      <c r="D324">
        <f>(C324-meanrtn)/stdevrtns</f>
        <v>0.10287502221330891</v>
      </c>
    </row>
    <row r="325" spans="1:4" x14ac:dyDescent="0.3">
      <c r="A325" s="1">
        <v>38408</v>
      </c>
      <c r="B325">
        <v>1.9196070000000001</v>
      </c>
      <c r="C325">
        <f t="shared" si="7"/>
        <v>6.3539096203539692E-3</v>
      </c>
      <c r="D325">
        <f>(C325-meanrtn)/stdevrtns</f>
        <v>1.0611231250755964</v>
      </c>
    </row>
    <row r="326" spans="1:4" x14ac:dyDescent="0.3">
      <c r="A326" s="1">
        <v>38411</v>
      </c>
      <c r="B326">
        <v>1.9192020000000001</v>
      </c>
      <c r="C326">
        <f t="shared" si="7"/>
        <v>-2.1098068510897735E-4</v>
      </c>
      <c r="D326">
        <f>(C326-meanrtn)/stdevrtns</f>
        <v>-2.6943473251218132E-2</v>
      </c>
    </row>
    <row r="327" spans="1:4" x14ac:dyDescent="0.3">
      <c r="A327" s="1">
        <v>38412</v>
      </c>
      <c r="B327">
        <v>1.9186859999999999</v>
      </c>
      <c r="C327">
        <f t="shared" si="7"/>
        <v>-2.6886174566313656E-4</v>
      </c>
      <c r="D327">
        <f>(C327-meanrtn)/stdevrtns</f>
        <v>-3.6536695031680347E-2</v>
      </c>
    </row>
    <row r="328" spans="1:4" x14ac:dyDescent="0.3">
      <c r="A328" s="1">
        <v>38413</v>
      </c>
      <c r="B328">
        <v>1.9131069999999999</v>
      </c>
      <c r="C328">
        <f t="shared" si="7"/>
        <v>-2.9077191369510178E-3</v>
      </c>
      <c r="D328">
        <f>(C328-meanrtn)/stdevrtns</f>
        <v>-0.47390159400324061</v>
      </c>
    </row>
    <row r="329" spans="1:4" x14ac:dyDescent="0.3">
      <c r="A329" s="1">
        <v>38414</v>
      </c>
      <c r="B329">
        <v>1.9069050000000001</v>
      </c>
      <c r="C329">
        <f t="shared" si="7"/>
        <v>-3.2418469014016565E-3</v>
      </c>
      <c r="D329">
        <f>(C329-meanrtn)/stdevrtns</f>
        <v>-0.52928001514301504</v>
      </c>
    </row>
    <row r="330" spans="1:4" x14ac:dyDescent="0.3">
      <c r="A330" s="1">
        <v>38415</v>
      </c>
      <c r="B330">
        <v>1.9232990000000001</v>
      </c>
      <c r="C330">
        <f t="shared" si="7"/>
        <v>8.5971771011141198E-3</v>
      </c>
      <c r="D330">
        <f>(C330-meanrtn)/stdevrtns</f>
        <v>1.4329228510964163</v>
      </c>
    </row>
    <row r="331" spans="1:4" x14ac:dyDescent="0.3">
      <c r="A331" s="1">
        <v>38418</v>
      </c>
      <c r="B331">
        <v>1.9149020000000001</v>
      </c>
      <c r="C331">
        <f t="shared" si="7"/>
        <v>-4.3659358217312998E-3</v>
      </c>
      <c r="D331">
        <f>(C331-meanrtn)/stdevrtns</f>
        <v>-0.71558680030622679</v>
      </c>
    </row>
    <row r="332" spans="1:4" x14ac:dyDescent="0.3">
      <c r="A332" s="1">
        <v>38419</v>
      </c>
      <c r="B332">
        <v>1.9286030000000001</v>
      </c>
      <c r="C332">
        <f t="shared" si="7"/>
        <v>7.1549353439496971E-3</v>
      </c>
      <c r="D332">
        <f>(C332-meanrtn)/stdevrtns</f>
        <v>1.1938853333823836</v>
      </c>
    </row>
    <row r="333" spans="1:4" x14ac:dyDescent="0.3">
      <c r="A333" s="1">
        <v>38420</v>
      </c>
      <c r="B333">
        <v>1.9227069999999999</v>
      </c>
      <c r="C333">
        <f t="shared" si="7"/>
        <v>-3.0571351387507556E-3</v>
      </c>
      <c r="D333">
        <f>(C333-meanrtn)/stdevrtns</f>
        <v>-0.49866584035760053</v>
      </c>
    </row>
    <row r="334" spans="1:4" x14ac:dyDescent="0.3">
      <c r="A334" s="1">
        <v>38421</v>
      </c>
      <c r="B334">
        <v>1.9238170000000001</v>
      </c>
      <c r="C334">
        <f t="shared" si="7"/>
        <v>5.7731105155396352E-4</v>
      </c>
      <c r="D334">
        <f>(C334-meanrtn)/stdevrtns</f>
        <v>0.10370820080436206</v>
      </c>
    </row>
    <row r="335" spans="1:4" x14ac:dyDescent="0.3">
      <c r="A335" s="1">
        <v>38422</v>
      </c>
      <c r="B335">
        <v>1.9264110000000001</v>
      </c>
      <c r="C335">
        <f t="shared" si="7"/>
        <v>1.3483610967155322E-3</v>
      </c>
      <c r="D335">
        <f>(C335-meanrtn)/stdevrtns</f>
        <v>0.23150223250060423</v>
      </c>
    </row>
    <row r="336" spans="1:4" x14ac:dyDescent="0.3">
      <c r="A336" s="1">
        <v>38425</v>
      </c>
      <c r="B336">
        <v>1.913802</v>
      </c>
      <c r="C336">
        <f t="shared" si="7"/>
        <v>-6.5453322266121258E-3</v>
      </c>
      <c r="D336">
        <f>(C336-meanrtn)/stdevrtns</f>
        <v>-1.0768005178745277</v>
      </c>
    </row>
    <row r="337" spans="1:4" x14ac:dyDescent="0.3">
      <c r="A337" s="1">
        <v>38426</v>
      </c>
      <c r="B337">
        <v>1.9132169999999999</v>
      </c>
      <c r="C337">
        <f t="shared" si="7"/>
        <v>-3.0567425470349476E-4</v>
      </c>
      <c r="D337">
        <f>(C337-meanrtn)/stdevrtns</f>
        <v>-4.2638009695550136E-2</v>
      </c>
    </row>
    <row r="338" spans="1:4" x14ac:dyDescent="0.3">
      <c r="A338" s="1">
        <v>38427</v>
      </c>
      <c r="B338">
        <v>1.9273020000000001</v>
      </c>
      <c r="C338">
        <f t="shared" si="7"/>
        <v>7.3619458744095031E-3</v>
      </c>
      <c r="D338">
        <f>(C338-meanrtn)/stdevrtns</f>
        <v>1.2281953116477928</v>
      </c>
    </row>
    <row r="339" spans="1:4" x14ac:dyDescent="0.3">
      <c r="A339" s="1">
        <v>38428</v>
      </c>
      <c r="B339">
        <v>1.925187</v>
      </c>
      <c r="C339">
        <f t="shared" si="7"/>
        <v>-1.0973889924879904E-3</v>
      </c>
      <c r="D339">
        <f>(C339-meanrtn)/stdevrtns</f>
        <v>-0.17385701283251645</v>
      </c>
    </row>
    <row r="340" spans="1:4" x14ac:dyDescent="0.3">
      <c r="A340" s="1">
        <v>38429</v>
      </c>
      <c r="B340">
        <v>1.9228179999999999</v>
      </c>
      <c r="C340">
        <f t="shared" si="7"/>
        <v>-1.2305298134675049E-3</v>
      </c>
      <c r="D340">
        <f>(C340-meanrtn)/stdevrtns</f>
        <v>-0.19592380655503608</v>
      </c>
    </row>
    <row r="341" spans="1:4" x14ac:dyDescent="0.3">
      <c r="A341" s="1">
        <v>38432</v>
      </c>
      <c r="B341">
        <v>1.8959859999999999</v>
      </c>
      <c r="C341">
        <f t="shared" si="7"/>
        <v>-1.3954518836416118E-2</v>
      </c>
      <c r="D341">
        <f>(C341-meanrtn)/stdevrtns</f>
        <v>-2.3048010016281575</v>
      </c>
    </row>
    <row r="342" spans="1:4" x14ac:dyDescent="0.3">
      <c r="A342" s="1">
        <v>38433</v>
      </c>
      <c r="B342">
        <v>1.885583</v>
      </c>
      <c r="C342">
        <f t="shared" si="7"/>
        <v>-5.4868548607426111E-3</v>
      </c>
      <c r="D342">
        <f>(C342-meanrtn)/stdevrtns</f>
        <v>-0.90136820852897892</v>
      </c>
    </row>
    <row r="343" spans="1:4" x14ac:dyDescent="0.3">
      <c r="A343" s="1">
        <v>38434</v>
      </c>
      <c r="B343">
        <v>1.870592</v>
      </c>
      <c r="C343">
        <f t="shared" si="7"/>
        <v>-7.9503262386222059E-3</v>
      </c>
      <c r="D343">
        <f>(C343-meanrtn)/stdevrtns</f>
        <v>-1.3096645847798387</v>
      </c>
    </row>
    <row r="344" spans="1:4" x14ac:dyDescent="0.3">
      <c r="A344" s="1">
        <v>38435</v>
      </c>
      <c r="B344">
        <v>1.86839</v>
      </c>
      <c r="C344">
        <f t="shared" si="7"/>
        <v>-1.1771674421787526E-3</v>
      </c>
      <c r="D344">
        <f>(C344-meanrtn)/stdevrtns</f>
        <v>-0.18707951348916577</v>
      </c>
    </row>
    <row r="345" spans="1:4" x14ac:dyDescent="0.3">
      <c r="A345" s="1">
        <v>38436</v>
      </c>
      <c r="B345">
        <v>1.871713</v>
      </c>
      <c r="C345">
        <f t="shared" si="7"/>
        <v>1.7785366010308152E-3</v>
      </c>
      <c r="D345">
        <f>(C345-meanrtn)/stdevrtns</f>
        <v>0.30279963061163712</v>
      </c>
    </row>
    <row r="346" spans="1:4" x14ac:dyDescent="0.3">
      <c r="A346" s="1">
        <v>38439</v>
      </c>
      <c r="B346">
        <v>1.866298</v>
      </c>
      <c r="C346">
        <f t="shared" si="7"/>
        <v>-2.8930717476450436E-3</v>
      </c>
      <c r="D346">
        <f>(C346-meanrtn)/stdevrtns</f>
        <v>-0.4714739319533115</v>
      </c>
    </row>
    <row r="347" spans="1:4" x14ac:dyDescent="0.3">
      <c r="A347" s="1">
        <v>38440</v>
      </c>
      <c r="B347">
        <v>1.87561</v>
      </c>
      <c r="C347">
        <f t="shared" si="7"/>
        <v>4.9895568660524667E-3</v>
      </c>
      <c r="D347">
        <f>(C347-meanrtn)/stdevrtns</f>
        <v>0.83499495061770335</v>
      </c>
    </row>
    <row r="348" spans="1:4" x14ac:dyDescent="0.3">
      <c r="A348" s="1">
        <v>38441</v>
      </c>
      <c r="B348">
        <v>1.877405</v>
      </c>
      <c r="C348">
        <f t="shared" si="7"/>
        <v>9.5702198218179213E-4</v>
      </c>
      <c r="D348">
        <f>(C348-meanrtn)/stdevrtns</f>
        <v>0.16664158756513228</v>
      </c>
    </row>
    <row r="349" spans="1:4" x14ac:dyDescent="0.3">
      <c r="A349" s="1">
        <v>38442</v>
      </c>
      <c r="B349">
        <v>1.889502</v>
      </c>
      <c r="C349">
        <f t="shared" si="7"/>
        <v>6.4434685110564983E-3</v>
      </c>
      <c r="D349">
        <f>(C349-meanrtn)/stdevrtns</f>
        <v>1.0759666385270754</v>
      </c>
    </row>
    <row r="350" spans="1:4" x14ac:dyDescent="0.3">
      <c r="A350" s="1">
        <v>38443</v>
      </c>
      <c r="B350">
        <v>1.884091</v>
      </c>
      <c r="C350">
        <f t="shared" si="7"/>
        <v>-2.8637175298041784E-3</v>
      </c>
      <c r="D350">
        <f>(C350-meanrtn)/stdevrtns</f>
        <v>-0.46660875638044985</v>
      </c>
    </row>
    <row r="351" spans="1:4" x14ac:dyDescent="0.3">
      <c r="A351" s="1">
        <v>38446</v>
      </c>
      <c r="B351">
        <v>1.8763129999999999</v>
      </c>
      <c r="C351">
        <f t="shared" si="7"/>
        <v>-4.1282507055126648E-3</v>
      </c>
      <c r="D351">
        <f>(C351-meanrtn)/stdevrtns</f>
        <v>-0.6761928083515224</v>
      </c>
    </row>
    <row r="352" spans="1:4" x14ac:dyDescent="0.3">
      <c r="A352" s="1">
        <v>38447</v>
      </c>
      <c r="B352">
        <v>1.8799110000000001</v>
      </c>
      <c r="C352">
        <f t="shared" si="7"/>
        <v>1.9175905086199437E-3</v>
      </c>
      <c r="D352">
        <f>(C352-meanrtn)/stdevrtns</f>
        <v>0.32584646082122198</v>
      </c>
    </row>
    <row r="353" spans="1:4" x14ac:dyDescent="0.3">
      <c r="A353" s="1">
        <v>38448</v>
      </c>
      <c r="B353">
        <v>1.8794869999999999</v>
      </c>
      <c r="C353">
        <f t="shared" si="7"/>
        <v>-2.2554259217601365E-4</v>
      </c>
      <c r="D353">
        <f>(C353-meanrtn)/stdevrtns</f>
        <v>-2.9356967453001915E-2</v>
      </c>
    </row>
    <row r="354" spans="1:4" x14ac:dyDescent="0.3">
      <c r="A354" s="1">
        <v>38449</v>
      </c>
      <c r="B354">
        <v>1.8706970000000001</v>
      </c>
      <c r="C354">
        <f t="shared" si="7"/>
        <v>-4.6768080864618136E-3</v>
      </c>
      <c r="D354">
        <f>(C354-meanrtn)/stdevrtns</f>
        <v>-0.76711084897433779</v>
      </c>
    </row>
    <row r="355" spans="1:4" x14ac:dyDescent="0.3">
      <c r="A355" s="1">
        <v>38450</v>
      </c>
      <c r="B355">
        <v>1.886401</v>
      </c>
      <c r="C355">
        <f t="shared" si="7"/>
        <v>8.3947320169968417E-3</v>
      </c>
      <c r="D355">
        <f>(C355-meanrtn)/stdevrtns</f>
        <v>1.3993695510755197</v>
      </c>
    </row>
    <row r="356" spans="1:4" x14ac:dyDescent="0.3">
      <c r="A356" s="1">
        <v>38453</v>
      </c>
      <c r="B356">
        <v>1.890288</v>
      </c>
      <c r="C356">
        <f t="shared" si="7"/>
        <v>2.0605374997150522E-3</v>
      </c>
      <c r="D356">
        <f>(C356-meanrtn)/stdevrtns</f>
        <v>0.34953853168682036</v>
      </c>
    </row>
    <row r="357" spans="1:4" x14ac:dyDescent="0.3">
      <c r="A357" s="1">
        <v>38454</v>
      </c>
      <c r="B357">
        <v>1.8912169999999999</v>
      </c>
      <c r="C357">
        <f t="shared" si="7"/>
        <v>4.9145950246732651E-4</v>
      </c>
      <c r="D357">
        <f>(C357-meanrtn)/stdevrtns</f>
        <v>8.9479143100526237E-2</v>
      </c>
    </row>
    <row r="358" spans="1:4" x14ac:dyDescent="0.3">
      <c r="A358" s="1">
        <v>38455</v>
      </c>
      <c r="B358">
        <v>1.894298</v>
      </c>
      <c r="C358">
        <f t="shared" si="7"/>
        <v>1.6291097214122501E-3</v>
      </c>
      <c r="D358">
        <f>(C358-meanrtn)/stdevrtns</f>
        <v>0.2780335813648025</v>
      </c>
    </row>
    <row r="359" spans="1:4" x14ac:dyDescent="0.3">
      <c r="A359" s="1">
        <v>38456</v>
      </c>
      <c r="B359">
        <v>1.8794869999999999</v>
      </c>
      <c r="C359">
        <f t="shared" si="7"/>
        <v>-7.8187275708468933E-3</v>
      </c>
      <c r="D359">
        <f>(C359-meanrtn)/stdevrtns</f>
        <v>-1.2878533879238194</v>
      </c>
    </row>
    <row r="360" spans="1:4" x14ac:dyDescent="0.3">
      <c r="A360" s="1">
        <v>38457</v>
      </c>
      <c r="B360">
        <v>1.893186</v>
      </c>
      <c r="C360">
        <f t="shared" si="7"/>
        <v>7.2886910098341352E-3</v>
      </c>
      <c r="D360">
        <f>(C360-meanrtn)/stdevrtns</f>
        <v>1.2160540316567039</v>
      </c>
    </row>
    <row r="361" spans="1:4" x14ac:dyDescent="0.3">
      <c r="A361" s="1">
        <v>38460</v>
      </c>
      <c r="B361">
        <v>1.90429</v>
      </c>
      <c r="C361">
        <f t="shared" si="7"/>
        <v>5.8652451475977542E-3</v>
      </c>
      <c r="D361">
        <f>(C361-meanrtn)/stdevrtns</f>
        <v>0.98013175037546318</v>
      </c>
    </row>
    <row r="362" spans="1:4" x14ac:dyDescent="0.3">
      <c r="A362" s="1">
        <v>38461</v>
      </c>
      <c r="B362">
        <v>1.9172149999999999</v>
      </c>
      <c r="C362">
        <f t="shared" si="7"/>
        <v>6.7873065551989735E-3</v>
      </c>
      <c r="D362">
        <f>(C362-meanrtn)/stdevrtns</f>
        <v>1.1329544439065693</v>
      </c>
    </row>
    <row r="363" spans="1:4" x14ac:dyDescent="0.3">
      <c r="A363" s="1">
        <v>38462</v>
      </c>
      <c r="B363">
        <v>1.9183920000000001</v>
      </c>
      <c r="C363">
        <f t="shared" si="7"/>
        <v>6.1391132449944616E-4</v>
      </c>
      <c r="D363">
        <f>(C363-meanrtn)/stdevrtns</f>
        <v>0.10977433940358362</v>
      </c>
    </row>
    <row r="364" spans="1:4" x14ac:dyDescent="0.3">
      <c r="A364" s="1">
        <v>38463</v>
      </c>
      <c r="B364">
        <v>1.909016</v>
      </c>
      <c r="C364">
        <f t="shared" si="7"/>
        <v>-4.8874265530715567E-3</v>
      </c>
      <c r="D364">
        <f>(C364-meanrtn)/stdevrtns</f>
        <v>-0.80201880750003818</v>
      </c>
    </row>
    <row r="365" spans="1:4" x14ac:dyDescent="0.3">
      <c r="A365" s="1">
        <v>38464</v>
      </c>
      <c r="B365">
        <v>1.913985</v>
      </c>
      <c r="C365">
        <f t="shared" si="7"/>
        <v>2.6029116571050222E-3</v>
      </c>
      <c r="D365">
        <f>(C365-meanrtn)/stdevrtns</f>
        <v>0.4394317632554568</v>
      </c>
    </row>
    <row r="366" spans="1:4" x14ac:dyDescent="0.3">
      <c r="A366" s="1">
        <v>38467</v>
      </c>
      <c r="B366">
        <v>1.9116070000000001</v>
      </c>
      <c r="C366">
        <f t="shared" si="7"/>
        <v>-1.2424339793676497E-3</v>
      </c>
      <c r="D366">
        <f>(C366-meanrtn)/stdevrtns</f>
        <v>-0.19789680605604987</v>
      </c>
    </row>
    <row r="367" spans="1:4" x14ac:dyDescent="0.3">
      <c r="A367" s="1">
        <v>38468</v>
      </c>
      <c r="B367">
        <v>1.9057059999999999</v>
      </c>
      <c r="C367">
        <f t="shared" si="7"/>
        <v>-3.0869315711860002E-3</v>
      </c>
      <c r="D367">
        <f>(C367-meanrtn)/stdevrtns</f>
        <v>-0.50360430869043971</v>
      </c>
    </row>
    <row r="368" spans="1:4" x14ac:dyDescent="0.3">
      <c r="A368" s="1">
        <v>38469</v>
      </c>
      <c r="B368">
        <v>1.9034930000000001</v>
      </c>
      <c r="C368">
        <f t="shared" si="7"/>
        <v>-1.1612494267215397E-3</v>
      </c>
      <c r="D368">
        <f>(C368-meanrtn)/stdevrtns</f>
        <v>-0.18444125753594282</v>
      </c>
    </row>
    <row r="369" spans="1:4" x14ac:dyDescent="0.3">
      <c r="A369" s="1">
        <v>38470</v>
      </c>
      <c r="B369">
        <v>1.9078139999999999</v>
      </c>
      <c r="C369">
        <f t="shared" si="7"/>
        <v>2.2700372420596227E-3</v>
      </c>
      <c r="D369">
        <f>(C369-meanrtn)/stdevrtns</f>
        <v>0.38426107256667535</v>
      </c>
    </row>
    <row r="370" spans="1:4" x14ac:dyDescent="0.3">
      <c r="A370" s="1">
        <v>38471</v>
      </c>
      <c r="B370">
        <v>1.9094899999999999</v>
      </c>
      <c r="C370">
        <f t="shared" si="7"/>
        <v>8.7849234778652997E-4</v>
      </c>
      <c r="D370">
        <f>(C370-meanrtn)/stdevrtns</f>
        <v>0.15362606587496813</v>
      </c>
    </row>
    <row r="371" spans="1:4" x14ac:dyDescent="0.3">
      <c r="A371" s="1">
        <v>38474</v>
      </c>
      <c r="B371">
        <v>1.894801</v>
      </c>
      <c r="C371">
        <f t="shared" si="7"/>
        <v>-7.6926299692587829E-3</v>
      </c>
      <c r="D371">
        <f>(C371-meanrtn)/stdevrtns</f>
        <v>-1.2669539391846725</v>
      </c>
    </row>
    <row r="372" spans="1:4" x14ac:dyDescent="0.3">
      <c r="A372" s="1">
        <v>38475</v>
      </c>
      <c r="B372">
        <v>1.893688</v>
      </c>
      <c r="C372">
        <f t="shared" si="7"/>
        <v>-5.8739677675910009E-4</v>
      </c>
      <c r="D372">
        <f>(C372-meanrtn)/stdevrtns</f>
        <v>-8.9330772557103713E-2</v>
      </c>
    </row>
    <row r="373" spans="1:4" x14ac:dyDescent="0.3">
      <c r="A373" s="1">
        <v>38476</v>
      </c>
      <c r="B373">
        <v>1.9021170000000001</v>
      </c>
      <c r="C373">
        <f t="shared" si="7"/>
        <v>4.451102821584136E-3</v>
      </c>
      <c r="D373">
        <f>(C373-meanrtn)/stdevrtns</f>
        <v>0.74575143956734513</v>
      </c>
    </row>
    <row r="374" spans="1:4" x14ac:dyDescent="0.3">
      <c r="A374" s="1">
        <v>38477</v>
      </c>
      <c r="B374">
        <v>1.902515</v>
      </c>
      <c r="C374">
        <f t="shared" si="7"/>
        <v>2.0924054619137435E-4</v>
      </c>
      <c r="D374">
        <f>(C374-meanrtn)/stdevrtns</f>
        <v>4.2704101104319568E-2</v>
      </c>
    </row>
    <row r="375" spans="1:4" x14ac:dyDescent="0.3">
      <c r="A375" s="1">
        <v>38478</v>
      </c>
      <c r="B375">
        <v>1.8916109999999999</v>
      </c>
      <c r="C375">
        <f t="shared" si="7"/>
        <v>-5.7313608565504213E-3</v>
      </c>
      <c r="D375">
        <f>(C375-meanrtn)/stdevrtns</f>
        <v>-0.94189269481136673</v>
      </c>
    </row>
    <row r="376" spans="1:4" x14ac:dyDescent="0.3">
      <c r="A376" s="1">
        <v>38481</v>
      </c>
      <c r="B376">
        <v>1.8848009999999999</v>
      </c>
      <c r="C376">
        <f t="shared" si="7"/>
        <v>-3.6001059414435543E-3</v>
      </c>
      <c r="D376">
        <f>(C376-meanrtn)/stdevrtns</f>
        <v>-0.58865796007133153</v>
      </c>
    </row>
    <row r="377" spans="1:4" x14ac:dyDescent="0.3">
      <c r="A377" s="1">
        <v>38482</v>
      </c>
      <c r="B377">
        <v>1.8859030000000001</v>
      </c>
      <c r="C377">
        <f t="shared" si="7"/>
        <v>5.8467710914847696E-4</v>
      </c>
      <c r="D377">
        <f>(C377-meanrtn)/stdevrtns</f>
        <v>0.10492905307409034</v>
      </c>
    </row>
    <row r="378" spans="1:4" x14ac:dyDescent="0.3">
      <c r="A378" s="1">
        <v>38483</v>
      </c>
      <c r="B378">
        <v>1.8735010000000001</v>
      </c>
      <c r="C378">
        <f t="shared" si="7"/>
        <v>-6.5761600676174882E-3</v>
      </c>
      <c r="D378">
        <f>(C378-meanrtn)/stdevrtns</f>
        <v>-1.0819099321275811</v>
      </c>
    </row>
    <row r="379" spans="1:4" x14ac:dyDescent="0.3">
      <c r="A379" s="1">
        <v>38484</v>
      </c>
      <c r="B379">
        <v>1.863516</v>
      </c>
      <c r="C379">
        <f t="shared" si="7"/>
        <v>-5.3295941662161546E-3</v>
      </c>
      <c r="D379">
        <f>(C379-meanrtn)/stdevrtns</f>
        <v>-0.87530378079565863</v>
      </c>
    </row>
    <row r="380" spans="1:4" x14ac:dyDescent="0.3">
      <c r="A380" s="1">
        <v>38485</v>
      </c>
      <c r="B380">
        <v>1.8496939999999999</v>
      </c>
      <c r="C380">
        <f t="shared" si="7"/>
        <v>-7.4171619669484998E-3</v>
      </c>
      <c r="D380">
        <f>(C380-meanrtn)/stdevrtns</f>
        <v>-1.2212978020254246</v>
      </c>
    </row>
    <row r="381" spans="1:4" x14ac:dyDescent="0.3">
      <c r="A381" s="1">
        <v>38488</v>
      </c>
      <c r="B381">
        <v>1.839013</v>
      </c>
      <c r="C381">
        <f t="shared" si="7"/>
        <v>-5.7744686418401856E-3</v>
      </c>
      <c r="D381">
        <f>(C381-meanrtn)/stdevrtns</f>
        <v>-0.94903739017095345</v>
      </c>
    </row>
    <row r="382" spans="1:4" x14ac:dyDescent="0.3">
      <c r="A382" s="1">
        <v>38489</v>
      </c>
      <c r="B382">
        <v>1.833987</v>
      </c>
      <c r="C382">
        <f t="shared" si="7"/>
        <v>-2.7329877494068691E-3</v>
      </c>
      <c r="D382">
        <f>(C382-meanrtn)/stdevrtns</f>
        <v>-0.44494156914069583</v>
      </c>
    </row>
    <row r="383" spans="1:4" x14ac:dyDescent="0.3">
      <c r="A383" s="1">
        <v>38490</v>
      </c>
      <c r="B383">
        <v>1.839588</v>
      </c>
      <c r="C383">
        <f t="shared" si="7"/>
        <v>3.0540020185530034E-3</v>
      </c>
      <c r="D383">
        <f>(C383-meanrtn)/stdevrtns</f>
        <v>0.51419559513704782</v>
      </c>
    </row>
    <row r="384" spans="1:4" x14ac:dyDescent="0.3">
      <c r="A384" s="1">
        <v>38491</v>
      </c>
      <c r="B384">
        <v>1.835502</v>
      </c>
      <c r="C384">
        <f t="shared" si="7"/>
        <v>-2.221149518261716E-3</v>
      </c>
      <c r="D384">
        <f>(C384-meanrtn)/stdevrtns</f>
        <v>-0.36010936979803704</v>
      </c>
    </row>
    <row r="385" spans="1:4" x14ac:dyDescent="0.3">
      <c r="A385" s="1">
        <v>38492</v>
      </c>
      <c r="B385">
        <v>1.828889</v>
      </c>
      <c r="C385">
        <f t="shared" si="7"/>
        <v>-3.6028290898075729E-3</v>
      </c>
      <c r="D385">
        <f>(C385-meanrtn)/stdevrtns</f>
        <v>-0.58910929537768253</v>
      </c>
    </row>
    <row r="386" spans="1:4" x14ac:dyDescent="0.3">
      <c r="A386" s="1">
        <v>38495</v>
      </c>
      <c r="B386">
        <v>1.829291</v>
      </c>
      <c r="C386">
        <f t="shared" si="7"/>
        <v>2.1980557595349605E-4</v>
      </c>
      <c r="D386">
        <f>(C386-meanrtn)/stdevrtns</f>
        <v>4.445515183930708E-2</v>
      </c>
    </row>
    <row r="387" spans="1:4" x14ac:dyDescent="0.3">
      <c r="A387" s="1">
        <v>38496</v>
      </c>
      <c r="B387">
        <v>1.8268850000000001</v>
      </c>
      <c r="C387">
        <f t="shared" si="7"/>
        <v>-1.3152636731935533E-3</v>
      </c>
      <c r="D387">
        <f>(C387-meanrtn)/stdevrtns</f>
        <v>-0.209967618138377</v>
      </c>
    </row>
    <row r="388" spans="1:4" x14ac:dyDescent="0.3">
      <c r="A388" s="1">
        <v>38497</v>
      </c>
      <c r="B388">
        <v>1.831602</v>
      </c>
      <c r="C388">
        <f t="shared" ref="C388:C451" si="8">(B388-B387)/B387</f>
        <v>2.5819906562262319E-3</v>
      </c>
      <c r="D388">
        <f>(C388-meanrtn)/stdevrtns</f>
        <v>0.43596431121885004</v>
      </c>
    </row>
    <row r="389" spans="1:4" x14ac:dyDescent="0.3">
      <c r="A389" s="1">
        <v>38498</v>
      </c>
      <c r="B389">
        <v>1.8203990000000001</v>
      </c>
      <c r="C389">
        <f t="shared" si="8"/>
        <v>-6.1165034761917992E-3</v>
      </c>
      <c r="D389">
        <f>(C389-meanrtn)/stdevrtns</f>
        <v>-1.0057263310985036</v>
      </c>
    </row>
    <row r="390" spans="1:4" x14ac:dyDescent="0.3">
      <c r="A390" s="1">
        <v>38499</v>
      </c>
      <c r="B390">
        <v>1.824784</v>
      </c>
      <c r="C390">
        <f t="shared" si="8"/>
        <v>2.4088125735071604E-3</v>
      </c>
      <c r="D390">
        <f>(C390-meanrtn)/stdevrtns</f>
        <v>0.40726173149530165</v>
      </c>
    </row>
    <row r="391" spans="1:4" x14ac:dyDescent="0.3">
      <c r="A391" s="1">
        <v>38502</v>
      </c>
      <c r="B391">
        <v>1.8235859999999999</v>
      </c>
      <c r="C391">
        <f t="shared" si="8"/>
        <v>-6.5651605888698741E-4</v>
      </c>
      <c r="D391">
        <f>(C391-meanrtn)/stdevrtns</f>
        <v>-0.10078662005559109</v>
      </c>
    </row>
    <row r="392" spans="1:4" x14ac:dyDescent="0.3">
      <c r="A392" s="1">
        <v>38503</v>
      </c>
      <c r="B392">
        <v>1.8176859999999999</v>
      </c>
      <c r="C392">
        <f t="shared" si="8"/>
        <v>-3.2353834697129813E-3</v>
      </c>
      <c r="D392">
        <f>(C392-meanrtn)/stdevrtns</f>
        <v>-0.52820876432178465</v>
      </c>
    </row>
    <row r="393" spans="1:4" x14ac:dyDescent="0.3">
      <c r="A393" s="1">
        <v>38504</v>
      </c>
      <c r="B393">
        <v>1.8098890000000001</v>
      </c>
      <c r="C393">
        <f t="shared" si="8"/>
        <v>-4.2895197520362877E-3</v>
      </c>
      <c r="D393">
        <f>(C393-meanrtn)/stdevrtns</f>
        <v>-0.70292158137006766</v>
      </c>
    </row>
    <row r="394" spans="1:4" x14ac:dyDescent="0.3">
      <c r="A394" s="1">
        <v>38505</v>
      </c>
      <c r="B394">
        <v>1.815706</v>
      </c>
      <c r="C394">
        <f t="shared" si="8"/>
        <v>3.2140092569212593E-3</v>
      </c>
      <c r="D394">
        <f>(C394-meanrtn)/stdevrtns</f>
        <v>0.54071523574919034</v>
      </c>
    </row>
    <row r="395" spans="1:4" x14ac:dyDescent="0.3">
      <c r="A395" s="1">
        <v>38506</v>
      </c>
      <c r="B395">
        <v>1.815212</v>
      </c>
      <c r="C395">
        <f t="shared" si="8"/>
        <v>-2.7207047837039388E-4</v>
      </c>
      <c r="D395">
        <f>(C395-meanrtn)/stdevrtns</f>
        <v>-3.7068511211277466E-2</v>
      </c>
    </row>
    <row r="396" spans="1:4" x14ac:dyDescent="0.3">
      <c r="A396" s="1">
        <v>38509</v>
      </c>
      <c r="B396">
        <v>1.824085</v>
      </c>
      <c r="C396">
        <f t="shared" si="8"/>
        <v>4.8881342785305013E-3</v>
      </c>
      <c r="D396">
        <f>(C396-meanrtn)/stdevrtns</f>
        <v>0.81818514502099793</v>
      </c>
    </row>
    <row r="397" spans="1:4" x14ac:dyDescent="0.3">
      <c r="A397" s="1">
        <v>38510</v>
      </c>
      <c r="B397">
        <v>1.833315</v>
      </c>
      <c r="C397">
        <f t="shared" si="8"/>
        <v>5.0600712137866778E-3</v>
      </c>
      <c r="D397">
        <f>(C397-meanrtn)/stdevrtns</f>
        <v>0.84668201664659826</v>
      </c>
    </row>
    <row r="398" spans="1:4" x14ac:dyDescent="0.3">
      <c r="A398" s="1">
        <v>38511</v>
      </c>
      <c r="B398">
        <v>1.8243849999999999</v>
      </c>
      <c r="C398">
        <f t="shared" si="8"/>
        <v>-4.8709578004871527E-3</v>
      </c>
      <c r="D398">
        <f>(C398-meanrtn)/stdevrtns</f>
        <v>-0.79928927223449275</v>
      </c>
    </row>
    <row r="399" spans="1:4" x14ac:dyDescent="0.3">
      <c r="A399" s="1">
        <v>38512</v>
      </c>
      <c r="B399">
        <v>1.820797</v>
      </c>
      <c r="C399">
        <f t="shared" si="8"/>
        <v>-1.9666901448981023E-3</v>
      </c>
      <c r="D399">
        <f>(C399-meanrtn)/stdevrtns</f>
        <v>-0.31793520817377885</v>
      </c>
    </row>
    <row r="400" spans="1:4" x14ac:dyDescent="0.3">
      <c r="A400" s="1">
        <v>38513</v>
      </c>
      <c r="B400">
        <v>1.8128089999999999</v>
      </c>
      <c r="C400">
        <f t="shared" si="8"/>
        <v>-4.3870898293440217E-3</v>
      </c>
      <c r="D400">
        <f>(C400-meanrtn)/stdevrtns</f>
        <v>-0.71909287093851137</v>
      </c>
    </row>
    <row r="401" spans="1:4" x14ac:dyDescent="0.3">
      <c r="A401" s="1">
        <v>38516</v>
      </c>
      <c r="B401">
        <v>1.8080890000000001</v>
      </c>
      <c r="C401">
        <f t="shared" si="8"/>
        <v>-2.6036940460908101E-3</v>
      </c>
      <c r="D401">
        <f>(C401-meanrtn)/stdevrtns</f>
        <v>-0.42351239768369303</v>
      </c>
    </row>
    <row r="402" spans="1:4" x14ac:dyDescent="0.3">
      <c r="A402" s="1">
        <v>38517</v>
      </c>
      <c r="B402">
        <v>1.8060970000000001</v>
      </c>
      <c r="C402">
        <f t="shared" si="8"/>
        <v>-1.1017156788189042E-3</v>
      </c>
      <c r="D402">
        <f>(C402-meanrtn)/stdevrtns</f>
        <v>-0.17457411893163693</v>
      </c>
    </row>
    <row r="403" spans="1:4" x14ac:dyDescent="0.3">
      <c r="A403" s="1">
        <v>38518</v>
      </c>
      <c r="B403">
        <v>1.8231869999999999</v>
      </c>
      <c r="C403">
        <f t="shared" si="8"/>
        <v>9.4623932158681544E-3</v>
      </c>
      <c r="D403">
        <f>(C403-meanrtn)/stdevrtns</f>
        <v>1.5763239912517319</v>
      </c>
    </row>
    <row r="404" spans="1:4" x14ac:dyDescent="0.3">
      <c r="A404" s="1">
        <v>38519</v>
      </c>
      <c r="B404">
        <v>1.822589</v>
      </c>
      <c r="C404">
        <f t="shared" si="8"/>
        <v>-3.2799707325681702E-4</v>
      </c>
      <c r="D404">
        <f>(C404-meanrtn)/stdevrtns</f>
        <v>-4.63377993520762E-2</v>
      </c>
    </row>
    <row r="405" spans="1:4" x14ac:dyDescent="0.3">
      <c r="A405" s="1">
        <v>38520</v>
      </c>
      <c r="B405">
        <v>1.831502</v>
      </c>
      <c r="C405">
        <f t="shared" si="8"/>
        <v>4.890296166606925E-3</v>
      </c>
      <c r="D405">
        <f>(C405-meanrtn)/stdevrtns</f>
        <v>0.81854345690372965</v>
      </c>
    </row>
    <row r="406" spans="1:4" x14ac:dyDescent="0.3">
      <c r="A406" s="1">
        <v>38523</v>
      </c>
      <c r="B406">
        <v>1.822589</v>
      </c>
      <c r="C406">
        <f t="shared" si="8"/>
        <v>-4.8664975522821974E-3</v>
      </c>
      <c r="D406">
        <f>(C406-meanrtn)/stdevrtns</f>
        <v>-0.79855002955620757</v>
      </c>
    </row>
    <row r="407" spans="1:4" x14ac:dyDescent="0.3">
      <c r="A407" s="1">
        <v>38524</v>
      </c>
      <c r="B407">
        <v>1.8279860000000001</v>
      </c>
      <c r="C407">
        <f t="shared" si="8"/>
        <v>2.9611722664847073E-3</v>
      </c>
      <c r="D407">
        <f>(C407-meanrtn)/stdevrtns</f>
        <v>0.4988099682862196</v>
      </c>
    </row>
    <row r="408" spans="1:4" x14ac:dyDescent="0.3">
      <c r="A408" s="1">
        <v>38525</v>
      </c>
      <c r="B408">
        <v>1.820897</v>
      </c>
      <c r="C408">
        <f t="shared" si="8"/>
        <v>-3.8780384532486147E-3</v>
      </c>
      <c r="D408">
        <f>(C408-meanrtn)/stdevrtns</f>
        <v>-0.6347225656645904</v>
      </c>
    </row>
    <row r="409" spans="1:4" x14ac:dyDescent="0.3">
      <c r="A409" s="1">
        <v>38526</v>
      </c>
      <c r="B409">
        <v>1.815607</v>
      </c>
      <c r="C409">
        <f t="shared" si="8"/>
        <v>-2.9051615769590576E-3</v>
      </c>
      <c r="D409">
        <f>(C409-meanrtn)/stdevrtns</f>
        <v>-0.47347770335602701</v>
      </c>
    </row>
    <row r="410" spans="1:4" x14ac:dyDescent="0.3">
      <c r="A410" s="1">
        <v>38527</v>
      </c>
      <c r="B410">
        <v>1.824085</v>
      </c>
      <c r="C410">
        <f t="shared" si="8"/>
        <v>4.6695127304532237E-3</v>
      </c>
      <c r="D410">
        <f>(C410-meanrtn)/stdevrtns</f>
        <v>0.78195075372592338</v>
      </c>
    </row>
    <row r="411" spans="1:4" x14ac:dyDescent="0.3">
      <c r="A411" s="1">
        <v>38530</v>
      </c>
      <c r="B411">
        <v>1.8285880000000001</v>
      </c>
      <c r="C411">
        <f t="shared" si="8"/>
        <v>2.4686349594455004E-3</v>
      </c>
      <c r="D411">
        <f>(C411-meanrtn)/stdevrtns</f>
        <v>0.41717670904147003</v>
      </c>
    </row>
    <row r="412" spans="1:4" x14ac:dyDescent="0.3">
      <c r="A412" s="1">
        <v>38531</v>
      </c>
      <c r="B412">
        <v>1.817191</v>
      </c>
      <c r="C412">
        <f t="shared" si="8"/>
        <v>-6.2326778913566645E-3</v>
      </c>
      <c r="D412">
        <f>(C412-meanrtn)/stdevrtns</f>
        <v>-1.0249811083818123</v>
      </c>
    </row>
    <row r="413" spans="1:4" x14ac:dyDescent="0.3">
      <c r="A413" s="1">
        <v>38532</v>
      </c>
      <c r="B413">
        <v>1.8068150000000001</v>
      </c>
      <c r="C413">
        <f t="shared" si="8"/>
        <v>-5.709911616335289E-3</v>
      </c>
      <c r="D413">
        <f>(C413-meanrtn)/stdevrtns</f>
        <v>-0.93833769225204711</v>
      </c>
    </row>
    <row r="414" spans="1:4" x14ac:dyDescent="0.3">
      <c r="A414" s="1">
        <v>38533</v>
      </c>
      <c r="B414">
        <v>1.790286</v>
      </c>
      <c r="C414">
        <f t="shared" si="8"/>
        <v>-9.1481418960989453E-3</v>
      </c>
      <c r="D414">
        <f>(C414-meanrtn)/stdevrtns</f>
        <v>-1.5081908582148684</v>
      </c>
    </row>
    <row r="415" spans="1:4" x14ac:dyDescent="0.3">
      <c r="A415" s="1">
        <v>38534</v>
      </c>
      <c r="B415">
        <v>1.76891</v>
      </c>
      <c r="C415">
        <f t="shared" si="8"/>
        <v>-1.1939991710821657E-2</v>
      </c>
      <c r="D415">
        <f>(C415-meanrtn)/stdevrtns</f>
        <v>-1.9709127605773289</v>
      </c>
    </row>
    <row r="416" spans="1:4" x14ac:dyDescent="0.3">
      <c r="A416" s="1">
        <v>38537</v>
      </c>
      <c r="B416">
        <v>1.760408</v>
      </c>
      <c r="C416">
        <f t="shared" si="8"/>
        <v>-4.8063496729624511E-3</v>
      </c>
      <c r="D416">
        <f>(C416-meanrtn)/stdevrtns</f>
        <v>-0.78858110465375353</v>
      </c>
    </row>
    <row r="417" spans="1:4" x14ac:dyDescent="0.3">
      <c r="A417" s="1">
        <v>38538</v>
      </c>
      <c r="B417">
        <v>1.7579940000000001</v>
      </c>
      <c r="C417">
        <f t="shared" si="8"/>
        <v>-1.3712730230718768E-3</v>
      </c>
      <c r="D417">
        <f>(C417-meanrtn)/stdevrtns</f>
        <v>-0.21925062211269949</v>
      </c>
    </row>
    <row r="418" spans="1:4" x14ac:dyDescent="0.3">
      <c r="A418" s="1">
        <v>38539</v>
      </c>
      <c r="B418">
        <v>1.751989</v>
      </c>
      <c r="C418">
        <f t="shared" si="8"/>
        <v>-3.4158250824519528E-3</v>
      </c>
      <c r="D418">
        <f>(C418-meanrtn)/stdevrtns</f>
        <v>-0.55811520336862142</v>
      </c>
    </row>
    <row r="419" spans="1:4" x14ac:dyDescent="0.3">
      <c r="A419" s="1">
        <v>38540</v>
      </c>
      <c r="B419">
        <v>1.742707</v>
      </c>
      <c r="C419">
        <f t="shared" si="8"/>
        <v>-5.2979784690429061E-3</v>
      </c>
      <c r="D419">
        <f>(C419-meanrtn)/stdevrtns</f>
        <v>-0.87006378705983012</v>
      </c>
    </row>
    <row r="420" spans="1:4" x14ac:dyDescent="0.3">
      <c r="A420" s="1">
        <v>38541</v>
      </c>
      <c r="B420">
        <v>1.738586</v>
      </c>
      <c r="C420">
        <f t="shared" si="8"/>
        <v>-2.3647119108375883E-3</v>
      </c>
      <c r="D420">
        <f>(C420-meanrtn)/stdevrtns</f>
        <v>-0.38390343746245825</v>
      </c>
    </row>
    <row r="421" spans="1:4" x14ac:dyDescent="0.3">
      <c r="A421" s="1">
        <v>38544</v>
      </c>
      <c r="B421">
        <v>1.7569129999999999</v>
      </c>
      <c r="C421">
        <f t="shared" si="8"/>
        <v>1.0541324961779275E-2</v>
      </c>
      <c r="D421">
        <f>(C421-meanrtn)/stdevrtns</f>
        <v>1.7551464147769853</v>
      </c>
    </row>
    <row r="422" spans="1:4" x14ac:dyDescent="0.3">
      <c r="A422" s="1">
        <v>38545</v>
      </c>
      <c r="B422">
        <v>1.7768930000000001</v>
      </c>
      <c r="C422">
        <f t="shared" si="8"/>
        <v>1.1372219341538318E-2</v>
      </c>
      <c r="D422">
        <f>(C422-meanrtn)/stdevrtns</f>
        <v>1.8928590617957743</v>
      </c>
    </row>
    <row r="423" spans="1:4" x14ac:dyDescent="0.3">
      <c r="A423" s="1">
        <v>38546</v>
      </c>
      <c r="B423">
        <v>1.763606</v>
      </c>
      <c r="C423">
        <f t="shared" si="8"/>
        <v>-7.477659037432219E-3</v>
      </c>
      <c r="D423">
        <f>(C423-meanrtn)/stdevrtns</f>
        <v>-1.231324601960708</v>
      </c>
    </row>
    <row r="424" spans="1:4" x14ac:dyDescent="0.3">
      <c r="A424" s="1">
        <v>38547</v>
      </c>
      <c r="B424">
        <v>1.7579940000000001</v>
      </c>
      <c r="C424">
        <f t="shared" si="8"/>
        <v>-3.1821166405648148E-3</v>
      </c>
      <c r="D424">
        <f>(C424-meanrtn)/stdevrtns</f>
        <v>-0.51938030643473176</v>
      </c>
    </row>
    <row r="425" spans="1:4" x14ac:dyDescent="0.3">
      <c r="A425" s="1">
        <v>38548</v>
      </c>
      <c r="B425">
        <v>1.750915</v>
      </c>
      <c r="C425">
        <f t="shared" si="8"/>
        <v>-4.0267486692218846E-3</v>
      </c>
      <c r="D425">
        <f>(C425-meanrtn)/stdevrtns</f>
        <v>-0.65936983489555301</v>
      </c>
    </row>
    <row r="426" spans="1:4" x14ac:dyDescent="0.3">
      <c r="A426" s="1">
        <v>38551</v>
      </c>
      <c r="B426">
        <v>1.7472129999999999</v>
      </c>
      <c r="C426">
        <f t="shared" si="8"/>
        <v>-2.114323082502631E-3</v>
      </c>
      <c r="D426">
        <f>(C426-meanrtn)/stdevrtns</f>
        <v>-0.34240392901237127</v>
      </c>
    </row>
    <row r="427" spans="1:4" x14ac:dyDescent="0.3">
      <c r="A427" s="1">
        <v>38552</v>
      </c>
      <c r="B427">
        <v>1.7365930000000001</v>
      </c>
      <c r="C427">
        <f t="shared" si="8"/>
        <v>-6.0782514782112152E-3</v>
      </c>
      <c r="D427">
        <f>(C427-meanrtn)/stdevrtns</f>
        <v>-0.99938643516950332</v>
      </c>
    </row>
    <row r="428" spans="1:4" x14ac:dyDescent="0.3">
      <c r="A428" s="1">
        <v>38553</v>
      </c>
      <c r="B428">
        <v>1.7410080000000001</v>
      </c>
      <c r="C428">
        <f t="shared" si="8"/>
        <v>2.5423343293449058E-3</v>
      </c>
      <c r="D428">
        <f>(C428-meanrtn)/stdevrtns</f>
        <v>0.42939166145865604</v>
      </c>
    </row>
    <row r="429" spans="1:4" x14ac:dyDescent="0.3">
      <c r="A429" s="1">
        <v>38554</v>
      </c>
      <c r="B429">
        <v>1.753709</v>
      </c>
      <c r="C429">
        <f t="shared" si="8"/>
        <v>7.2951991030482631E-3</v>
      </c>
      <c r="D429">
        <f>(C429-meanrtn)/stdevrtns</f>
        <v>1.2171326846905859</v>
      </c>
    </row>
    <row r="430" spans="1:4" x14ac:dyDescent="0.3">
      <c r="A430" s="1">
        <v>38555</v>
      </c>
      <c r="B430">
        <v>1.739009</v>
      </c>
      <c r="C430">
        <f t="shared" si="8"/>
        <v>-8.3822344528082689E-3</v>
      </c>
      <c r="D430">
        <f>(C430-meanrtn)/stdevrtns</f>
        <v>-1.3812491626680292</v>
      </c>
    </row>
    <row r="431" spans="1:4" x14ac:dyDescent="0.3">
      <c r="A431" s="1">
        <v>38558</v>
      </c>
      <c r="B431">
        <v>1.7462979999999999</v>
      </c>
      <c r="C431">
        <f t="shared" si="8"/>
        <v>4.1914676692299344E-3</v>
      </c>
      <c r="D431">
        <f>(C431-meanrtn)/stdevrtns</f>
        <v>0.70271944300937994</v>
      </c>
    </row>
    <row r="432" spans="1:4" x14ac:dyDescent="0.3">
      <c r="A432" s="1">
        <v>38559</v>
      </c>
      <c r="B432">
        <v>1.737106</v>
      </c>
      <c r="C432">
        <f t="shared" si="8"/>
        <v>-5.2637064235313029E-3</v>
      </c>
      <c r="D432">
        <f>(C432-meanrtn)/stdevrtns</f>
        <v>-0.86438352947098951</v>
      </c>
    </row>
    <row r="433" spans="1:4" x14ac:dyDescent="0.3">
      <c r="A433" s="1">
        <v>38560</v>
      </c>
      <c r="B433">
        <v>1.7431019999999999</v>
      </c>
      <c r="C433">
        <f t="shared" si="8"/>
        <v>3.4517179723055993E-3</v>
      </c>
      <c r="D433">
        <f>(C433-meanrtn)/stdevrtns</f>
        <v>0.58011313903565453</v>
      </c>
    </row>
    <row r="434" spans="1:4" x14ac:dyDescent="0.3">
      <c r="A434" s="1">
        <v>38561</v>
      </c>
      <c r="B434">
        <v>1.755803</v>
      </c>
      <c r="C434">
        <f t="shared" si="8"/>
        <v>7.2864353319542254E-3</v>
      </c>
      <c r="D434">
        <f>(C434-meanrtn)/stdevrtns</f>
        <v>1.2156801750279538</v>
      </c>
    </row>
    <row r="435" spans="1:4" x14ac:dyDescent="0.3">
      <c r="A435" s="1">
        <v>38562</v>
      </c>
      <c r="B435">
        <v>1.758211</v>
      </c>
      <c r="C435">
        <f t="shared" si="8"/>
        <v>1.3714522642915895E-3</v>
      </c>
      <c r="D435">
        <f>(C435-meanrtn)/stdevrtns</f>
        <v>0.23532936852067871</v>
      </c>
    </row>
    <row r="436" spans="1:4" x14ac:dyDescent="0.3">
      <c r="A436" s="1">
        <v>38565</v>
      </c>
      <c r="B436">
        <v>1.7681899999999999</v>
      </c>
      <c r="C436">
        <f t="shared" si="8"/>
        <v>5.6756555384990543E-3</v>
      </c>
      <c r="D436">
        <f>(C436-meanrtn)/stdevrtns</f>
        <v>0.94870912007218566</v>
      </c>
    </row>
    <row r="437" spans="1:4" x14ac:dyDescent="0.3">
      <c r="A437" s="1">
        <v>38566</v>
      </c>
      <c r="B437">
        <v>1.7711969999999999</v>
      </c>
      <c r="C437">
        <f t="shared" si="8"/>
        <v>1.7006090974386134E-3</v>
      </c>
      <c r="D437">
        <f>(C437-meanrtn)/stdevrtns</f>
        <v>0.28988390623477894</v>
      </c>
    </row>
    <row r="438" spans="1:4" x14ac:dyDescent="0.3">
      <c r="A438" s="1">
        <v>38567</v>
      </c>
      <c r="B438">
        <v>1.777809</v>
      </c>
      <c r="C438">
        <f t="shared" si="8"/>
        <v>3.7330686535716031E-3</v>
      </c>
      <c r="D438">
        <f>(C438-meanrtn)/stdevrtns</f>
        <v>0.62674427290963397</v>
      </c>
    </row>
    <row r="439" spans="1:4" x14ac:dyDescent="0.3">
      <c r="A439" s="1">
        <v>38568</v>
      </c>
      <c r="B439">
        <v>1.7811030000000001</v>
      </c>
      <c r="C439">
        <f t="shared" si="8"/>
        <v>1.852842459454379E-3</v>
      </c>
      <c r="D439">
        <f>(C439-meanrtn)/stdevrtns</f>
        <v>0.31511510259193842</v>
      </c>
    </row>
    <row r="440" spans="1:4" x14ac:dyDescent="0.3">
      <c r="A440" s="1">
        <v>38569</v>
      </c>
      <c r="B440">
        <v>1.7787900000000001</v>
      </c>
      <c r="C440">
        <f t="shared" si="8"/>
        <v>-1.2986334872267405E-3</v>
      </c>
      <c r="D440">
        <f>(C440-meanrtn)/stdevrtns</f>
        <v>-0.20721132686274138</v>
      </c>
    </row>
    <row r="441" spans="1:4" x14ac:dyDescent="0.3">
      <c r="A441" s="1">
        <v>38572</v>
      </c>
      <c r="B441">
        <v>1.784599</v>
      </c>
      <c r="C441">
        <f t="shared" si="8"/>
        <v>3.2657030903029322E-3</v>
      </c>
      <c r="D441">
        <f>(C441-meanrtn)/stdevrtns</f>
        <v>0.54928298491558003</v>
      </c>
    </row>
    <row r="442" spans="1:4" x14ac:dyDescent="0.3">
      <c r="A442" s="1">
        <v>38573</v>
      </c>
      <c r="B442">
        <v>1.7878849999999999</v>
      </c>
      <c r="C442">
        <f t="shared" si="8"/>
        <v>1.841310008578902E-3</v>
      </c>
      <c r="D442">
        <f>(C442-meanrtn)/stdevrtns</f>
        <v>0.3132037112341865</v>
      </c>
    </row>
    <row r="443" spans="1:4" x14ac:dyDescent="0.3">
      <c r="A443" s="1">
        <v>38574</v>
      </c>
      <c r="B443">
        <v>1.796203</v>
      </c>
      <c r="C443">
        <f t="shared" si="8"/>
        <v>4.6524245127623131E-3</v>
      </c>
      <c r="D443">
        <f>(C443-meanrtn)/stdevrtns</f>
        <v>0.77911854815518522</v>
      </c>
    </row>
    <row r="444" spans="1:4" x14ac:dyDescent="0.3">
      <c r="A444" s="1">
        <v>38575</v>
      </c>
      <c r="B444">
        <v>1.812513</v>
      </c>
      <c r="C444">
        <f t="shared" si="8"/>
        <v>9.0802654265692943E-3</v>
      </c>
      <c r="D444">
        <f>(C444-meanrtn)/stdevrtns</f>
        <v>1.512990033716666</v>
      </c>
    </row>
    <row r="445" spans="1:4" x14ac:dyDescent="0.3">
      <c r="A445" s="1">
        <v>38576</v>
      </c>
      <c r="B445">
        <v>1.815113</v>
      </c>
      <c r="C445">
        <f t="shared" si="8"/>
        <v>1.4344724699905246E-3</v>
      </c>
      <c r="D445">
        <f>(C445-meanrtn)/stdevrtns</f>
        <v>0.24577435353187319</v>
      </c>
    </row>
    <row r="446" spans="1:4" x14ac:dyDescent="0.3">
      <c r="A446" s="1">
        <v>38579</v>
      </c>
      <c r="B446">
        <v>1.809693</v>
      </c>
      <c r="C446">
        <f t="shared" si="8"/>
        <v>-2.9860399875930484E-3</v>
      </c>
      <c r="D446">
        <f>(C446-meanrtn)/stdevrtns</f>
        <v>-0.4868825118207436</v>
      </c>
    </row>
    <row r="447" spans="1:4" x14ac:dyDescent="0.3">
      <c r="A447" s="1">
        <v>38580</v>
      </c>
      <c r="B447">
        <v>1.8091029999999999</v>
      </c>
      <c r="C447">
        <f t="shared" si="8"/>
        <v>-3.2602214850811187E-4</v>
      </c>
      <c r="D447">
        <f>(C447-meanrtn)/stdevrtns</f>
        <v>-4.6010474819100089E-2</v>
      </c>
    </row>
    <row r="448" spans="1:4" x14ac:dyDescent="0.3">
      <c r="A448" s="1">
        <v>38581</v>
      </c>
      <c r="B448">
        <v>1.8065869999999999</v>
      </c>
      <c r="C448">
        <f t="shared" si="8"/>
        <v>-1.3907444739188221E-3</v>
      </c>
      <c r="D448">
        <f>(C448-meanrtn)/stdevrtns</f>
        <v>-0.22247782535627747</v>
      </c>
    </row>
    <row r="449" spans="1:4" x14ac:dyDescent="0.3">
      <c r="A449" s="1">
        <v>38582</v>
      </c>
      <c r="B449">
        <v>1.7946880000000001</v>
      </c>
      <c r="C449">
        <f t="shared" si="8"/>
        <v>-6.5864527974572396E-3</v>
      </c>
      <c r="D449">
        <f>(C449-meanrtn)/stdevrtns</f>
        <v>-1.0836158518037888</v>
      </c>
    </row>
    <row r="450" spans="1:4" x14ac:dyDescent="0.3">
      <c r="A450" s="1">
        <v>38583</v>
      </c>
      <c r="B450">
        <v>1.795107</v>
      </c>
      <c r="C450">
        <f t="shared" si="8"/>
        <v>2.3346676413947559E-4</v>
      </c>
      <c r="D450">
        <f>(C450-meanrtn)/stdevrtns</f>
        <v>4.6719360663368008E-2</v>
      </c>
    </row>
    <row r="451" spans="1:4" x14ac:dyDescent="0.3">
      <c r="A451" s="1">
        <v>38586</v>
      </c>
      <c r="B451">
        <v>1.801315</v>
      </c>
      <c r="C451">
        <f t="shared" si="8"/>
        <v>3.458289672983277E-3</v>
      </c>
      <c r="D451">
        <f>(C451-meanrtn)/stdevrtns</f>
        <v>0.58120233438681412</v>
      </c>
    </row>
    <row r="452" spans="1:4" x14ac:dyDescent="0.3">
      <c r="A452" s="1">
        <v>38587</v>
      </c>
      <c r="B452">
        <v>1.8008930000000001</v>
      </c>
      <c r="C452">
        <f t="shared" ref="C452:C515" si="9">(B452-B451)/B451</f>
        <v>-2.3427329478737613E-4</v>
      </c>
      <c r="D452">
        <f>(C452-meanrtn)/stdevrtns</f>
        <v>-3.0803996336857473E-2</v>
      </c>
    </row>
    <row r="453" spans="1:4" x14ac:dyDescent="0.3">
      <c r="A453" s="1">
        <v>38588</v>
      </c>
      <c r="B453">
        <v>1.8004070000000001</v>
      </c>
      <c r="C453">
        <f t="shared" si="9"/>
        <v>-2.6986611642112351E-4</v>
      </c>
      <c r="D453">
        <f>(C453-meanrtn)/stdevrtns</f>
        <v>-3.6703159697996618E-2</v>
      </c>
    </row>
    <row r="454" spans="1:4" x14ac:dyDescent="0.3">
      <c r="A454" s="1">
        <v>38589</v>
      </c>
      <c r="B454">
        <v>1.8026139999999999</v>
      </c>
      <c r="C454">
        <f t="shared" si="9"/>
        <v>1.225833936437621E-3</v>
      </c>
      <c r="D454">
        <f>(C454-meanrtn)/stdevrtns</f>
        <v>0.2111945496174201</v>
      </c>
    </row>
    <row r="455" spans="1:4" x14ac:dyDescent="0.3">
      <c r="A455" s="1">
        <v>38590</v>
      </c>
      <c r="B455">
        <v>1.8006009999999999</v>
      </c>
      <c r="C455">
        <f t="shared" si="9"/>
        <v>-1.11671161990312E-3</v>
      </c>
      <c r="D455">
        <f>(C455-meanrtn)/stdevrtns</f>
        <v>-0.17705955004244078</v>
      </c>
    </row>
    <row r="456" spans="1:4" x14ac:dyDescent="0.3">
      <c r="A456" s="1">
        <v>38593</v>
      </c>
      <c r="B456">
        <v>1.7964929999999999</v>
      </c>
      <c r="C456">
        <f t="shared" si="9"/>
        <v>-2.2814604679215443E-3</v>
      </c>
      <c r="D456">
        <f>(C456-meanrtn)/stdevrtns</f>
        <v>-0.37010532202036461</v>
      </c>
    </row>
    <row r="457" spans="1:4" x14ac:dyDescent="0.3">
      <c r="A457" s="1">
        <v>38594</v>
      </c>
      <c r="B457">
        <v>1.785906</v>
      </c>
      <c r="C457">
        <f t="shared" si="9"/>
        <v>-5.8931484842968508E-3</v>
      </c>
      <c r="D457">
        <f>(C457-meanrtn)/stdevrtns</f>
        <v>-0.96870741761441725</v>
      </c>
    </row>
    <row r="458" spans="1:4" x14ac:dyDescent="0.3">
      <c r="A458" s="1">
        <v>38595</v>
      </c>
      <c r="B458">
        <v>1.8033939999999999</v>
      </c>
      <c r="C458">
        <f t="shared" si="9"/>
        <v>9.7922287063260602E-3</v>
      </c>
      <c r="D458">
        <f>(C458-meanrtn)/stdevrtns</f>
        <v>1.6309910098021176</v>
      </c>
    </row>
    <row r="459" spans="1:4" x14ac:dyDescent="0.3">
      <c r="A459" s="1">
        <v>38596</v>
      </c>
      <c r="B459">
        <v>1.8326100000000001</v>
      </c>
      <c r="C459">
        <f t="shared" si="9"/>
        <v>1.6200564047568158E-2</v>
      </c>
      <c r="D459">
        <f>(C459-meanrtn)/stdevrtns</f>
        <v>2.6931101483169679</v>
      </c>
    </row>
    <row r="460" spans="1:4" x14ac:dyDescent="0.3">
      <c r="A460" s="1">
        <v>38597</v>
      </c>
      <c r="B460">
        <v>1.8422989999999999</v>
      </c>
      <c r="C460">
        <f t="shared" si="9"/>
        <v>5.2869950507744888E-3</v>
      </c>
      <c r="D460">
        <f>(C460-meanrtn)/stdevrtns</f>
        <v>0.88429243142917768</v>
      </c>
    </row>
    <row r="461" spans="1:4" x14ac:dyDescent="0.3">
      <c r="A461" s="1">
        <v>38600</v>
      </c>
      <c r="B461">
        <v>1.842808</v>
      </c>
      <c r="C461">
        <f t="shared" si="9"/>
        <v>2.7628522840217182E-4</v>
      </c>
      <c r="D461">
        <f>(C461-meanrtn)/stdevrtns</f>
        <v>5.3816103881928881E-2</v>
      </c>
    </row>
    <row r="462" spans="1:4" x14ac:dyDescent="0.3">
      <c r="A462" s="1">
        <v>38601</v>
      </c>
      <c r="B462">
        <v>1.84101</v>
      </c>
      <c r="C462">
        <f t="shared" si="9"/>
        <v>-9.7568493299354374E-4</v>
      </c>
      <c r="D462">
        <f>(C462-meanrtn)/stdevrtns</f>
        <v>-0.15368575088370789</v>
      </c>
    </row>
    <row r="463" spans="1:4" x14ac:dyDescent="0.3">
      <c r="A463" s="1">
        <v>38602</v>
      </c>
      <c r="B463">
        <v>1.836716</v>
      </c>
      <c r="C463">
        <f t="shared" si="9"/>
        <v>-2.3324153589605813E-3</v>
      </c>
      <c r="D463">
        <f>(C463-meanrtn)/stdevrtns</f>
        <v>-0.37855059869388685</v>
      </c>
    </row>
    <row r="464" spans="1:4" x14ac:dyDescent="0.3">
      <c r="A464" s="1">
        <v>38603</v>
      </c>
      <c r="B464">
        <v>1.8360080000000001</v>
      </c>
      <c r="C464">
        <f t="shared" si="9"/>
        <v>-3.8547058990063291E-4</v>
      </c>
      <c r="D464">
        <f>(C464-meanrtn)/stdevrtns</f>
        <v>-5.5863474700600768E-2</v>
      </c>
    </row>
    <row r="465" spans="1:4" x14ac:dyDescent="0.3">
      <c r="A465" s="1">
        <v>38604</v>
      </c>
      <c r="B465">
        <v>1.839486</v>
      </c>
      <c r="C465">
        <f t="shared" si="9"/>
        <v>1.8943272578332284E-3</v>
      </c>
      <c r="D465">
        <f>(C465-meanrtn)/stdevrtns</f>
        <v>0.32199080368579935</v>
      </c>
    </row>
    <row r="466" spans="1:4" x14ac:dyDescent="0.3">
      <c r="A466" s="1">
        <v>38607</v>
      </c>
      <c r="B466">
        <v>1.8209960000000001</v>
      </c>
      <c r="C466">
        <f t="shared" si="9"/>
        <v>-1.0051720969879573E-2</v>
      </c>
      <c r="D466">
        <f>(C466-meanrtn)/stdevrtns</f>
        <v>-1.6579502850113303</v>
      </c>
    </row>
    <row r="467" spans="1:4" x14ac:dyDescent="0.3">
      <c r="A467" s="1">
        <v>38608</v>
      </c>
      <c r="B467">
        <v>1.822789</v>
      </c>
      <c r="C467">
        <f t="shared" si="9"/>
        <v>9.8462599588353497E-4</v>
      </c>
      <c r="D467">
        <f>(C467-meanrtn)/stdevrtns</f>
        <v>0.17121668385632674</v>
      </c>
    </row>
    <row r="468" spans="1:4" x14ac:dyDescent="0.3">
      <c r="A468" s="1">
        <v>38609</v>
      </c>
      <c r="B468">
        <v>1.8228880000000001</v>
      </c>
      <c r="C468">
        <f t="shared" si="9"/>
        <v>5.4312375157010083E-5</v>
      </c>
      <c r="D468">
        <f>(C468-meanrtn)/stdevrtns</f>
        <v>1.7026266411167269E-2</v>
      </c>
    </row>
    <row r="469" spans="1:4" x14ac:dyDescent="0.3">
      <c r="A469" s="1">
        <v>38610</v>
      </c>
      <c r="B469">
        <v>1.807599</v>
      </c>
      <c r="C469">
        <f t="shared" si="9"/>
        <v>-8.3872404667758565E-3</v>
      </c>
      <c r="D469">
        <f>(C469-meanrtn)/stdevrtns</f>
        <v>-1.3820788607034034</v>
      </c>
    </row>
    <row r="470" spans="1:4" x14ac:dyDescent="0.3">
      <c r="A470" s="1">
        <v>38611</v>
      </c>
      <c r="B470">
        <v>1.808711</v>
      </c>
      <c r="C470">
        <f t="shared" si="9"/>
        <v>6.1518068996497665E-4</v>
      </c>
      <c r="D470">
        <f>(C470-meanrtn)/stdevrtns</f>
        <v>0.10998472436050576</v>
      </c>
    </row>
    <row r="471" spans="1:4" x14ac:dyDescent="0.3">
      <c r="A471" s="1">
        <v>38614</v>
      </c>
      <c r="B471">
        <v>1.8029059999999999</v>
      </c>
      <c r="C471">
        <f t="shared" si="9"/>
        <v>-3.209467958120485E-3</v>
      </c>
      <c r="D471">
        <f>(C471-meanrtn)/stdevrtns</f>
        <v>-0.52391352080204423</v>
      </c>
    </row>
    <row r="472" spans="1:4" x14ac:dyDescent="0.3">
      <c r="A472" s="1">
        <v>38615</v>
      </c>
      <c r="B472">
        <v>1.797688</v>
      </c>
      <c r="C472">
        <f t="shared" si="9"/>
        <v>-2.8942163374019196E-3</v>
      </c>
      <c r="D472">
        <f>(C472-meanrtn)/stdevrtns</f>
        <v>-0.47166363655236737</v>
      </c>
    </row>
    <row r="473" spans="1:4" x14ac:dyDescent="0.3">
      <c r="A473" s="1">
        <v>38617</v>
      </c>
      <c r="B473">
        <v>1.7917940000000001</v>
      </c>
      <c r="C473">
        <f t="shared" si="9"/>
        <v>-3.2786556955377373E-3</v>
      </c>
      <c r="D473">
        <f>(C473-meanrtn)/stdevrtns</f>
        <v>-0.53538071409769972</v>
      </c>
    </row>
    <row r="474" spans="1:4" x14ac:dyDescent="0.3">
      <c r="A474" s="1">
        <v>38618</v>
      </c>
      <c r="B474">
        <v>1.7756940000000001</v>
      </c>
      <c r="C474">
        <f t="shared" si="9"/>
        <v>-8.9854079207766085E-3</v>
      </c>
      <c r="D474">
        <f>(C474-meanrtn)/stdevrtns</f>
        <v>-1.4812192875225401</v>
      </c>
    </row>
    <row r="475" spans="1:4" x14ac:dyDescent="0.3">
      <c r="A475" s="1">
        <v>38621</v>
      </c>
      <c r="B475">
        <v>1.778885</v>
      </c>
      <c r="C475">
        <f t="shared" si="9"/>
        <v>1.7970438600344112E-3</v>
      </c>
      <c r="D475">
        <f>(C475-meanrtn)/stdevrtns</f>
        <v>0.30586702845248737</v>
      </c>
    </row>
    <row r="476" spans="1:4" x14ac:dyDescent="0.3">
      <c r="A476" s="1">
        <v>38622</v>
      </c>
      <c r="B476">
        <v>1.7670969999999999</v>
      </c>
      <c r="C476">
        <f t="shared" si="9"/>
        <v>-6.6266228564522897E-3</v>
      </c>
      <c r="D476">
        <f>(C476-meanrtn)/stdevrtns</f>
        <v>-1.0902736476559085</v>
      </c>
    </row>
    <row r="477" spans="1:4" x14ac:dyDescent="0.3">
      <c r="A477" s="1">
        <v>38623</v>
      </c>
      <c r="B477">
        <v>1.769191</v>
      </c>
      <c r="C477">
        <f t="shared" si="9"/>
        <v>1.184994372125605E-3</v>
      </c>
      <c r="D477">
        <f>(C477-meanrtn)/stdevrtns</f>
        <v>0.20442578978282744</v>
      </c>
    </row>
    <row r="478" spans="1:4" x14ac:dyDescent="0.3">
      <c r="A478" s="1">
        <v>38624</v>
      </c>
      <c r="B478">
        <v>1.758891</v>
      </c>
      <c r="C478">
        <f t="shared" si="9"/>
        <v>-5.8218699959472868E-3</v>
      </c>
      <c r="D478">
        <f>(C478-meanrtn)/stdevrtns</f>
        <v>-0.95689370272448993</v>
      </c>
    </row>
    <row r="479" spans="1:4" x14ac:dyDescent="0.3">
      <c r="A479" s="1">
        <v>38625</v>
      </c>
      <c r="B479">
        <v>1.764602</v>
      </c>
      <c r="C479">
        <f t="shared" si="9"/>
        <v>3.2469322999549269E-3</v>
      </c>
      <c r="D479">
        <f>(C479-meanrtn)/stdevrtns</f>
        <v>0.54617190932230397</v>
      </c>
    </row>
    <row r="480" spans="1:4" x14ac:dyDescent="0.3">
      <c r="A480" s="1">
        <v>38628</v>
      </c>
      <c r="B480">
        <v>1.7525109999999999</v>
      </c>
      <c r="C480">
        <f t="shared" si="9"/>
        <v>-6.8519700193018446E-3</v>
      </c>
      <c r="D480">
        <f>(C480-meanrtn)/stdevrtns</f>
        <v>-1.127622744063548</v>
      </c>
    </row>
    <row r="481" spans="1:4" x14ac:dyDescent="0.3">
      <c r="A481" s="1">
        <v>38629</v>
      </c>
      <c r="B481">
        <v>1.7583960000000001</v>
      </c>
      <c r="C481">
        <f t="shared" si="9"/>
        <v>3.3580388368461824E-3</v>
      </c>
      <c r="D481">
        <f>(C481-meanrtn)/stdevrtns</f>
        <v>0.56458673516433555</v>
      </c>
    </row>
    <row r="482" spans="1:4" x14ac:dyDescent="0.3">
      <c r="A482" s="1">
        <v>38630</v>
      </c>
      <c r="B482">
        <v>1.76891</v>
      </c>
      <c r="C482">
        <f t="shared" si="9"/>
        <v>5.979312964770115E-3</v>
      </c>
      <c r="D482">
        <f>(C482-meanrtn)/stdevrtns</f>
        <v>0.99903737956869065</v>
      </c>
    </row>
    <row r="483" spans="1:4" x14ac:dyDescent="0.3">
      <c r="A483" s="1">
        <v>38631</v>
      </c>
      <c r="B483">
        <v>1.777493</v>
      </c>
      <c r="C483">
        <f t="shared" si="9"/>
        <v>4.8521405837493184E-3</v>
      </c>
      <c r="D483">
        <f>(C483-meanrtn)/stdevrtns</f>
        <v>0.81221954084187165</v>
      </c>
    </row>
    <row r="484" spans="1:4" x14ac:dyDescent="0.3">
      <c r="A484" s="1">
        <v>38632</v>
      </c>
      <c r="B484">
        <v>1.7608109999999999</v>
      </c>
      <c r="C484">
        <f t="shared" si="9"/>
        <v>-9.3851283802524593E-3</v>
      </c>
      <c r="D484">
        <f>(C484-meanrtn)/stdevrtns</f>
        <v>-1.5474690587124107</v>
      </c>
    </row>
    <row r="485" spans="1:4" x14ac:dyDescent="0.3">
      <c r="A485" s="1">
        <v>38635</v>
      </c>
      <c r="B485">
        <v>1.753986</v>
      </c>
      <c r="C485">
        <f t="shared" si="9"/>
        <v>-3.8760548406386939E-3</v>
      </c>
      <c r="D485">
        <f>(C485-meanrtn)/stdevrtns</f>
        <v>-0.63439380120327438</v>
      </c>
    </row>
    <row r="486" spans="1:4" x14ac:dyDescent="0.3">
      <c r="A486" s="1">
        <v>38636</v>
      </c>
      <c r="B486">
        <v>1.745414</v>
      </c>
      <c r="C486">
        <f t="shared" si="9"/>
        <v>-4.8871541734084676E-3</v>
      </c>
      <c r="D486">
        <f>(C486-meanrtn)/stdevrtns</f>
        <v>-0.80197366322501129</v>
      </c>
    </row>
    <row r="487" spans="1:4" x14ac:dyDescent="0.3">
      <c r="A487" s="1">
        <v>38637</v>
      </c>
      <c r="B487">
        <v>1.7522949999999999</v>
      </c>
      <c r="C487">
        <f t="shared" si="9"/>
        <v>3.9423311604008648E-3</v>
      </c>
      <c r="D487">
        <f>(C487-meanrtn)/stdevrtns</f>
        <v>0.66142749431450409</v>
      </c>
    </row>
    <row r="488" spans="1:4" x14ac:dyDescent="0.3">
      <c r="A488" s="1">
        <v>38638</v>
      </c>
      <c r="B488">
        <v>1.754694</v>
      </c>
      <c r="C488">
        <f t="shared" si="9"/>
        <v>1.3690617162064836E-3</v>
      </c>
      <c r="D488">
        <f>(C488-meanrtn)/stdevrtns</f>
        <v>0.23493315846962373</v>
      </c>
    </row>
    <row r="489" spans="1:4" x14ac:dyDescent="0.3">
      <c r="A489" s="1">
        <v>38639</v>
      </c>
      <c r="B489">
        <v>1.76891</v>
      </c>
      <c r="C489">
        <f t="shared" si="9"/>
        <v>8.1016975039522598E-3</v>
      </c>
      <c r="D489">
        <f>(C489-meanrtn)/stdevrtns</f>
        <v>1.3508019359341898</v>
      </c>
    </row>
    <row r="490" spans="1:4" x14ac:dyDescent="0.3">
      <c r="A490" s="1">
        <v>38642</v>
      </c>
      <c r="B490">
        <v>1.7530939999999999</v>
      </c>
      <c r="C490">
        <f t="shared" si="9"/>
        <v>-8.9410993210508466E-3</v>
      </c>
      <c r="D490">
        <f>(C490-meanrtn)/stdevrtns</f>
        <v>-1.4738755688711993</v>
      </c>
    </row>
    <row r="491" spans="1:4" x14ac:dyDescent="0.3">
      <c r="A491" s="1">
        <v>38643</v>
      </c>
      <c r="B491">
        <v>1.748313</v>
      </c>
      <c r="C491">
        <f t="shared" si="9"/>
        <v>-2.7271783486794913E-3</v>
      </c>
      <c r="D491">
        <f>(C491-meanrtn)/stdevrtns</f>
        <v>-0.44397871757827206</v>
      </c>
    </row>
    <row r="492" spans="1:4" x14ac:dyDescent="0.3">
      <c r="A492" s="1">
        <v>38644</v>
      </c>
      <c r="B492">
        <v>1.7632950000000001</v>
      </c>
      <c r="C492">
        <f t="shared" si="9"/>
        <v>8.5694037623698111E-3</v>
      </c>
      <c r="D492">
        <f>(C492-meanrtn)/stdevrtns</f>
        <v>1.4283196908293587</v>
      </c>
    </row>
    <row r="493" spans="1:4" x14ac:dyDescent="0.3">
      <c r="A493" s="1">
        <v>38645</v>
      </c>
      <c r="B493">
        <v>1.774308</v>
      </c>
      <c r="C493">
        <f t="shared" si="9"/>
        <v>6.2456934318987686E-3</v>
      </c>
      <c r="D493">
        <f>(C493-meanrtn)/stdevrtns</f>
        <v>1.04318734632262</v>
      </c>
    </row>
    <row r="494" spans="1:4" x14ac:dyDescent="0.3">
      <c r="A494" s="1">
        <v>38646</v>
      </c>
      <c r="B494">
        <v>1.768691</v>
      </c>
      <c r="C494">
        <f t="shared" si="9"/>
        <v>-3.1657412354562922E-3</v>
      </c>
      <c r="D494">
        <f>(C494-meanrtn)/stdevrtns</f>
        <v>-0.51666624260371441</v>
      </c>
    </row>
    <row r="495" spans="1:4" x14ac:dyDescent="0.3">
      <c r="A495" s="1">
        <v>38649</v>
      </c>
      <c r="B495">
        <v>1.76891</v>
      </c>
      <c r="C495">
        <f t="shared" si="9"/>
        <v>1.2382038467995213E-4</v>
      </c>
      <c r="D495">
        <f>(C495-meanrtn)/stdevrtns</f>
        <v>2.8546541687535672E-2</v>
      </c>
    </row>
    <row r="496" spans="1:4" x14ac:dyDescent="0.3">
      <c r="A496" s="1">
        <v>38650</v>
      </c>
      <c r="B496">
        <v>1.78409</v>
      </c>
      <c r="C496">
        <f t="shared" si="9"/>
        <v>8.5815558733909423E-3</v>
      </c>
      <c r="D496">
        <f>(C496-meanrtn)/stdevrtns</f>
        <v>1.4303337848181417</v>
      </c>
    </row>
    <row r="497" spans="1:4" x14ac:dyDescent="0.3">
      <c r="A497" s="1">
        <v>38651</v>
      </c>
      <c r="B497">
        <v>1.7759149999999999</v>
      </c>
      <c r="C497">
        <f t="shared" si="9"/>
        <v>-4.5821679399582101E-3</v>
      </c>
      <c r="D497">
        <f>(C497-meanrtn)/stdevrtns</f>
        <v>-0.75142516688675787</v>
      </c>
    </row>
    <row r="498" spans="1:4" x14ac:dyDescent="0.3">
      <c r="A498" s="1">
        <v>38652</v>
      </c>
      <c r="B498">
        <v>1.783898</v>
      </c>
      <c r="C498">
        <f t="shared" si="9"/>
        <v>4.495147571815134E-3</v>
      </c>
      <c r="D498">
        <f>(C498-meanrtn)/stdevrtns</f>
        <v>0.75305142773593903</v>
      </c>
    </row>
    <row r="499" spans="1:4" x14ac:dyDescent="0.3">
      <c r="A499" s="1">
        <v>38653</v>
      </c>
      <c r="B499">
        <v>1.7737099999999999</v>
      </c>
      <c r="C499">
        <f t="shared" si="9"/>
        <v>-5.7110888627040814E-3</v>
      </c>
      <c r="D499">
        <f>(C499-meanrtn)/stdevrtns</f>
        <v>-0.93853280936631456</v>
      </c>
    </row>
    <row r="500" spans="1:4" x14ac:dyDescent="0.3">
      <c r="A500" s="1">
        <v>38656</v>
      </c>
      <c r="B500">
        <v>1.7687839999999999</v>
      </c>
      <c r="C500">
        <f t="shared" si="9"/>
        <v>-2.7772296485896715E-3</v>
      </c>
      <c r="D500">
        <f>(C500-meanrtn)/stdevrtns</f>
        <v>-0.45227423282698648</v>
      </c>
    </row>
    <row r="501" spans="1:4" x14ac:dyDescent="0.3">
      <c r="A501" s="1">
        <v>38657</v>
      </c>
      <c r="B501">
        <v>1.7647889999999999</v>
      </c>
      <c r="C501">
        <f t="shared" si="9"/>
        <v>-2.2586138273525602E-3</v>
      </c>
      <c r="D501">
        <f>(C501-meanrtn)/stdevrtns</f>
        <v>-0.36631871396898502</v>
      </c>
    </row>
    <row r="502" spans="1:4" x14ac:dyDescent="0.3">
      <c r="A502" s="1">
        <v>38658</v>
      </c>
      <c r="B502">
        <v>1.7761039999999999</v>
      </c>
      <c r="C502">
        <f t="shared" si="9"/>
        <v>6.4115313502067185E-3</v>
      </c>
      <c r="D502">
        <f>(C502-meanrtn)/stdevrtns</f>
        <v>1.0706733653192779</v>
      </c>
    </row>
    <row r="503" spans="1:4" x14ac:dyDescent="0.3">
      <c r="A503" s="1">
        <v>38659</v>
      </c>
      <c r="B503">
        <v>1.771385</v>
      </c>
      <c r="C503">
        <f t="shared" si="9"/>
        <v>-2.6569390080760573E-3</v>
      </c>
      <c r="D503">
        <f>(C503-meanrtn)/stdevrtns</f>
        <v>-0.4323372313015707</v>
      </c>
    </row>
    <row r="504" spans="1:4" x14ac:dyDescent="0.3">
      <c r="A504" s="1">
        <v>38660</v>
      </c>
      <c r="B504">
        <v>1.7500869999999999</v>
      </c>
      <c r="C504">
        <f t="shared" si="9"/>
        <v>-1.202336025200622E-2</v>
      </c>
      <c r="D504">
        <f>(C504-meanrtn)/stdevrtns</f>
        <v>-1.9847302839163969</v>
      </c>
    </row>
    <row r="505" spans="1:4" x14ac:dyDescent="0.3">
      <c r="A505" s="1">
        <v>38663</v>
      </c>
      <c r="B505">
        <v>1.743406</v>
      </c>
      <c r="C505">
        <f t="shared" si="9"/>
        <v>-3.817524500210525E-3</v>
      </c>
      <c r="D505">
        <f>(C505-meanrtn)/stdevrtns</f>
        <v>-0.6246929676104277</v>
      </c>
    </row>
    <row r="506" spans="1:4" x14ac:dyDescent="0.3">
      <c r="A506" s="1">
        <v>38664</v>
      </c>
      <c r="B506">
        <v>1.742494</v>
      </c>
      <c r="C506">
        <f t="shared" si="9"/>
        <v>-5.2311395050838637E-4</v>
      </c>
      <c r="D506">
        <f>(C506-meanrtn)/stdevrtns</f>
        <v>-7.8676520492717492E-2</v>
      </c>
    </row>
    <row r="507" spans="1:4" x14ac:dyDescent="0.3">
      <c r="A507" s="1">
        <v>38665</v>
      </c>
      <c r="B507">
        <v>1.744014</v>
      </c>
      <c r="C507">
        <f t="shared" si="9"/>
        <v>8.7231290322948934E-4</v>
      </c>
      <c r="D507">
        <f>(C507-meanrtn)/stdevrtns</f>
        <v>0.15260188315357012</v>
      </c>
    </row>
    <row r="508" spans="1:4" x14ac:dyDescent="0.3">
      <c r="A508" s="1">
        <v>38666</v>
      </c>
      <c r="B508">
        <v>1.7401899999999999</v>
      </c>
      <c r="C508">
        <f t="shared" si="9"/>
        <v>-2.1926429489671812E-3</v>
      </c>
      <c r="D508">
        <f>(C508-meanrtn)/stdevrtns</f>
        <v>-0.35538468371204696</v>
      </c>
    </row>
    <row r="509" spans="1:4" x14ac:dyDescent="0.3">
      <c r="A509" s="1">
        <v>38667</v>
      </c>
      <c r="B509">
        <v>1.7407950000000001</v>
      </c>
      <c r="C509">
        <f t="shared" si="9"/>
        <v>3.4766318620391379E-4</v>
      </c>
      <c r="D509">
        <f>(C509-meanrtn)/stdevrtns</f>
        <v>6.5646304864301508E-2</v>
      </c>
    </row>
    <row r="510" spans="1:4" x14ac:dyDescent="0.3">
      <c r="A510" s="1">
        <v>38670</v>
      </c>
      <c r="B510">
        <v>1.7375890000000001</v>
      </c>
      <c r="C510">
        <f t="shared" si="9"/>
        <v>-1.8416872750668758E-3</v>
      </c>
      <c r="D510">
        <f>(C510-meanrtn)/stdevrtns</f>
        <v>-0.29721720055601702</v>
      </c>
    </row>
    <row r="511" spans="1:4" x14ac:dyDescent="0.3">
      <c r="A511" s="1">
        <v>38671</v>
      </c>
      <c r="B511">
        <v>1.7367140000000001</v>
      </c>
      <c r="C511">
        <f t="shared" si="9"/>
        <v>-5.0357132785713952E-4</v>
      </c>
      <c r="D511">
        <f>(C511-meanrtn)/stdevrtns</f>
        <v>-7.5437521216091014E-2</v>
      </c>
    </row>
    <row r="512" spans="1:4" x14ac:dyDescent="0.3">
      <c r="A512" s="1">
        <v>38672</v>
      </c>
      <c r="B512">
        <v>1.7188920000000001</v>
      </c>
      <c r="C512">
        <f t="shared" si="9"/>
        <v>-1.0261908408638385E-2</v>
      </c>
      <c r="D512">
        <f>(C512-meanrtn)/stdevrtns</f>
        <v>-1.6927868048707737</v>
      </c>
    </row>
    <row r="513" spans="1:4" x14ac:dyDescent="0.3">
      <c r="A513" s="1">
        <v>38673</v>
      </c>
      <c r="B513">
        <v>1.719897</v>
      </c>
      <c r="C513">
        <f t="shared" si="9"/>
        <v>5.8467896761397607E-4</v>
      </c>
      <c r="D513">
        <f>(C513-meanrtn)/stdevrtns</f>
        <v>0.1049293610966375</v>
      </c>
    </row>
    <row r="514" spans="1:4" x14ac:dyDescent="0.3">
      <c r="A514" s="1">
        <v>38674</v>
      </c>
      <c r="B514">
        <v>1.7157070000000001</v>
      </c>
      <c r="C514">
        <f t="shared" si="9"/>
        <v>-2.4361923998936657E-3</v>
      </c>
      <c r="D514">
        <f>(C514-meanrtn)/stdevrtns</f>
        <v>-0.39575063200114879</v>
      </c>
    </row>
    <row r="515" spans="1:4" x14ac:dyDescent="0.3">
      <c r="A515" s="1">
        <v>38677</v>
      </c>
      <c r="B515">
        <v>1.7160899999999999</v>
      </c>
      <c r="C515">
        <f t="shared" si="9"/>
        <v>2.2323158907657317E-4</v>
      </c>
      <c r="D515">
        <f>(C515-meanrtn)/stdevrtns</f>
        <v>4.5022980130595899E-2</v>
      </c>
    </row>
    <row r="516" spans="1:4" x14ac:dyDescent="0.3">
      <c r="A516" s="1">
        <v>38678</v>
      </c>
      <c r="B516">
        <v>1.7214959999999999</v>
      </c>
      <c r="C516">
        <f t="shared" ref="C516:C579" si="10">(B516-B515)/B515</f>
        <v>3.1501844308865047E-3</v>
      </c>
      <c r="D516">
        <f>(C516-meanrtn)/stdevrtns</f>
        <v>0.53013689275773968</v>
      </c>
    </row>
    <row r="517" spans="1:4" x14ac:dyDescent="0.3">
      <c r="A517" s="1">
        <v>38679</v>
      </c>
      <c r="B517">
        <v>1.722089</v>
      </c>
      <c r="C517">
        <f t="shared" si="10"/>
        <v>3.4446783495289311E-4</v>
      </c>
      <c r="D517">
        <f>(C517-meanrtn)/stdevrtns</f>
        <v>6.5116706530683618E-2</v>
      </c>
    </row>
    <row r="518" spans="1:4" x14ac:dyDescent="0.3">
      <c r="A518" s="1">
        <v>38680</v>
      </c>
      <c r="B518">
        <v>1.722504</v>
      </c>
      <c r="C518">
        <f t="shared" si="10"/>
        <v>2.4098638339833435E-4</v>
      </c>
      <c r="D518">
        <f>(C518-meanrtn)/stdevrtns</f>
        <v>4.7965664282621293E-2</v>
      </c>
    </row>
    <row r="519" spans="1:4" x14ac:dyDescent="0.3">
      <c r="A519" s="1">
        <v>38681</v>
      </c>
      <c r="B519">
        <v>1.7157070000000001</v>
      </c>
      <c r="C519">
        <f t="shared" si="10"/>
        <v>-3.9459995448486284E-3</v>
      </c>
      <c r="D519">
        <f>(C519-meanrtn)/stdevrtns</f>
        <v>-0.64598645436875812</v>
      </c>
    </row>
    <row r="520" spans="1:4" x14ac:dyDescent="0.3">
      <c r="A520" s="1">
        <v>38684</v>
      </c>
      <c r="B520">
        <v>1.7284889999999999</v>
      </c>
      <c r="C520">
        <f t="shared" si="10"/>
        <v>7.4499900041206622E-3</v>
      </c>
      <c r="D520">
        <f>(C520-meanrtn)/stdevrtns</f>
        <v>1.2427877682251325</v>
      </c>
    </row>
    <row r="521" spans="1:4" x14ac:dyDescent="0.3">
      <c r="A521" s="1">
        <v>38685</v>
      </c>
      <c r="B521">
        <v>1.7168859999999999</v>
      </c>
      <c r="C521">
        <f t="shared" si="10"/>
        <v>-6.7127994450644638E-3</v>
      </c>
      <c r="D521">
        <f>(C521-meanrtn)/stdevrtns</f>
        <v>-1.1045565774938422</v>
      </c>
    </row>
    <row r="522" spans="1:4" x14ac:dyDescent="0.3">
      <c r="A522" s="1">
        <v>38686</v>
      </c>
      <c r="B522">
        <v>1.730912</v>
      </c>
      <c r="C522">
        <f t="shared" si="10"/>
        <v>8.1694416519210323E-3</v>
      </c>
      <c r="D522">
        <f>(C522-meanrtn)/stdevrtns</f>
        <v>1.3620298683454279</v>
      </c>
    </row>
    <row r="523" spans="1:4" x14ac:dyDescent="0.3">
      <c r="A523" s="1">
        <v>38687</v>
      </c>
      <c r="B523">
        <v>1.733012</v>
      </c>
      <c r="C523">
        <f t="shared" si="10"/>
        <v>1.2132332550701542E-3</v>
      </c>
      <c r="D523">
        <f>(C523-meanrtn)/stdevrtns</f>
        <v>0.2091061094647049</v>
      </c>
    </row>
    <row r="524" spans="1:4" x14ac:dyDescent="0.3">
      <c r="A524" s="1">
        <v>38688</v>
      </c>
      <c r="B524">
        <v>1.733914</v>
      </c>
      <c r="C524">
        <f t="shared" si="10"/>
        <v>5.2048110457397778E-4</v>
      </c>
      <c r="D524">
        <f>(C524-meanrtn)/stdevrtns</f>
        <v>9.4289190856526262E-2</v>
      </c>
    </row>
    <row r="525" spans="1:4" x14ac:dyDescent="0.3">
      <c r="A525" s="1">
        <v>38691</v>
      </c>
      <c r="B525">
        <v>1.741614</v>
      </c>
      <c r="C525">
        <f t="shared" si="10"/>
        <v>4.4408200176018191E-3</v>
      </c>
      <c r="D525">
        <f>(C525-meanrtn)/stdevrtns</f>
        <v>0.74404716500528723</v>
      </c>
    </row>
    <row r="526" spans="1:4" x14ac:dyDescent="0.3">
      <c r="A526" s="1">
        <v>38692</v>
      </c>
      <c r="B526">
        <v>1.742707</v>
      </c>
      <c r="C526">
        <f t="shared" si="10"/>
        <v>6.2757878611449528E-4</v>
      </c>
      <c r="D526">
        <f>(C526-meanrtn)/stdevrtns</f>
        <v>0.1120395879873831</v>
      </c>
    </row>
    <row r="527" spans="1:4" x14ac:dyDescent="0.3">
      <c r="A527" s="1">
        <v>38693</v>
      </c>
      <c r="B527">
        <v>1.735087</v>
      </c>
      <c r="C527">
        <f t="shared" si="10"/>
        <v>-4.3725078283383036E-3</v>
      </c>
      <c r="D527">
        <f>(C527-meanrtn)/stdevrtns</f>
        <v>-0.71667604636219107</v>
      </c>
    </row>
    <row r="528" spans="1:4" x14ac:dyDescent="0.3">
      <c r="A528" s="1">
        <v>38694</v>
      </c>
      <c r="B528">
        <v>1.752111</v>
      </c>
      <c r="C528">
        <f t="shared" si="10"/>
        <v>9.811611752033142E-3</v>
      </c>
      <c r="D528">
        <f>(C528-meanrtn)/stdevrtns</f>
        <v>1.6342035607552032</v>
      </c>
    </row>
    <row r="529" spans="1:4" x14ac:dyDescent="0.3">
      <c r="A529" s="1">
        <v>38695</v>
      </c>
      <c r="B529">
        <v>1.7551870000000001</v>
      </c>
      <c r="C529">
        <f t="shared" si="10"/>
        <v>1.7555965346944793E-3</v>
      </c>
      <c r="D529">
        <f>(C529-meanrtn)/stdevrtns</f>
        <v>0.29899753814968111</v>
      </c>
    </row>
    <row r="530" spans="1:4" x14ac:dyDescent="0.3">
      <c r="A530" s="1">
        <v>38698</v>
      </c>
      <c r="B530">
        <v>1.774591</v>
      </c>
      <c r="C530">
        <f t="shared" si="10"/>
        <v>1.1055232291488016E-2</v>
      </c>
      <c r="D530">
        <f>(C530-meanrtn)/stdevrtns</f>
        <v>1.8403215470447856</v>
      </c>
    </row>
    <row r="531" spans="1:4" x14ac:dyDescent="0.3">
      <c r="A531" s="1">
        <v>38699</v>
      </c>
      <c r="B531">
        <v>1.7701</v>
      </c>
      <c r="C531">
        <f t="shared" si="10"/>
        <v>-2.5307239809060356E-3</v>
      </c>
      <c r="D531">
        <f>(C531-meanrtn)/stdevrtns</f>
        <v>-0.41141832041644394</v>
      </c>
    </row>
    <row r="532" spans="1:4" x14ac:dyDescent="0.3">
      <c r="A532" s="1">
        <v>38700</v>
      </c>
      <c r="B532">
        <v>1.771385</v>
      </c>
      <c r="C532">
        <f t="shared" si="10"/>
        <v>7.2594768657136921E-4</v>
      </c>
      <c r="D532">
        <f>(C532-meanrtn)/stdevrtns</f>
        <v>0.12834327470887999</v>
      </c>
    </row>
    <row r="533" spans="1:4" x14ac:dyDescent="0.3">
      <c r="A533" s="1">
        <v>38701</v>
      </c>
      <c r="B533">
        <v>1.7652870000000001</v>
      </c>
      <c r="C533">
        <f t="shared" si="10"/>
        <v>-3.4425040293329439E-3</v>
      </c>
      <c r="D533">
        <f>(C533-meanrtn)/stdevrtns</f>
        <v>-0.56253697884834053</v>
      </c>
    </row>
    <row r="534" spans="1:4" x14ac:dyDescent="0.3">
      <c r="A534" s="1">
        <v>38702</v>
      </c>
      <c r="B534">
        <v>1.7729870000000001</v>
      </c>
      <c r="C534">
        <f t="shared" si="10"/>
        <v>4.3618969606642093E-3</v>
      </c>
      <c r="D534">
        <f>(C534-meanrtn)/stdevrtns</f>
        <v>0.73096643736232891</v>
      </c>
    </row>
    <row r="535" spans="1:4" x14ac:dyDescent="0.3">
      <c r="A535" s="1">
        <v>38705</v>
      </c>
      <c r="B535">
        <v>1.7626109999999999</v>
      </c>
      <c r="C535">
        <f t="shared" si="10"/>
        <v>-5.8522707724310234E-3</v>
      </c>
      <c r="D535">
        <f>(C535-meanrtn)/stdevrtns</f>
        <v>-0.96193233519449894</v>
      </c>
    </row>
    <row r="536" spans="1:4" x14ac:dyDescent="0.3">
      <c r="A536" s="1">
        <v>38706</v>
      </c>
      <c r="B536">
        <v>1.756605</v>
      </c>
      <c r="C536">
        <f t="shared" si="10"/>
        <v>-3.4074449779332799E-3</v>
      </c>
      <c r="D536">
        <f>(C536-meanrtn)/stdevrtns</f>
        <v>-0.55672628270232061</v>
      </c>
    </row>
    <row r="537" spans="1:4" x14ac:dyDescent="0.3">
      <c r="A537" s="1">
        <v>38707</v>
      </c>
      <c r="B537">
        <v>1.7447140000000001</v>
      </c>
      <c r="C537">
        <f t="shared" si="10"/>
        <v>-6.7693078409772683E-3</v>
      </c>
      <c r="D537">
        <f>(C537-meanrtn)/stdevrtns</f>
        <v>-1.1139222934855604</v>
      </c>
    </row>
    <row r="538" spans="1:4" x14ac:dyDescent="0.3">
      <c r="A538" s="1">
        <v>38708</v>
      </c>
      <c r="B538">
        <v>1.7377100000000001</v>
      </c>
      <c r="C538">
        <f t="shared" si="10"/>
        <v>-4.014411531058964E-3</v>
      </c>
      <c r="D538">
        <f>(C538-meanrtn)/stdevrtns</f>
        <v>-0.65732507446096566</v>
      </c>
    </row>
    <row r="539" spans="1:4" x14ac:dyDescent="0.3">
      <c r="A539" s="1">
        <v>38709</v>
      </c>
      <c r="B539">
        <v>1.733403</v>
      </c>
      <c r="C539">
        <f t="shared" si="10"/>
        <v>-2.4785493551858829E-3</v>
      </c>
      <c r="D539">
        <f>(C539-meanrtn)/stdevrtns</f>
        <v>-0.40277088460490251</v>
      </c>
    </row>
    <row r="540" spans="1:4" x14ac:dyDescent="0.3">
      <c r="A540" s="1">
        <v>38712</v>
      </c>
      <c r="B540">
        <v>1.730613</v>
      </c>
      <c r="C540">
        <f t="shared" si="10"/>
        <v>-1.6095506930587232E-3</v>
      </c>
      <c r="D540">
        <f>(C540-meanrtn)/stdevrtns</f>
        <v>-0.25874282408050442</v>
      </c>
    </row>
    <row r="541" spans="1:4" x14ac:dyDescent="0.3">
      <c r="A541" s="1">
        <v>38713</v>
      </c>
      <c r="B541">
        <v>1.7300139999999999</v>
      </c>
      <c r="C541">
        <f t="shared" si="10"/>
        <v>-3.4612013199948009E-4</v>
      </c>
      <c r="D541">
        <f>(C541-meanrtn)/stdevrtns</f>
        <v>-4.9341519743412714E-2</v>
      </c>
    </row>
    <row r="542" spans="1:4" x14ac:dyDescent="0.3">
      <c r="A542" s="1">
        <v>38714</v>
      </c>
      <c r="B542">
        <v>1.7196899999999999</v>
      </c>
      <c r="C542">
        <f t="shared" si="10"/>
        <v>-5.9675817652342696E-3</v>
      </c>
      <c r="D542">
        <f>(C542-meanrtn)/stdevrtns</f>
        <v>-0.98104400863475583</v>
      </c>
    </row>
    <row r="543" spans="1:4" x14ac:dyDescent="0.3">
      <c r="A543" s="1">
        <v>38715</v>
      </c>
      <c r="B543">
        <v>1.725209</v>
      </c>
      <c r="C543">
        <f t="shared" si="10"/>
        <v>3.2092993504643581E-3</v>
      </c>
      <c r="D543">
        <f>(C543-meanrtn)/stdevrtns</f>
        <v>0.53993461464837256</v>
      </c>
    </row>
    <row r="544" spans="1:4" x14ac:dyDescent="0.3">
      <c r="A544" s="1">
        <v>38716</v>
      </c>
      <c r="B544">
        <v>1.7206969999999999</v>
      </c>
      <c r="C544">
        <f t="shared" si="10"/>
        <v>-2.6153353014041034E-3</v>
      </c>
      <c r="D544">
        <f>(C544-meanrtn)/stdevrtns</f>
        <v>-0.4254418223167975</v>
      </c>
    </row>
    <row r="545" spans="1:4" x14ac:dyDescent="0.3">
      <c r="A545" s="1">
        <v>38719</v>
      </c>
      <c r="B545">
        <v>1.7191879999999999</v>
      </c>
      <c r="C545">
        <f t="shared" si="10"/>
        <v>-8.7697020451595064E-4</v>
      </c>
      <c r="D545">
        <f>(C545-meanrtn)/stdevrtns</f>
        <v>-0.13732474653760474</v>
      </c>
    </row>
    <row r="546" spans="1:4" x14ac:dyDescent="0.3">
      <c r="A546" s="1">
        <v>38720</v>
      </c>
      <c r="B546">
        <v>1.748588</v>
      </c>
      <c r="C546">
        <f t="shared" si="10"/>
        <v>1.7101096564191988E-2</v>
      </c>
      <c r="D546">
        <f>(C546-meanrtn)/stdevrtns</f>
        <v>2.8423646379510452</v>
      </c>
    </row>
    <row r="547" spans="1:4" x14ac:dyDescent="0.3">
      <c r="A547" s="1">
        <v>38721</v>
      </c>
      <c r="B547">
        <v>1.757315</v>
      </c>
      <c r="C547">
        <f t="shared" si="10"/>
        <v>4.990884073320833E-3</v>
      </c>
      <c r="D547">
        <f>(C547-meanrtn)/stdevrtns</f>
        <v>0.83521492228982164</v>
      </c>
    </row>
    <row r="548" spans="1:4" x14ac:dyDescent="0.3">
      <c r="A548" s="1">
        <v>38722</v>
      </c>
      <c r="B548">
        <v>1.7553099999999999</v>
      </c>
      <c r="C548">
        <f t="shared" si="10"/>
        <v>-1.1409451350497973E-3</v>
      </c>
      <c r="D548">
        <f>(C548-meanrtn)/stdevrtns</f>
        <v>-0.18107601904104761</v>
      </c>
    </row>
    <row r="549" spans="1:4" x14ac:dyDescent="0.3">
      <c r="A549" s="1">
        <v>38723</v>
      </c>
      <c r="B549">
        <v>1.7707889999999999</v>
      </c>
      <c r="C549">
        <f t="shared" si="10"/>
        <v>8.8183853564327789E-3</v>
      </c>
      <c r="D549">
        <f>(C549-meanrtn)/stdevrtns</f>
        <v>1.4695859639112785</v>
      </c>
    </row>
    <row r="550" spans="1:4" x14ac:dyDescent="0.3">
      <c r="A550" s="1">
        <v>38726</v>
      </c>
      <c r="B550">
        <v>1.764602</v>
      </c>
      <c r="C550">
        <f t="shared" si="10"/>
        <v>-3.4939227655016733E-3</v>
      </c>
      <c r="D550">
        <f>(C550-meanrtn)/stdevrtns</f>
        <v>-0.57105913333229541</v>
      </c>
    </row>
    <row r="551" spans="1:4" x14ac:dyDescent="0.3">
      <c r="A551" s="1">
        <v>38727</v>
      </c>
      <c r="B551">
        <v>1.7645090000000001</v>
      </c>
      <c r="C551">
        <f t="shared" si="10"/>
        <v>-5.2703102455907175E-5</v>
      </c>
      <c r="D551">
        <f>(C551-meanrtn)/stdevrtns</f>
        <v>-7.1050621970383809E-4</v>
      </c>
    </row>
    <row r="552" spans="1:4" x14ac:dyDescent="0.3">
      <c r="A552" s="1">
        <v>38728</v>
      </c>
      <c r="B552">
        <v>1.766691</v>
      </c>
      <c r="C552">
        <f t="shared" si="10"/>
        <v>1.2366046305232255E-3</v>
      </c>
      <c r="D552">
        <f>(C552-meanrtn)/stdevrtns</f>
        <v>0.21297968720998434</v>
      </c>
    </row>
    <row r="553" spans="1:4" x14ac:dyDescent="0.3">
      <c r="A553" s="1">
        <v>38729</v>
      </c>
      <c r="B553">
        <v>1.760904</v>
      </c>
      <c r="C553">
        <f t="shared" si="10"/>
        <v>-3.2756152603935756E-3</v>
      </c>
      <c r="D553">
        <f>(C553-meanrtn)/stdevrtns</f>
        <v>-0.5348767915992555</v>
      </c>
    </row>
    <row r="554" spans="1:4" x14ac:dyDescent="0.3">
      <c r="A554" s="1">
        <v>38730</v>
      </c>
      <c r="B554">
        <v>1.777493</v>
      </c>
      <c r="C554">
        <f t="shared" si="10"/>
        <v>9.4207293526506631E-3</v>
      </c>
      <c r="D554">
        <f>(C554-meanrtn)/stdevrtns</f>
        <v>1.5694186119057152</v>
      </c>
    </row>
    <row r="555" spans="1:4" x14ac:dyDescent="0.3">
      <c r="A555" s="1">
        <v>38733</v>
      </c>
      <c r="B555">
        <v>1.76641</v>
      </c>
      <c r="C555">
        <f t="shared" si="10"/>
        <v>-6.2351862989052298E-3</v>
      </c>
      <c r="D555">
        <f>(C555-meanrtn)/stdevrtns</f>
        <v>-1.025396852490486</v>
      </c>
    </row>
    <row r="556" spans="1:4" x14ac:dyDescent="0.3">
      <c r="A556" s="1">
        <v>38734</v>
      </c>
      <c r="B556">
        <v>1.76719</v>
      </c>
      <c r="C556">
        <f t="shared" si="10"/>
        <v>4.4157358710605291E-4</v>
      </c>
      <c r="D556">
        <f>(C556-meanrtn)/stdevrtns</f>
        <v>8.1211038729247995E-2</v>
      </c>
    </row>
    <row r="557" spans="1:4" x14ac:dyDescent="0.3">
      <c r="A557" s="1">
        <v>38735</v>
      </c>
      <c r="B557">
        <v>1.762208</v>
      </c>
      <c r="C557">
        <f t="shared" si="10"/>
        <v>-2.8191648888914273E-3</v>
      </c>
      <c r="D557">
        <f>(C557-meanrtn)/stdevrtns</f>
        <v>-0.45922459028035922</v>
      </c>
    </row>
    <row r="558" spans="1:4" x14ac:dyDescent="0.3">
      <c r="A558" s="1">
        <v>38736</v>
      </c>
      <c r="B558">
        <v>1.7570060000000001</v>
      </c>
      <c r="C558">
        <f t="shared" si="10"/>
        <v>-2.9519784270641883E-3</v>
      </c>
      <c r="D558">
        <f>(C558-meanrtn)/stdevrtns</f>
        <v>-0.48123714006677853</v>
      </c>
    </row>
    <row r="559" spans="1:4" x14ac:dyDescent="0.3">
      <c r="A559" s="1">
        <v>38737</v>
      </c>
      <c r="B559">
        <v>1.7710090000000001</v>
      </c>
      <c r="C559">
        <f t="shared" si="10"/>
        <v>7.9698077297402446E-3</v>
      </c>
      <c r="D559">
        <f>(C559-meanrtn)/stdevrtns</f>
        <v>1.3289424910228953</v>
      </c>
    </row>
    <row r="560" spans="1:4" x14ac:dyDescent="0.3">
      <c r="A560" s="1">
        <v>38740</v>
      </c>
      <c r="B560">
        <v>1.7865120000000001</v>
      </c>
      <c r="C560">
        <f t="shared" si="10"/>
        <v>8.7537669204391638E-3</v>
      </c>
      <c r="D560">
        <f>(C560-meanrtn)/stdevrtns</f>
        <v>1.4588760878022649</v>
      </c>
    </row>
    <row r="561" spans="1:4" x14ac:dyDescent="0.3">
      <c r="A561" s="1">
        <v>38741</v>
      </c>
      <c r="B561">
        <v>1.783485</v>
      </c>
      <c r="C561">
        <f t="shared" si="10"/>
        <v>-1.6943630941186586E-3</v>
      </c>
      <c r="D561">
        <f>(C561-meanrtn)/stdevrtns</f>
        <v>-0.27279965312461224</v>
      </c>
    </row>
    <row r="562" spans="1:4" x14ac:dyDescent="0.3">
      <c r="A562" s="1">
        <v>38742</v>
      </c>
      <c r="B562">
        <v>1.78409</v>
      </c>
      <c r="C562">
        <f t="shared" si="10"/>
        <v>3.3922348660065358E-4</v>
      </c>
      <c r="D562">
        <f>(C562-meanrtn)/stdevrtns</f>
        <v>6.4247506893438541E-2</v>
      </c>
    </row>
    <row r="563" spans="1:4" x14ac:dyDescent="0.3">
      <c r="A563" s="1">
        <v>38743</v>
      </c>
      <c r="B563">
        <v>1.781388</v>
      </c>
      <c r="C563">
        <f t="shared" si="10"/>
        <v>-1.5144975870051299E-3</v>
      </c>
      <c r="D563">
        <f>(C563-meanrtn)/stdevrtns</f>
        <v>-0.2429886979714867</v>
      </c>
    </row>
    <row r="564" spans="1:4" x14ac:dyDescent="0.3">
      <c r="A564" s="1">
        <v>38744</v>
      </c>
      <c r="B564">
        <v>1.76769</v>
      </c>
      <c r="C564">
        <f t="shared" si="10"/>
        <v>-7.6895095285249414E-3</v>
      </c>
      <c r="D564">
        <f>(C564-meanrtn)/stdevrtns</f>
        <v>-1.2664367565393317</v>
      </c>
    </row>
    <row r="565" spans="1:4" x14ac:dyDescent="0.3">
      <c r="A565" s="1">
        <v>38747</v>
      </c>
      <c r="B565">
        <v>1.7670969999999999</v>
      </c>
      <c r="C565">
        <f t="shared" si="10"/>
        <v>-3.3546606022552918E-4</v>
      </c>
      <c r="D565">
        <f>(C565-meanrtn)/stdevrtns</f>
        <v>-4.7575711162610383E-2</v>
      </c>
    </row>
    <row r="566" spans="1:4" x14ac:dyDescent="0.3">
      <c r="A566" s="1">
        <v>38748</v>
      </c>
      <c r="B566">
        <v>1.7786</v>
      </c>
      <c r="C566">
        <f t="shared" si="10"/>
        <v>6.5095464482142415E-3</v>
      </c>
      <c r="D566">
        <f>(C566-meanrtn)/stdevrtns</f>
        <v>1.0869184127323275</v>
      </c>
    </row>
    <row r="567" spans="1:4" x14ac:dyDescent="0.3">
      <c r="A567" s="1">
        <v>38749</v>
      </c>
      <c r="B567">
        <v>1.7749060000000001</v>
      </c>
      <c r="C567">
        <f t="shared" si="10"/>
        <v>-2.0769144270774004E-3</v>
      </c>
      <c r="D567">
        <f>(C567-meanrtn)/stdevrtns</f>
        <v>-0.3362038088941966</v>
      </c>
    </row>
    <row r="568" spans="1:4" x14ac:dyDescent="0.3">
      <c r="A568" s="1">
        <v>38750</v>
      </c>
      <c r="B568">
        <v>1.7786</v>
      </c>
      <c r="C568">
        <f t="shared" si="10"/>
        <v>2.0812369781835565E-3</v>
      </c>
      <c r="D568">
        <f>(C568-meanrtn)/stdevrtns</f>
        <v>0.35296926854248767</v>
      </c>
    </row>
    <row r="569" spans="1:4" x14ac:dyDescent="0.3">
      <c r="A569" s="1">
        <v>38751</v>
      </c>
      <c r="B569">
        <v>1.762705</v>
      </c>
      <c r="C569">
        <f t="shared" si="10"/>
        <v>-8.9368042280445256E-3</v>
      </c>
      <c r="D569">
        <f>(C569-meanrtn)/stdevrtns</f>
        <v>-1.4731636990577774</v>
      </c>
    </row>
    <row r="570" spans="1:4" x14ac:dyDescent="0.3">
      <c r="A570" s="1">
        <v>38754</v>
      </c>
      <c r="B570">
        <v>1.7470909999999999</v>
      </c>
      <c r="C570">
        <f t="shared" si="10"/>
        <v>-8.8579768026981354E-3</v>
      </c>
      <c r="D570">
        <f>(C570-meanrtn)/stdevrtns</f>
        <v>-1.4600988214192074</v>
      </c>
    </row>
    <row r="571" spans="1:4" x14ac:dyDescent="0.3">
      <c r="A571" s="1">
        <v>38755</v>
      </c>
      <c r="B571">
        <v>1.7466029999999999</v>
      </c>
      <c r="C571">
        <f t="shared" si="10"/>
        <v>-2.7932145492137728E-4</v>
      </c>
      <c r="D571">
        <f>(C571-meanrtn)/stdevrtns</f>
        <v>-3.8270289919416847E-2</v>
      </c>
    </row>
    <row r="572" spans="1:4" x14ac:dyDescent="0.3">
      <c r="A572" s="1">
        <v>38756</v>
      </c>
      <c r="B572">
        <v>1.7413110000000001</v>
      </c>
      <c r="C572">
        <f t="shared" si="10"/>
        <v>-3.029881432700993E-3</v>
      </c>
      <c r="D572">
        <f>(C572-meanrtn)/stdevrtns</f>
        <v>-0.49414880414624335</v>
      </c>
    </row>
    <row r="573" spans="1:4" x14ac:dyDescent="0.3">
      <c r="A573" s="1">
        <v>38757</v>
      </c>
      <c r="B573">
        <v>1.7455970000000001</v>
      </c>
      <c r="C573">
        <f t="shared" si="10"/>
        <v>2.4613638804326233E-3</v>
      </c>
      <c r="D573">
        <f>(C573-meanrtn)/stdevrtns</f>
        <v>0.41597159854615479</v>
      </c>
    </row>
    <row r="574" spans="1:4" x14ac:dyDescent="0.3">
      <c r="A574" s="1">
        <v>38758</v>
      </c>
      <c r="B574">
        <v>1.7445919999999999</v>
      </c>
      <c r="C574">
        <f t="shared" si="10"/>
        <v>-5.7573426168820447E-4</v>
      </c>
      <c r="D574">
        <f>(C574-meanrtn)/stdevrtns</f>
        <v>-8.7397824326336637E-2</v>
      </c>
    </row>
    <row r="575" spans="1:4" x14ac:dyDescent="0.3">
      <c r="A575" s="1">
        <v>38761</v>
      </c>
      <c r="B575">
        <v>1.7431019999999999</v>
      </c>
      <c r="C575">
        <f t="shared" si="10"/>
        <v>-8.540678852132713E-4</v>
      </c>
      <c r="D575">
        <f>(C575-meanrtn)/stdevrtns</f>
        <v>-0.13352891027866154</v>
      </c>
    </row>
    <row r="576" spans="1:4" x14ac:dyDescent="0.3">
      <c r="A576" s="1">
        <v>38762</v>
      </c>
      <c r="B576">
        <v>1.736111</v>
      </c>
      <c r="C576">
        <f t="shared" si="10"/>
        <v>-4.0106660424920459E-3</v>
      </c>
      <c r="D576">
        <f>(C576-meanrtn)/stdevrtns</f>
        <v>-0.6567042962279025</v>
      </c>
    </row>
    <row r="577" spans="1:4" x14ac:dyDescent="0.3">
      <c r="A577" s="1">
        <v>38763</v>
      </c>
      <c r="B577">
        <v>1.7403109999999999</v>
      </c>
      <c r="C577">
        <f t="shared" si="10"/>
        <v>2.4192001548287993E-3</v>
      </c>
      <c r="D577">
        <f>(C577-meanrtn)/stdevrtns</f>
        <v>0.40898337188037764</v>
      </c>
    </row>
    <row r="578" spans="1:4" x14ac:dyDescent="0.3">
      <c r="A578" s="1">
        <v>38764</v>
      </c>
      <c r="B578">
        <v>1.739493</v>
      </c>
      <c r="C578">
        <f t="shared" si="10"/>
        <v>-4.7003093125308373E-4</v>
      </c>
      <c r="D578">
        <f>(C578-meanrtn)/stdevrtns</f>
        <v>-6.9878527304320884E-2</v>
      </c>
    </row>
    <row r="579" spans="1:4" x14ac:dyDescent="0.3">
      <c r="A579" s="1">
        <v>38765</v>
      </c>
      <c r="B579">
        <v>1.7425850000000001</v>
      </c>
      <c r="C579">
        <f t="shared" si="10"/>
        <v>1.7775294295522286E-3</v>
      </c>
      <c r="D579">
        <f>(C579-meanrtn)/stdevrtns</f>
        <v>0.30263270175317231</v>
      </c>
    </row>
    <row r="580" spans="1:4" x14ac:dyDescent="0.3">
      <c r="A580" s="1">
        <v>38768</v>
      </c>
      <c r="B580">
        <v>1.744896</v>
      </c>
      <c r="C580">
        <f t="shared" ref="C580:C643" si="11">(B580-B579)/B579</f>
        <v>1.3261906879721516E-3</v>
      </c>
      <c r="D580">
        <f>(C580-meanrtn)/stdevrtns</f>
        <v>0.22782770328495966</v>
      </c>
    </row>
    <row r="581" spans="1:4" x14ac:dyDescent="0.3">
      <c r="A581" s="1">
        <v>38769</v>
      </c>
      <c r="B581">
        <v>1.7459009999999999</v>
      </c>
      <c r="C581">
        <f t="shared" si="11"/>
        <v>5.7596555897882894E-4</v>
      </c>
      <c r="D581">
        <f>(C581-meanrtn)/stdevrtns</f>
        <v>0.10348519852082315</v>
      </c>
    </row>
    <row r="582" spans="1:4" x14ac:dyDescent="0.3">
      <c r="A582" s="1">
        <v>38770</v>
      </c>
      <c r="B582">
        <v>1.744014</v>
      </c>
      <c r="C582">
        <f t="shared" si="11"/>
        <v>-1.0808172972006844E-3</v>
      </c>
      <c r="D582">
        <f>(C582-meanrtn)/stdevrtns</f>
        <v>-0.17111041581706243</v>
      </c>
    </row>
    <row r="583" spans="1:4" x14ac:dyDescent="0.3">
      <c r="A583" s="1">
        <v>38771</v>
      </c>
      <c r="B583">
        <v>1.752203</v>
      </c>
      <c r="C583">
        <f t="shared" si="11"/>
        <v>4.6954898297834778E-3</v>
      </c>
      <c r="D583">
        <f>(C583-meanrtn)/stdevrtns</f>
        <v>0.78625620481307201</v>
      </c>
    </row>
    <row r="584" spans="1:4" x14ac:dyDescent="0.3">
      <c r="A584" s="1">
        <v>38772</v>
      </c>
      <c r="B584">
        <v>1.7444999999999999</v>
      </c>
      <c r="C584">
        <f t="shared" si="11"/>
        <v>-4.3961801229652131E-3</v>
      </c>
      <c r="D584">
        <f>(C584-meanrtn)/stdevrtns</f>
        <v>-0.72059949852830851</v>
      </c>
    </row>
    <row r="585" spans="1:4" x14ac:dyDescent="0.3">
      <c r="A585" s="1">
        <v>38775</v>
      </c>
      <c r="B585">
        <v>1.739887</v>
      </c>
      <c r="C585">
        <f t="shared" si="11"/>
        <v>-2.6443106907423205E-3</v>
      </c>
      <c r="D585">
        <f>(C585-meanrtn)/stdevrtns</f>
        <v>-0.43024421075673747</v>
      </c>
    </row>
    <row r="586" spans="1:4" x14ac:dyDescent="0.3">
      <c r="A586" s="1">
        <v>38776</v>
      </c>
      <c r="B586">
        <v>1.7542009999999999</v>
      </c>
      <c r="C586">
        <f t="shared" si="11"/>
        <v>8.226971061913755E-3</v>
      </c>
      <c r="D586">
        <f>(C586-meanrtn)/stdevrtns</f>
        <v>1.3715648074718962</v>
      </c>
    </row>
    <row r="587" spans="1:4" x14ac:dyDescent="0.3">
      <c r="A587" s="1">
        <v>38777</v>
      </c>
      <c r="B587">
        <v>1.7499960000000001</v>
      </c>
      <c r="C587">
        <f t="shared" si="11"/>
        <v>-2.3971027265403408E-3</v>
      </c>
      <c r="D587">
        <f>(C587-meanrtn)/stdevrtns</f>
        <v>-0.3892718995416185</v>
      </c>
    </row>
    <row r="588" spans="1:4" x14ac:dyDescent="0.3">
      <c r="A588" s="1">
        <v>38778</v>
      </c>
      <c r="B588">
        <v>1.7534940000000001</v>
      </c>
      <c r="C588">
        <f t="shared" si="11"/>
        <v>1.998861711683913E-3</v>
      </c>
      <c r="D588">
        <f>(C588-meanrtn)/stdevrtns</f>
        <v>0.33931637080374755</v>
      </c>
    </row>
    <row r="589" spans="1:4" x14ac:dyDescent="0.3">
      <c r="A589" s="1">
        <v>38779</v>
      </c>
      <c r="B589">
        <v>1.755895</v>
      </c>
      <c r="C589">
        <f t="shared" si="11"/>
        <v>1.3692661623021666E-3</v>
      </c>
      <c r="D589">
        <f>(C589-meanrtn)/stdevrtns</f>
        <v>0.23496704341781333</v>
      </c>
    </row>
    <row r="590" spans="1:4" x14ac:dyDescent="0.3">
      <c r="A590" s="1">
        <v>38782</v>
      </c>
      <c r="B590">
        <v>1.7499039999999999</v>
      </c>
      <c r="C590">
        <f t="shared" si="11"/>
        <v>-3.411935223917193E-3</v>
      </c>
      <c r="D590">
        <f>(C590-meanrtn)/stdevrtns</f>
        <v>-0.55747049722016273</v>
      </c>
    </row>
    <row r="591" spans="1:4" x14ac:dyDescent="0.3">
      <c r="A591" s="1">
        <v>38783</v>
      </c>
      <c r="B591">
        <v>1.7365029999999999</v>
      </c>
      <c r="C591">
        <f t="shared" si="11"/>
        <v>-7.6581343890864857E-3</v>
      </c>
      <c r="D591">
        <f>(C591-meanrtn)/stdevrtns</f>
        <v>-1.2612366329039952</v>
      </c>
    </row>
    <row r="592" spans="1:4" x14ac:dyDescent="0.3">
      <c r="A592" s="1">
        <v>38784</v>
      </c>
      <c r="B592">
        <v>1.7368049999999999</v>
      </c>
      <c r="C592">
        <f t="shared" si="11"/>
        <v>1.7391274302435669E-4</v>
      </c>
      <c r="D592">
        <f>(C592-meanrtn)/stdevrtns</f>
        <v>3.6848861971639883E-2</v>
      </c>
    </row>
    <row r="593" spans="1:4" x14ac:dyDescent="0.3">
      <c r="A593" s="1">
        <v>38785</v>
      </c>
      <c r="B593">
        <v>1.7358100000000001</v>
      </c>
      <c r="C593">
        <f t="shared" si="11"/>
        <v>-5.7289102691428066E-4</v>
      </c>
      <c r="D593">
        <f>(C593-meanrtn)/stdevrtns</f>
        <v>-8.6926585867693473E-2</v>
      </c>
    </row>
    <row r="594" spans="1:4" x14ac:dyDescent="0.3">
      <c r="A594" s="1">
        <v>38786</v>
      </c>
      <c r="B594">
        <v>1.7263109999999999</v>
      </c>
      <c r="C594">
        <f t="shared" si="11"/>
        <v>-5.4723731283954731E-3</v>
      </c>
      <c r="D594">
        <f>(C594-meanrtn)/stdevrtns</f>
        <v>-0.89896800250577724</v>
      </c>
    </row>
    <row r="595" spans="1:4" x14ac:dyDescent="0.3">
      <c r="A595" s="1">
        <v>38789</v>
      </c>
      <c r="B595">
        <v>1.7358100000000001</v>
      </c>
      <c r="C595">
        <f t="shared" si="11"/>
        <v>5.5024847782352932E-3</v>
      </c>
      <c r="D595">
        <f>(C595-meanrtn)/stdevrtns</f>
        <v>0.92000775397425338</v>
      </c>
    </row>
    <row r="596" spans="1:4" x14ac:dyDescent="0.3">
      <c r="A596" s="1">
        <v>38790</v>
      </c>
      <c r="B596">
        <v>1.7470000000000001</v>
      </c>
      <c r="C596">
        <f t="shared" si="11"/>
        <v>6.4465580910353284E-3</v>
      </c>
      <c r="D596">
        <f>(C596-meanrtn)/stdevrtns</f>
        <v>1.0764787063029875</v>
      </c>
    </row>
    <row r="597" spans="1:4" x14ac:dyDescent="0.3">
      <c r="A597" s="1">
        <v>38791</v>
      </c>
      <c r="B597">
        <v>1.7477020000000001</v>
      </c>
      <c r="C597">
        <f t="shared" si="11"/>
        <v>4.0183171150542663E-4</v>
      </c>
      <c r="D597">
        <f>(C597-meanrtn)/stdevrtns</f>
        <v>7.4624210102436445E-2</v>
      </c>
    </row>
    <row r="598" spans="1:4" x14ac:dyDescent="0.3">
      <c r="A598" s="1">
        <v>38792</v>
      </c>
      <c r="B598">
        <v>1.7567900000000001</v>
      </c>
      <c r="C598">
        <f t="shared" si="11"/>
        <v>5.1999711621317501E-3</v>
      </c>
      <c r="D598">
        <f>(C598-meanrtn)/stdevrtns</f>
        <v>0.86986906986746471</v>
      </c>
    </row>
    <row r="599" spans="1:4" x14ac:dyDescent="0.3">
      <c r="A599" s="1">
        <v>38793</v>
      </c>
      <c r="B599">
        <v>1.7565120000000001</v>
      </c>
      <c r="C599">
        <f t="shared" si="11"/>
        <v>-1.5824315939867625E-4</v>
      </c>
      <c r="D599">
        <f>(C599-meanrtn)/stdevrtns</f>
        <v>-1.8202742251336827E-2</v>
      </c>
    </row>
    <row r="600" spans="1:4" x14ac:dyDescent="0.3">
      <c r="A600" s="1">
        <v>38796</v>
      </c>
      <c r="B600">
        <v>1.7557100000000001</v>
      </c>
      <c r="C600">
        <f t="shared" si="11"/>
        <v>-4.565866899855904E-4</v>
      </c>
      <c r="D600">
        <f>(C600-meanrtn)/stdevrtns</f>
        <v>-6.7650275318018302E-2</v>
      </c>
    </row>
    <row r="601" spans="1:4" x14ac:dyDescent="0.3">
      <c r="A601" s="1">
        <v>38797</v>
      </c>
      <c r="B601">
        <v>1.7491080000000001</v>
      </c>
      <c r="C601">
        <f t="shared" si="11"/>
        <v>-3.7603021000051241E-3</v>
      </c>
      <c r="D601">
        <f>(C601-meanrtn)/stdevrtns</f>
        <v>-0.61520891236463393</v>
      </c>
    </row>
    <row r="602" spans="1:4" x14ac:dyDescent="0.3">
      <c r="A602" s="1">
        <v>38798</v>
      </c>
      <c r="B602">
        <v>1.7467859999999999</v>
      </c>
      <c r="C602">
        <f t="shared" si="11"/>
        <v>-1.3275338058028191E-3</v>
      </c>
      <c r="D602">
        <f>(C602-meanrtn)/stdevrtns</f>
        <v>-0.21200127305536365</v>
      </c>
    </row>
    <row r="603" spans="1:4" x14ac:dyDescent="0.3">
      <c r="A603" s="1">
        <v>38799</v>
      </c>
      <c r="B603">
        <v>1.734305</v>
      </c>
      <c r="C603">
        <f t="shared" si="11"/>
        <v>-7.1451225278883418E-3</v>
      </c>
      <c r="D603">
        <f>(C603-meanrtn)/stdevrtns</f>
        <v>-1.1762099158161747</v>
      </c>
    </row>
    <row r="604" spans="1:4" x14ac:dyDescent="0.3">
      <c r="A604" s="1">
        <v>38800</v>
      </c>
      <c r="B604">
        <v>1.7425850000000001</v>
      </c>
      <c r="C604">
        <f t="shared" si="11"/>
        <v>4.7742467443731441E-3</v>
      </c>
      <c r="D604">
        <f>(C604-meanrtn)/stdevrtns</f>
        <v>0.7993093959807881</v>
      </c>
    </row>
    <row r="605" spans="1:4" x14ac:dyDescent="0.3">
      <c r="A605" s="1">
        <v>38803</v>
      </c>
      <c r="B605">
        <v>1.746389</v>
      </c>
      <c r="C605">
        <f t="shared" si="11"/>
        <v>2.1829638152514332E-3</v>
      </c>
      <c r="D605">
        <f>(C605-meanrtn)/stdevrtns</f>
        <v>0.36982950053675023</v>
      </c>
    </row>
    <row r="606" spans="1:4" x14ac:dyDescent="0.3">
      <c r="A606" s="1">
        <v>38804</v>
      </c>
      <c r="B606">
        <v>1.7430110000000001</v>
      </c>
      <c r="C606">
        <f t="shared" si="11"/>
        <v>-1.9342769566229982E-3</v>
      </c>
      <c r="D606">
        <f>(C606-meanrtn)/stdevrtns</f>
        <v>-0.31256303805875485</v>
      </c>
    </row>
    <row r="607" spans="1:4" x14ac:dyDescent="0.3">
      <c r="A607" s="1">
        <v>38805</v>
      </c>
      <c r="B607">
        <v>1.7352069999999999</v>
      </c>
      <c r="C607">
        <f t="shared" si="11"/>
        <v>-4.4773096670073474E-3</v>
      </c>
      <c r="D607">
        <f>(C607-meanrtn)/stdevrtns</f>
        <v>-0.73404592990832307</v>
      </c>
    </row>
    <row r="608" spans="1:4" x14ac:dyDescent="0.3">
      <c r="A608" s="1">
        <v>38806</v>
      </c>
      <c r="B608">
        <v>1.7470909999999999</v>
      </c>
      <c r="C608">
        <f t="shared" si="11"/>
        <v>6.848750610157754E-3</v>
      </c>
      <c r="D608">
        <f>(C608-meanrtn)/stdevrtns</f>
        <v>1.1431381972909591</v>
      </c>
    </row>
    <row r="609" spans="1:4" x14ac:dyDescent="0.3">
      <c r="A609" s="1">
        <v>38807</v>
      </c>
      <c r="B609">
        <v>1.7377100000000001</v>
      </c>
      <c r="C609">
        <f t="shared" si="11"/>
        <v>-5.369497066838454E-3</v>
      </c>
      <c r="D609">
        <f>(C609-meanrtn)/stdevrtns</f>
        <v>-0.88191729775074756</v>
      </c>
    </row>
    <row r="610" spans="1:4" x14ac:dyDescent="0.3">
      <c r="A610" s="1">
        <v>38810</v>
      </c>
      <c r="B610">
        <v>1.740008</v>
      </c>
      <c r="C610">
        <f t="shared" si="11"/>
        <v>1.3224300947798603E-3</v>
      </c>
      <c r="D610">
        <f>(C610-meanrtn)/stdevrtns</f>
        <v>0.22720442160742388</v>
      </c>
    </row>
    <row r="611" spans="1:4" x14ac:dyDescent="0.3">
      <c r="A611" s="1">
        <v>38811</v>
      </c>
      <c r="B611">
        <v>1.7554019999999999</v>
      </c>
      <c r="C611">
        <f t="shared" si="11"/>
        <v>8.8470857605251856E-3</v>
      </c>
      <c r="D611">
        <f>(C611-meanrtn)/stdevrtns</f>
        <v>1.4743427762262449</v>
      </c>
    </row>
    <row r="612" spans="1:4" x14ac:dyDescent="0.3">
      <c r="A612" s="1">
        <v>38812</v>
      </c>
      <c r="B612">
        <v>1.7526949999999999</v>
      </c>
      <c r="C612">
        <f t="shared" si="11"/>
        <v>-1.5420969099955537E-3</v>
      </c>
      <c r="D612">
        <f>(C612-meanrtn)/stdevrtns</f>
        <v>-0.24756301682298743</v>
      </c>
    </row>
    <row r="613" spans="1:4" x14ac:dyDescent="0.3">
      <c r="A613" s="1">
        <v>38813</v>
      </c>
      <c r="B613">
        <v>1.7517119999999999</v>
      </c>
      <c r="C613">
        <f t="shared" si="11"/>
        <v>-5.6085057582748639E-4</v>
      </c>
      <c r="D613">
        <f>(C613-meanrtn)/stdevrtns</f>
        <v>-8.4930998424986789E-2</v>
      </c>
    </row>
    <row r="614" spans="1:4" x14ac:dyDescent="0.3">
      <c r="A614" s="1">
        <v>38814</v>
      </c>
      <c r="B614">
        <v>1.744105</v>
      </c>
      <c r="C614">
        <f t="shared" si="11"/>
        <v>-4.3426088306753163E-3</v>
      </c>
      <c r="D614">
        <f>(C614-meanrtn)/stdevrtns</f>
        <v>-0.7117205788422728</v>
      </c>
    </row>
    <row r="615" spans="1:4" x14ac:dyDescent="0.3">
      <c r="A615" s="1">
        <v>38817</v>
      </c>
      <c r="B615">
        <v>1.743314</v>
      </c>
      <c r="C615">
        <f t="shared" si="11"/>
        <v>-4.5352774058900474E-4</v>
      </c>
      <c r="D615">
        <f>(C615-meanrtn)/stdevrtns</f>
        <v>-6.714328426264192E-2</v>
      </c>
    </row>
    <row r="616" spans="1:4" x14ac:dyDescent="0.3">
      <c r="A616" s="1">
        <v>38818</v>
      </c>
      <c r="B616">
        <v>1.749598</v>
      </c>
      <c r="C616">
        <f t="shared" si="11"/>
        <v>3.6046288849856975E-3</v>
      </c>
      <c r="D616">
        <f>(C616-meanrtn)/stdevrtns</f>
        <v>0.60545663281321738</v>
      </c>
    </row>
    <row r="617" spans="1:4" x14ac:dyDescent="0.3">
      <c r="A617" s="1">
        <v>38819</v>
      </c>
      <c r="B617">
        <v>1.751314</v>
      </c>
      <c r="C617">
        <f t="shared" si="11"/>
        <v>9.807967315920861E-4</v>
      </c>
      <c r="D617">
        <f>(C617-meanrtn)/stdevrtns</f>
        <v>0.17058202061325259</v>
      </c>
    </row>
    <row r="618" spans="1:4" x14ac:dyDescent="0.3">
      <c r="A618" s="1">
        <v>38820</v>
      </c>
      <c r="B618">
        <v>1.7530939999999999</v>
      </c>
      <c r="C618">
        <f t="shared" si="11"/>
        <v>1.0163797011843066E-3</v>
      </c>
      <c r="D618">
        <f>(C618-meanrtn)/stdevrtns</f>
        <v>0.17647955109450922</v>
      </c>
    </row>
    <row r="619" spans="1:4" x14ac:dyDescent="0.3">
      <c r="A619" s="1">
        <v>38821</v>
      </c>
      <c r="B619">
        <v>1.7527870000000001</v>
      </c>
      <c r="C619">
        <f t="shared" si="11"/>
        <v>-1.7511896110524317E-4</v>
      </c>
      <c r="D619">
        <f>(C619-meanrtn)/stdevrtns</f>
        <v>-2.0999741942500327E-2</v>
      </c>
    </row>
    <row r="620" spans="1:4" x14ac:dyDescent="0.3">
      <c r="A620" s="1">
        <v>38824</v>
      </c>
      <c r="B620">
        <v>1.7699119999999999</v>
      </c>
      <c r="C620">
        <f t="shared" si="11"/>
        <v>9.7701546166190385E-3</v>
      </c>
      <c r="D620">
        <f>(C620-meanrtn)/stdevrtns</f>
        <v>1.6273324445281947</v>
      </c>
    </row>
    <row r="621" spans="1:4" x14ac:dyDescent="0.3">
      <c r="A621" s="1">
        <v>38825</v>
      </c>
      <c r="B621">
        <v>1.7839940000000001</v>
      </c>
      <c r="C621">
        <f t="shared" si="11"/>
        <v>7.9563277722283082E-3</v>
      </c>
      <c r="D621">
        <f>(C621-meanrtn)/stdevrtns</f>
        <v>1.3267083194171037</v>
      </c>
    </row>
    <row r="622" spans="1:4" x14ac:dyDescent="0.3">
      <c r="A622" s="1">
        <v>38826</v>
      </c>
      <c r="B622">
        <v>1.7919860000000001</v>
      </c>
      <c r="C622">
        <f t="shared" si="11"/>
        <v>4.4798356945146669E-3</v>
      </c>
      <c r="D622">
        <f>(C622-meanrtn)/stdevrtns</f>
        <v>0.75051363327584686</v>
      </c>
    </row>
    <row r="623" spans="1:4" x14ac:dyDescent="0.3">
      <c r="A623" s="1">
        <v>38827</v>
      </c>
      <c r="B623">
        <v>1.7779990000000001</v>
      </c>
      <c r="C623">
        <f t="shared" si="11"/>
        <v>-7.8053065146714154E-3</v>
      </c>
      <c r="D623">
        <f>(C623-meanrtn)/stdevrtns</f>
        <v>-1.2856289786405974</v>
      </c>
    </row>
    <row r="624" spans="1:4" x14ac:dyDescent="0.3">
      <c r="A624" s="1">
        <v>38828</v>
      </c>
      <c r="B624">
        <v>1.7826900000000001</v>
      </c>
      <c r="C624">
        <f t="shared" si="11"/>
        <v>2.6383591891783967E-3</v>
      </c>
      <c r="D624">
        <f>(C624-meanrtn)/stdevrtns</f>
        <v>0.44530684628769912</v>
      </c>
    </row>
    <row r="625" spans="1:4" x14ac:dyDescent="0.3">
      <c r="A625" s="1">
        <v>38831</v>
      </c>
      <c r="B625">
        <v>1.7872140000000001</v>
      </c>
      <c r="C625">
        <f t="shared" si="11"/>
        <v>2.5377379129293215E-3</v>
      </c>
      <c r="D625">
        <f>(C625-meanrtn)/stdevrtns</f>
        <v>0.4286298502263135</v>
      </c>
    </row>
    <row r="626" spans="1:4" x14ac:dyDescent="0.3">
      <c r="A626" s="1">
        <v>38832</v>
      </c>
      <c r="B626">
        <v>1.7878849999999999</v>
      </c>
      <c r="C626">
        <f t="shared" si="11"/>
        <v>3.7544468653438599E-4</v>
      </c>
      <c r="D626">
        <f>(C626-meanrtn)/stdevrtns</f>
        <v>7.0250817834737272E-2</v>
      </c>
    </row>
    <row r="627" spans="1:4" x14ac:dyDescent="0.3">
      <c r="A627" s="1">
        <v>38833</v>
      </c>
      <c r="B627">
        <v>1.784886</v>
      </c>
      <c r="C627">
        <f t="shared" si="11"/>
        <v>-1.6774009514034594E-3</v>
      </c>
      <c r="D627">
        <f>(C627-meanrtn)/stdevrtns</f>
        <v>-0.26998834325259463</v>
      </c>
    </row>
    <row r="628" spans="1:4" x14ac:dyDescent="0.3">
      <c r="A628" s="1">
        <v>38834</v>
      </c>
      <c r="B628">
        <v>1.8018989999999999</v>
      </c>
      <c r="C628">
        <f t="shared" si="11"/>
        <v>9.5317011842772845E-3</v>
      </c>
      <c r="D628">
        <f>(C628-meanrtn)/stdevrtns</f>
        <v>1.5878111116627327</v>
      </c>
    </row>
    <row r="629" spans="1:4" x14ac:dyDescent="0.3">
      <c r="A629" s="1">
        <v>38835</v>
      </c>
      <c r="B629">
        <v>1.8259840000000001</v>
      </c>
      <c r="C629">
        <f t="shared" si="11"/>
        <v>1.3366453946641923E-2</v>
      </c>
      <c r="D629">
        <f>(C629-meanrtn)/stdevrtns</f>
        <v>2.2233840153102387</v>
      </c>
    </row>
    <row r="630" spans="1:4" x14ac:dyDescent="0.3">
      <c r="A630" s="1">
        <v>38838</v>
      </c>
      <c r="B630">
        <v>1.8252839999999999</v>
      </c>
      <c r="C630">
        <f t="shared" si="11"/>
        <v>-3.8335494725043865E-4</v>
      </c>
      <c r="D630">
        <f>(C630-meanrtn)/stdevrtns</f>
        <v>-5.5512827546640491E-2</v>
      </c>
    </row>
    <row r="631" spans="1:4" x14ac:dyDescent="0.3">
      <c r="A631" s="1">
        <v>38839</v>
      </c>
      <c r="B631">
        <v>1.839013</v>
      </c>
      <c r="C631">
        <f t="shared" si="11"/>
        <v>7.5215692462105091E-3</v>
      </c>
      <c r="D631">
        <f>(C631-meanrtn)/stdevrtns</f>
        <v>1.254651330116898</v>
      </c>
    </row>
    <row r="632" spans="1:4" x14ac:dyDescent="0.3">
      <c r="A632" s="1">
        <v>38840</v>
      </c>
      <c r="B632">
        <v>1.839486</v>
      </c>
      <c r="C632">
        <f t="shared" si="11"/>
        <v>2.5720318453428316E-4</v>
      </c>
      <c r="D632">
        <f>(C632-meanrtn)/stdevrtns</f>
        <v>5.0653441050658228E-2</v>
      </c>
    </row>
    <row r="633" spans="1:4" x14ac:dyDescent="0.3">
      <c r="A633" s="1">
        <v>38841</v>
      </c>
      <c r="B633">
        <v>1.8519890000000001</v>
      </c>
      <c r="C633">
        <f t="shared" si="11"/>
        <v>6.7970074249002997E-3</v>
      </c>
      <c r="D633">
        <f>(C633-meanrtn)/stdevrtns</f>
        <v>1.1345622685320547</v>
      </c>
    </row>
    <row r="634" spans="1:4" x14ac:dyDescent="0.3">
      <c r="A634" s="1">
        <v>38842</v>
      </c>
      <c r="B634">
        <v>1.8595999999999999</v>
      </c>
      <c r="C634">
        <f t="shared" si="11"/>
        <v>4.1096356403843718E-3</v>
      </c>
      <c r="D634">
        <f>(C634-meanrtn)/stdevrtns</f>
        <v>0.6891565816183709</v>
      </c>
    </row>
    <row r="635" spans="1:4" x14ac:dyDescent="0.3">
      <c r="A635" s="1">
        <v>38845</v>
      </c>
      <c r="B635">
        <v>1.858114</v>
      </c>
      <c r="C635">
        <f t="shared" si="11"/>
        <v>-7.9909657990959149E-4</v>
      </c>
      <c r="D635">
        <f>(C635-meanrtn)/stdevrtns</f>
        <v>-0.12441795207764073</v>
      </c>
    </row>
    <row r="636" spans="1:4" x14ac:dyDescent="0.3">
      <c r="A636" s="1">
        <v>38846</v>
      </c>
      <c r="B636">
        <v>1.867588</v>
      </c>
      <c r="C636">
        <f t="shared" si="11"/>
        <v>5.0987183778820793E-3</v>
      </c>
      <c r="D636">
        <f>(C636-meanrtn)/stdevrtns</f>
        <v>0.85308740750853984</v>
      </c>
    </row>
    <row r="637" spans="1:4" x14ac:dyDescent="0.3">
      <c r="A637" s="1">
        <v>38847</v>
      </c>
      <c r="B637">
        <v>1.862614</v>
      </c>
      <c r="C637">
        <f t="shared" si="11"/>
        <v>-2.6633283143819909E-3</v>
      </c>
      <c r="D637">
        <f>(C637-meanrtn)/stdevrtns</f>
        <v>-0.43339619656290645</v>
      </c>
    </row>
    <row r="638" spans="1:4" x14ac:dyDescent="0.3">
      <c r="A638" s="1">
        <v>38848</v>
      </c>
      <c r="B638">
        <v>1.885014</v>
      </c>
      <c r="C638">
        <f t="shared" si="11"/>
        <v>1.2026109542825285E-2</v>
      </c>
      <c r="D638">
        <f>(C638-meanrtn)/stdevrtns</f>
        <v>2.0012349910023133</v>
      </c>
    </row>
    <row r="639" spans="1:4" x14ac:dyDescent="0.3">
      <c r="A639" s="1">
        <v>38849</v>
      </c>
      <c r="B639">
        <v>1.8950880000000001</v>
      </c>
      <c r="C639">
        <f t="shared" si="11"/>
        <v>5.3442573901308632E-3</v>
      </c>
      <c r="D639">
        <f>(C639-meanrtn)/stdevrtns</f>
        <v>0.89378310620006896</v>
      </c>
    </row>
    <row r="640" spans="1:4" x14ac:dyDescent="0.3">
      <c r="A640" s="1">
        <v>38852</v>
      </c>
      <c r="B640">
        <v>1.8763129999999999</v>
      </c>
      <c r="C640">
        <f t="shared" si="11"/>
        <v>-9.9071916449263615E-3</v>
      </c>
      <c r="D640">
        <f>(C640-meanrtn)/stdevrtns</f>
        <v>-1.6339959577273773</v>
      </c>
    </row>
    <row r="641" spans="1:4" x14ac:dyDescent="0.3">
      <c r="A641" s="1">
        <v>38853</v>
      </c>
      <c r="B641">
        <v>1.8873979999999999</v>
      </c>
      <c r="C641">
        <f t="shared" si="11"/>
        <v>5.9078629205255263E-3</v>
      </c>
      <c r="D641">
        <f>(C641-meanrtn)/stdevrtns</f>
        <v>0.98719523096084305</v>
      </c>
    </row>
    <row r="642" spans="1:4" x14ac:dyDescent="0.3">
      <c r="A642" s="1">
        <v>38854</v>
      </c>
      <c r="B642">
        <v>1.882495</v>
      </c>
      <c r="C642">
        <f t="shared" si="11"/>
        <v>-2.5977562761006845E-3</v>
      </c>
      <c r="D642">
        <f>(C642-meanrtn)/stdevrtns</f>
        <v>-0.42252827016682853</v>
      </c>
    </row>
    <row r="643" spans="1:4" x14ac:dyDescent="0.3">
      <c r="A643" s="1">
        <v>38855</v>
      </c>
      <c r="B643">
        <v>1.893294</v>
      </c>
      <c r="C643">
        <f t="shared" si="11"/>
        <v>5.736535820812275E-3</v>
      </c>
      <c r="D643">
        <f>(C643-meanrtn)/stdevrtns</f>
        <v>0.95879943363410447</v>
      </c>
    </row>
    <row r="644" spans="1:4" x14ac:dyDescent="0.3">
      <c r="A644" s="1">
        <v>38856</v>
      </c>
      <c r="B644">
        <v>1.880017</v>
      </c>
      <c r="C644">
        <f t="shared" ref="C644:C707" si="12">(B644-B643)/B643</f>
        <v>-7.0126456852448605E-3</v>
      </c>
      <c r="D644">
        <f>(C644-meanrtn)/stdevrtns</f>
        <v>-1.1542531700328948</v>
      </c>
    </row>
    <row r="645" spans="1:4" x14ac:dyDescent="0.3">
      <c r="A645" s="1">
        <v>38859</v>
      </c>
      <c r="B645">
        <v>1.8850849999999999</v>
      </c>
      <c r="C645">
        <f t="shared" si="12"/>
        <v>2.6957203046567399E-3</v>
      </c>
      <c r="D645">
        <f>(C645-meanrtn)/stdevrtns</f>
        <v>0.45481389223830943</v>
      </c>
    </row>
    <row r="646" spans="1:4" x14ac:dyDescent="0.3">
      <c r="A646" s="1">
        <v>38860</v>
      </c>
      <c r="B646">
        <v>1.8770880000000001</v>
      </c>
      <c r="C646">
        <f t="shared" si="12"/>
        <v>-4.2422490232534929E-3</v>
      </c>
      <c r="D646">
        <f>(C646-meanrtn)/stdevrtns</f>
        <v>-0.69508691869119177</v>
      </c>
    </row>
    <row r="647" spans="1:4" x14ac:dyDescent="0.3">
      <c r="A647" s="1">
        <v>38861</v>
      </c>
      <c r="B647">
        <v>1.8712930000000001</v>
      </c>
      <c r="C647">
        <f t="shared" si="12"/>
        <v>-3.087228728754323E-3</v>
      </c>
      <c r="D647">
        <f>(C647-meanrtn)/stdevrtns</f>
        <v>-0.50365355966181735</v>
      </c>
    </row>
    <row r="648" spans="1:4" x14ac:dyDescent="0.3">
      <c r="A648" s="1">
        <v>38862</v>
      </c>
      <c r="B648">
        <v>1.87561</v>
      </c>
      <c r="C648">
        <f t="shared" si="12"/>
        <v>2.3069610157254389E-3</v>
      </c>
      <c r="D648">
        <f>(C648-meanrtn)/stdevrtns</f>
        <v>0.39038082825802667</v>
      </c>
    </row>
    <row r="649" spans="1:4" x14ac:dyDescent="0.3">
      <c r="A649" s="1">
        <v>38863</v>
      </c>
      <c r="B649">
        <v>1.859704</v>
      </c>
      <c r="C649">
        <f t="shared" si="12"/>
        <v>-8.4804410298516091E-3</v>
      </c>
      <c r="D649">
        <f>(C649-meanrtn)/stdevrtns</f>
        <v>-1.3975259458654496</v>
      </c>
    </row>
    <row r="650" spans="1:4" x14ac:dyDescent="0.3">
      <c r="A650" s="1">
        <v>38866</v>
      </c>
      <c r="B650">
        <v>1.8599110000000001</v>
      </c>
      <c r="C650">
        <f t="shared" si="12"/>
        <v>1.113080361176124E-4</v>
      </c>
      <c r="D650">
        <f>(C650-meanrtn)/stdevrtns</f>
        <v>2.6472741836535061E-2</v>
      </c>
    </row>
    <row r="651" spans="1:4" x14ac:dyDescent="0.3">
      <c r="A651" s="1">
        <v>38867</v>
      </c>
      <c r="B651">
        <v>1.881715</v>
      </c>
      <c r="C651">
        <f t="shared" si="12"/>
        <v>1.1723141591183629E-2</v>
      </c>
      <c r="D651">
        <f>(C651-meanrtn)/stdevrtns</f>
        <v>1.9510210052072328</v>
      </c>
    </row>
    <row r="652" spans="1:4" x14ac:dyDescent="0.3">
      <c r="A652" s="1">
        <v>38868</v>
      </c>
      <c r="B652">
        <v>1.8716079999999999</v>
      </c>
      <c r="C652">
        <f t="shared" si="12"/>
        <v>-5.3711640710735094E-3</v>
      </c>
      <c r="D652">
        <f>(C652-meanrtn)/stdevrtns</f>
        <v>-0.88219358745903464</v>
      </c>
    </row>
    <row r="653" spans="1:4" x14ac:dyDescent="0.3">
      <c r="A653" s="1">
        <v>38869</v>
      </c>
      <c r="B653">
        <v>1.866403</v>
      </c>
      <c r="C653">
        <f t="shared" si="12"/>
        <v>-2.7810310706087517E-3</v>
      </c>
      <c r="D653">
        <f>(C653-meanrtn)/stdevrtns</f>
        <v>-0.45290428148471701</v>
      </c>
    </row>
    <row r="654" spans="1:4" x14ac:dyDescent="0.3">
      <c r="A654" s="1">
        <v>38870</v>
      </c>
      <c r="B654">
        <v>1.8822110000000001</v>
      </c>
      <c r="C654">
        <f t="shared" si="12"/>
        <v>8.4697677832708384E-3</v>
      </c>
      <c r="D654">
        <f>(C654-meanrtn)/stdevrtns</f>
        <v>1.4118059981696403</v>
      </c>
    </row>
    <row r="655" spans="1:4" x14ac:dyDescent="0.3">
      <c r="A655" s="1">
        <v>38873</v>
      </c>
      <c r="B655">
        <v>1.8713979999999999</v>
      </c>
      <c r="C655">
        <f t="shared" si="12"/>
        <v>-5.7448394467996327E-3</v>
      </c>
      <c r="D655">
        <f>(C655-meanrtn)/stdevrtns</f>
        <v>-0.94412663980668476</v>
      </c>
    </row>
    <row r="656" spans="1:4" x14ac:dyDescent="0.3">
      <c r="A656" s="1">
        <v>38874</v>
      </c>
      <c r="B656">
        <v>1.8609150000000001</v>
      </c>
      <c r="C656">
        <f t="shared" si="12"/>
        <v>-5.601694562033196E-3</v>
      </c>
      <c r="D656">
        <f>(C656-meanrtn)/stdevrtns</f>
        <v>-0.92040176999338519</v>
      </c>
    </row>
    <row r="657" spans="1:4" x14ac:dyDescent="0.3">
      <c r="A657" s="1">
        <v>38875</v>
      </c>
      <c r="B657">
        <v>1.8572169999999999</v>
      </c>
      <c r="C657">
        <f t="shared" si="12"/>
        <v>-1.9871944715369595E-3</v>
      </c>
      <c r="D657">
        <f>(C657-meanrtn)/stdevrtns</f>
        <v>-0.32133360051528653</v>
      </c>
    </row>
    <row r="658" spans="1:4" x14ac:dyDescent="0.3">
      <c r="A658" s="1">
        <v>38876</v>
      </c>
      <c r="B658">
        <v>1.8431139999999999</v>
      </c>
      <c r="C658">
        <f t="shared" si="12"/>
        <v>-7.5936199162510241E-3</v>
      </c>
      <c r="D658">
        <f>(C658-meanrtn)/stdevrtns</f>
        <v>-1.2505439876754048</v>
      </c>
    </row>
    <row r="659" spans="1:4" x14ac:dyDescent="0.3">
      <c r="A659" s="1">
        <v>38877</v>
      </c>
      <c r="B659">
        <v>1.840705</v>
      </c>
      <c r="C659">
        <f t="shared" si="12"/>
        <v>-1.307027129086906E-3</v>
      </c>
      <c r="D659">
        <f>(C659-meanrtn)/stdevrtns</f>
        <v>-0.20860249121148366</v>
      </c>
    </row>
    <row r="660" spans="1:4" x14ac:dyDescent="0.3">
      <c r="A660" s="1">
        <v>38880</v>
      </c>
      <c r="B660">
        <v>1.84179</v>
      </c>
      <c r="C660">
        <f t="shared" si="12"/>
        <v>5.8944806473606721E-4</v>
      </c>
      <c r="D660">
        <f>(C660-meanrtn)/stdevrtns</f>
        <v>0.10571979247344297</v>
      </c>
    </row>
    <row r="661" spans="1:4" x14ac:dyDescent="0.3">
      <c r="A661" s="1">
        <v>38881</v>
      </c>
      <c r="B661">
        <v>1.8337859999999999</v>
      </c>
      <c r="C661">
        <f t="shared" si="12"/>
        <v>-4.3457723193198582E-3</v>
      </c>
      <c r="D661">
        <f>(C661-meanrtn)/stdevrtns</f>
        <v>-0.7122448962593434</v>
      </c>
    </row>
    <row r="662" spans="1:4" x14ac:dyDescent="0.3">
      <c r="A662" s="1">
        <v>38882</v>
      </c>
      <c r="B662">
        <v>1.844916</v>
      </c>
      <c r="C662">
        <f t="shared" si="12"/>
        <v>6.0694104982806528E-3</v>
      </c>
      <c r="D662">
        <f>(C662-meanrtn)/stdevrtns</f>
        <v>1.0139701678169375</v>
      </c>
    </row>
    <row r="663" spans="1:4" x14ac:dyDescent="0.3">
      <c r="A663" s="1">
        <v>38883</v>
      </c>
      <c r="B663">
        <v>1.8500019999999999</v>
      </c>
      <c r="C663">
        <f t="shared" si="12"/>
        <v>2.7567650776511906E-3</v>
      </c>
      <c r="D663">
        <f>(C663-meanrtn)/stdevrtns</f>
        <v>0.46493146852780703</v>
      </c>
    </row>
    <row r="664" spans="1:4" x14ac:dyDescent="0.3">
      <c r="A664" s="1">
        <v>38884</v>
      </c>
      <c r="B664">
        <v>1.8484970000000001</v>
      </c>
      <c r="C664">
        <f t="shared" si="12"/>
        <v>-8.1351263404032411E-4</v>
      </c>
      <c r="D664">
        <f>(C664-meanrtn)/stdevrtns</f>
        <v>-0.1268072725764568</v>
      </c>
    </row>
    <row r="665" spans="1:4" x14ac:dyDescent="0.3">
      <c r="A665" s="1">
        <v>38887</v>
      </c>
      <c r="B665">
        <v>1.8409089999999999</v>
      </c>
      <c r="C665">
        <f t="shared" si="12"/>
        <v>-4.1049566215147493E-3</v>
      </c>
      <c r="D665">
        <f>(C665-meanrtn)/stdevrtns</f>
        <v>-0.67233204091178933</v>
      </c>
    </row>
    <row r="666" spans="1:4" x14ac:dyDescent="0.3">
      <c r="A666" s="1">
        <v>38888</v>
      </c>
      <c r="B666">
        <v>1.843386</v>
      </c>
      <c r="C666">
        <f t="shared" si="12"/>
        <v>1.3455309306435368E-3</v>
      </c>
      <c r="D666">
        <f>(C666-meanrtn)/stdevrtns</f>
        <v>0.23103316005196126</v>
      </c>
    </row>
    <row r="667" spans="1:4" x14ac:dyDescent="0.3">
      <c r="A667" s="1">
        <v>38889</v>
      </c>
      <c r="B667">
        <v>1.845086</v>
      </c>
      <c r="C667">
        <f t="shared" si="12"/>
        <v>9.2221596561980774E-4</v>
      </c>
      <c r="D667">
        <f>(C667-meanrtn)/stdevrtns</f>
        <v>0.16087282947782794</v>
      </c>
    </row>
    <row r="668" spans="1:4" x14ac:dyDescent="0.3">
      <c r="A668" s="1">
        <v>38890</v>
      </c>
      <c r="B668">
        <v>1.828387</v>
      </c>
      <c r="C668">
        <f t="shared" si="12"/>
        <v>-9.0505266421185889E-3</v>
      </c>
      <c r="D668">
        <f>(C668-meanrtn)/stdevrtns</f>
        <v>-1.4920120810531494</v>
      </c>
    </row>
    <row r="669" spans="1:4" x14ac:dyDescent="0.3">
      <c r="A669" s="1">
        <v>38891</v>
      </c>
      <c r="B669">
        <v>1.8204990000000001</v>
      </c>
      <c r="C669">
        <f t="shared" si="12"/>
        <v>-4.3141851260153873E-3</v>
      </c>
      <c r="D669">
        <f>(C669-meanrtn)/stdevrtns</f>
        <v>-0.70700962676201651</v>
      </c>
    </row>
    <row r="670" spans="1:4" x14ac:dyDescent="0.3">
      <c r="A670" s="1">
        <v>38894</v>
      </c>
      <c r="B670">
        <v>1.8234870000000001</v>
      </c>
      <c r="C670">
        <f t="shared" si="12"/>
        <v>1.6413082347202556E-3</v>
      </c>
      <c r="D670">
        <f>(C670-meanrtn)/stdevrtns</f>
        <v>0.28005536608048021</v>
      </c>
    </row>
    <row r="671" spans="1:4" x14ac:dyDescent="0.3">
      <c r="A671" s="1">
        <v>38895</v>
      </c>
      <c r="B671">
        <v>1.820897</v>
      </c>
      <c r="C671">
        <f t="shared" si="12"/>
        <v>-1.4203556153677499E-3</v>
      </c>
      <c r="D671">
        <f>(C671-meanrtn)/stdevrtns</f>
        <v>-0.22738558351365265</v>
      </c>
    </row>
    <row r="672" spans="1:4" x14ac:dyDescent="0.3">
      <c r="A672" s="1">
        <v>38896</v>
      </c>
      <c r="B672">
        <v>1.8178840000000001</v>
      </c>
      <c r="C672">
        <f t="shared" si="12"/>
        <v>-1.6546789851375077E-3</v>
      </c>
      <c r="D672">
        <f>(C672-meanrtn)/stdevrtns</f>
        <v>-0.26622239875208753</v>
      </c>
    </row>
    <row r="673" spans="1:4" x14ac:dyDescent="0.3">
      <c r="A673" s="1">
        <v>38897</v>
      </c>
      <c r="B673">
        <v>1.828287</v>
      </c>
      <c r="C673">
        <f t="shared" si="12"/>
        <v>5.7225873598095037E-3</v>
      </c>
      <c r="D673">
        <f>(C673-meanrtn)/stdevrtns</f>
        <v>0.95648761213991285</v>
      </c>
    </row>
    <row r="674" spans="1:4" x14ac:dyDescent="0.3">
      <c r="A674" s="1">
        <v>38898</v>
      </c>
      <c r="B674">
        <v>1.84901</v>
      </c>
      <c r="C674">
        <f t="shared" si="12"/>
        <v>1.1334653694961484E-2</v>
      </c>
      <c r="D674">
        <f>(C674-meanrtn)/stdevrtns</f>
        <v>1.8866329219239795</v>
      </c>
    </row>
    <row r="675" spans="1:4" x14ac:dyDescent="0.3">
      <c r="A675" s="1">
        <v>38901</v>
      </c>
      <c r="B675">
        <v>1.842401</v>
      </c>
      <c r="C675">
        <f t="shared" si="12"/>
        <v>-3.5743451901288185E-3</v>
      </c>
      <c r="D675">
        <f>(C675-meanrtn)/stdevrtns</f>
        <v>-0.58438836655961013</v>
      </c>
    </row>
    <row r="676" spans="1:4" x14ac:dyDescent="0.3">
      <c r="A676" s="1">
        <v>38902</v>
      </c>
      <c r="B676">
        <v>1.844984</v>
      </c>
      <c r="C676">
        <f t="shared" si="12"/>
        <v>1.4019749229402297E-3</v>
      </c>
      <c r="D676">
        <f>(C676-meanrtn)/stdevrtns</f>
        <v>0.24038820177187262</v>
      </c>
    </row>
    <row r="677" spans="1:4" x14ac:dyDescent="0.3">
      <c r="A677" s="1">
        <v>38903</v>
      </c>
      <c r="B677">
        <v>1.8357049999999999</v>
      </c>
      <c r="C677">
        <f t="shared" si="12"/>
        <v>-5.0293119073119537E-3</v>
      </c>
      <c r="D677">
        <f>(C677-meanrtn)/stdevrtns</f>
        <v>-0.82553492240180226</v>
      </c>
    </row>
    <row r="678" spans="1:4" x14ac:dyDescent="0.3">
      <c r="A678" s="1">
        <v>38904</v>
      </c>
      <c r="B678">
        <v>1.8374919999999999</v>
      </c>
      <c r="C678">
        <f t="shared" si="12"/>
        <v>9.7346795917643803E-4</v>
      </c>
      <c r="D678">
        <f>(C678-meanrtn)/stdevrtns</f>
        <v>0.16936734799860589</v>
      </c>
    </row>
    <row r="679" spans="1:4" x14ac:dyDescent="0.3">
      <c r="A679" s="1">
        <v>38905</v>
      </c>
      <c r="B679">
        <v>1.8514060000000001</v>
      </c>
      <c r="C679">
        <f t="shared" si="12"/>
        <v>7.5722778656996627E-3</v>
      </c>
      <c r="D679">
        <f>(C679-meanrtn)/stdevrtns</f>
        <v>1.2630557896807537</v>
      </c>
    </row>
    <row r="680" spans="1:4" x14ac:dyDescent="0.3">
      <c r="A680" s="1">
        <v>38908</v>
      </c>
      <c r="B680">
        <v>1.8431139999999999</v>
      </c>
      <c r="C680">
        <f t="shared" si="12"/>
        <v>-4.4787583058498179E-3</v>
      </c>
      <c r="D680">
        <f>(C680-meanrtn)/stdevrtns</f>
        <v>-0.73428602768059192</v>
      </c>
    </row>
    <row r="681" spans="1:4" x14ac:dyDescent="0.3">
      <c r="A681" s="1">
        <v>38909</v>
      </c>
      <c r="B681">
        <v>1.845086</v>
      </c>
      <c r="C681">
        <f t="shared" si="12"/>
        <v>1.0699283929263652E-3</v>
      </c>
      <c r="D681">
        <f>(C681-meanrtn)/stdevrtns</f>
        <v>0.18535472495996563</v>
      </c>
    </row>
    <row r="682" spans="1:4" x14ac:dyDescent="0.3">
      <c r="A682" s="1">
        <v>38910</v>
      </c>
      <c r="B682">
        <v>1.8350979999999999</v>
      </c>
      <c r="C682">
        <f t="shared" si="12"/>
        <v>-5.4132978083406991E-3</v>
      </c>
      <c r="D682">
        <f>(C682-meanrtn)/stdevrtns</f>
        <v>-0.88917684385022788</v>
      </c>
    </row>
    <row r="683" spans="1:4" x14ac:dyDescent="0.3">
      <c r="A683" s="1">
        <v>38911</v>
      </c>
      <c r="B683">
        <v>1.844406</v>
      </c>
      <c r="C683">
        <f t="shared" si="12"/>
        <v>5.0722086776837502E-3</v>
      </c>
      <c r="D683">
        <f>(C683-meanrtn)/stdevrtns</f>
        <v>0.84869368301729331</v>
      </c>
    </row>
    <row r="684" spans="1:4" x14ac:dyDescent="0.3">
      <c r="A684" s="1">
        <v>38912</v>
      </c>
      <c r="B684">
        <v>1.836514</v>
      </c>
      <c r="C684">
        <f t="shared" si="12"/>
        <v>-4.2788843671078981E-3</v>
      </c>
      <c r="D684">
        <f>(C684-meanrtn)/stdevrtns</f>
        <v>-0.70115886995182819</v>
      </c>
    </row>
    <row r="685" spans="1:4" x14ac:dyDescent="0.3">
      <c r="A685" s="1">
        <v>38915</v>
      </c>
      <c r="B685">
        <v>1.819604</v>
      </c>
      <c r="C685">
        <f t="shared" si="12"/>
        <v>-9.207661907287383E-3</v>
      </c>
      <c r="D685">
        <f>(C685-meanrtn)/stdevrtns</f>
        <v>-1.5180557200926497</v>
      </c>
    </row>
    <row r="686" spans="1:4" x14ac:dyDescent="0.3">
      <c r="A686" s="1">
        <v>38916</v>
      </c>
      <c r="B686">
        <v>1.8255840000000001</v>
      </c>
      <c r="C686">
        <f t="shared" si="12"/>
        <v>3.2864293549586042E-3</v>
      </c>
      <c r="D686">
        <f>(C686-meanrtn)/stdevrtns</f>
        <v>0.55271816132075957</v>
      </c>
    </row>
    <row r="687" spans="1:4" x14ac:dyDescent="0.3">
      <c r="A687" s="1">
        <v>38917</v>
      </c>
      <c r="B687">
        <v>1.84291</v>
      </c>
      <c r="C687">
        <f t="shared" si="12"/>
        <v>9.4906616184190652E-3</v>
      </c>
      <c r="D687">
        <f>(C687-meanrtn)/stdevrtns</f>
        <v>1.5810092035207179</v>
      </c>
    </row>
    <row r="688" spans="1:4" x14ac:dyDescent="0.3">
      <c r="A688" s="1">
        <v>38918</v>
      </c>
      <c r="B688">
        <v>1.849283</v>
      </c>
      <c r="C688">
        <f t="shared" si="12"/>
        <v>3.4581178679371004E-3</v>
      </c>
      <c r="D688">
        <f>(C688-meanrtn)/stdevrtns</f>
        <v>0.58117385937451826</v>
      </c>
    </row>
    <row r="689" spans="1:4" x14ac:dyDescent="0.3">
      <c r="A689" s="1">
        <v>38919</v>
      </c>
      <c r="B689">
        <v>1.8587009999999999</v>
      </c>
      <c r="C689">
        <f t="shared" si="12"/>
        <v>5.0927846089538088E-3</v>
      </c>
      <c r="D689">
        <f>(C689-meanrtn)/stdevrtns</f>
        <v>0.85210394312869053</v>
      </c>
    </row>
    <row r="690" spans="1:4" x14ac:dyDescent="0.3">
      <c r="A690" s="1">
        <v>38922</v>
      </c>
      <c r="B690">
        <v>1.8496939999999999</v>
      </c>
      <c r="C690">
        <f t="shared" si="12"/>
        <v>-4.8458574025623206E-3</v>
      </c>
      <c r="D690">
        <f>(C690-meanrtn)/stdevrtns</f>
        <v>-0.79512912586251228</v>
      </c>
    </row>
    <row r="691" spans="1:4" x14ac:dyDescent="0.3">
      <c r="A691" s="1">
        <v>38923</v>
      </c>
      <c r="B691">
        <v>1.84101</v>
      </c>
      <c r="C691">
        <f t="shared" si="12"/>
        <v>-4.6948306044134408E-3</v>
      </c>
      <c r="D691">
        <f>(C691-meanrtn)/stdevrtns</f>
        <v>-0.77009790570925274</v>
      </c>
    </row>
    <row r="692" spans="1:4" x14ac:dyDescent="0.3">
      <c r="A692" s="1">
        <v>38924</v>
      </c>
      <c r="B692">
        <v>1.854393</v>
      </c>
      <c r="C692">
        <f t="shared" si="12"/>
        <v>7.2693793080971436E-3</v>
      </c>
      <c r="D692">
        <f>(C692-meanrtn)/stdevrtns</f>
        <v>1.2128533052714685</v>
      </c>
    </row>
    <row r="693" spans="1:4" x14ac:dyDescent="0.3">
      <c r="A693" s="1">
        <v>38925</v>
      </c>
      <c r="B693">
        <v>1.8580110000000001</v>
      </c>
      <c r="C693">
        <f t="shared" si="12"/>
        <v>1.9510427401312027E-3</v>
      </c>
      <c r="D693">
        <f>(C693-meanrtn)/stdevrtns</f>
        <v>0.331390842227962</v>
      </c>
    </row>
    <row r="694" spans="1:4" x14ac:dyDescent="0.3">
      <c r="A694" s="1">
        <v>38926</v>
      </c>
      <c r="B694">
        <v>1.865011</v>
      </c>
      <c r="C694">
        <f t="shared" si="12"/>
        <v>3.7674696220850656E-3</v>
      </c>
      <c r="D694">
        <f>(C694-meanrtn)/stdevrtns</f>
        <v>0.63244589822977737</v>
      </c>
    </row>
    <row r="695" spans="1:4" x14ac:dyDescent="0.3">
      <c r="A695" s="1">
        <v>38929</v>
      </c>
      <c r="B695">
        <v>1.8682160000000001</v>
      </c>
      <c r="C695">
        <f t="shared" si="12"/>
        <v>1.7184885236602488E-3</v>
      </c>
      <c r="D695">
        <f>(C695-meanrtn)/stdevrtns</f>
        <v>0.29284724690976655</v>
      </c>
    </row>
    <row r="696" spans="1:4" x14ac:dyDescent="0.3">
      <c r="A696" s="1">
        <v>38930</v>
      </c>
      <c r="B696">
        <v>1.8759969999999999</v>
      </c>
      <c r="C696">
        <f t="shared" si="12"/>
        <v>4.1649359602957126E-3</v>
      </c>
      <c r="D696">
        <f>(C696-meanrtn)/stdevrtns</f>
        <v>0.69832207078461739</v>
      </c>
    </row>
    <row r="697" spans="1:4" x14ac:dyDescent="0.3">
      <c r="A697" s="1">
        <v>38931</v>
      </c>
      <c r="B697">
        <v>1.8781110000000001</v>
      </c>
      <c r="C697">
        <f t="shared" si="12"/>
        <v>1.1268674736687593E-3</v>
      </c>
      <c r="D697">
        <f>(C697-meanrtn)/stdevrtns</f>
        <v>0.19479182276549609</v>
      </c>
    </row>
    <row r="698" spans="1:4" x14ac:dyDescent="0.3">
      <c r="A698" s="1">
        <v>38932</v>
      </c>
      <c r="B698">
        <v>1.887184</v>
      </c>
      <c r="C698">
        <f t="shared" si="12"/>
        <v>4.8309178743960743E-3</v>
      </c>
      <c r="D698">
        <f>(C698-meanrtn)/stdevrtns</f>
        <v>0.80870208356554096</v>
      </c>
    </row>
    <row r="699" spans="1:4" x14ac:dyDescent="0.3">
      <c r="A699" s="1">
        <v>38933</v>
      </c>
      <c r="B699">
        <v>1.9097820000000001</v>
      </c>
      <c r="C699">
        <f t="shared" si="12"/>
        <v>1.1974455061085786E-2</v>
      </c>
      <c r="D699">
        <f>(C699-meanrtn)/stdevrtns</f>
        <v>1.9926737639871626</v>
      </c>
    </row>
    <row r="700" spans="1:4" x14ac:dyDescent="0.3">
      <c r="A700" s="1">
        <v>38936</v>
      </c>
      <c r="B700">
        <v>1.904798</v>
      </c>
      <c r="C700">
        <f t="shared" si="12"/>
        <v>-2.609721947321788E-3</v>
      </c>
      <c r="D700">
        <f>(C700-meanrtn)/stdevrtns</f>
        <v>-0.42451146357546921</v>
      </c>
    </row>
    <row r="701" spans="1:4" x14ac:dyDescent="0.3">
      <c r="A701" s="1">
        <v>38937</v>
      </c>
      <c r="B701">
        <v>1.89811</v>
      </c>
      <c r="C701">
        <f t="shared" si="12"/>
        <v>-3.5111334640208713E-3</v>
      </c>
      <c r="D701">
        <f>(C701-meanrtn)/stdevrtns</f>
        <v>-0.57391163890684083</v>
      </c>
    </row>
    <row r="702" spans="1:4" x14ac:dyDescent="0.3">
      <c r="A702" s="1">
        <v>38938</v>
      </c>
      <c r="B702">
        <v>1.9062870000000001</v>
      </c>
      <c r="C702">
        <f t="shared" si="12"/>
        <v>4.3079695065091593E-3</v>
      </c>
      <c r="D702">
        <f>(C702-meanrtn)/stdevrtns</f>
        <v>0.72202848731766733</v>
      </c>
    </row>
    <row r="703" spans="1:4" x14ac:dyDescent="0.3">
      <c r="A703" s="1">
        <v>38939</v>
      </c>
      <c r="B703">
        <v>1.894334</v>
      </c>
      <c r="C703">
        <f t="shared" si="12"/>
        <v>-6.2703045239253597E-3</v>
      </c>
      <c r="D703">
        <f>(C703-meanrtn)/stdevrtns</f>
        <v>-1.0312173560874969</v>
      </c>
    </row>
    <row r="704" spans="1:4" x14ac:dyDescent="0.3">
      <c r="A704" s="1">
        <v>38940</v>
      </c>
      <c r="B704">
        <v>1.8907879999999999</v>
      </c>
      <c r="C704">
        <f t="shared" si="12"/>
        <v>-1.8718979863107821E-3</v>
      </c>
      <c r="D704">
        <f>(C704-meanrtn)/stdevrtns</f>
        <v>-0.30222433156456369</v>
      </c>
    </row>
    <row r="705" spans="1:4" x14ac:dyDescent="0.3">
      <c r="A705" s="1">
        <v>38943</v>
      </c>
      <c r="B705">
        <v>1.888503</v>
      </c>
      <c r="C705">
        <f t="shared" si="12"/>
        <v>-1.2084908514333021E-3</v>
      </c>
      <c r="D705">
        <f>(C705-meanrtn)/stdevrtns</f>
        <v>-0.19227106335059074</v>
      </c>
    </row>
    <row r="706" spans="1:4" x14ac:dyDescent="0.3">
      <c r="A706" s="1">
        <v>38944</v>
      </c>
      <c r="B706">
        <v>1.894585</v>
      </c>
      <c r="C706">
        <f t="shared" si="12"/>
        <v>3.220540290378104E-3</v>
      </c>
      <c r="D706">
        <f>(C706-meanrtn)/stdevrtns</f>
        <v>0.54179769090476759</v>
      </c>
    </row>
    <row r="707" spans="1:4" x14ac:dyDescent="0.3">
      <c r="A707" s="1">
        <v>38945</v>
      </c>
      <c r="B707">
        <v>1.8963099999999999</v>
      </c>
      <c r="C707">
        <f t="shared" si="12"/>
        <v>9.1048963229413123E-4</v>
      </c>
      <c r="D707">
        <f>(C707-meanrtn)/stdevrtns</f>
        <v>0.15892930399319072</v>
      </c>
    </row>
    <row r="708" spans="1:4" x14ac:dyDescent="0.3">
      <c r="A708" s="1">
        <v>38946</v>
      </c>
      <c r="B708">
        <v>1.8852979999999999</v>
      </c>
      <c r="C708">
        <f t="shared" ref="C708:C771" si="13">(B708-B707)/B707</f>
        <v>-5.8070674098644323E-3</v>
      </c>
      <c r="D708">
        <f>(C708-meanrtn)/stdevrtns</f>
        <v>-0.95444031832106602</v>
      </c>
    </row>
    <row r="709" spans="1:4" x14ac:dyDescent="0.3">
      <c r="A709" s="1">
        <v>38947</v>
      </c>
      <c r="B709">
        <v>1.881715</v>
      </c>
      <c r="C709">
        <f t="shared" si="13"/>
        <v>-1.9004953063122604E-3</v>
      </c>
      <c r="D709">
        <f>(C709-meanrtn)/stdevrtns</f>
        <v>-0.30696405869593385</v>
      </c>
    </row>
    <row r="710" spans="1:4" x14ac:dyDescent="0.3">
      <c r="A710" s="1">
        <v>38950</v>
      </c>
      <c r="B710">
        <v>1.8916109999999999</v>
      </c>
      <c r="C710">
        <f t="shared" si="13"/>
        <v>5.2590323189217842E-3</v>
      </c>
      <c r="D710">
        <f>(C710-meanrtn)/stdevrtns</f>
        <v>0.87965788109989362</v>
      </c>
    </row>
    <row r="711" spans="1:4" x14ac:dyDescent="0.3">
      <c r="A711" s="1">
        <v>38951</v>
      </c>
      <c r="B711">
        <v>1.8887879999999999</v>
      </c>
      <c r="C711">
        <f t="shared" si="13"/>
        <v>-1.4923787184574523E-3</v>
      </c>
      <c r="D711">
        <f>(C711-meanrtn)/stdevrtns</f>
        <v>-0.2393227110410604</v>
      </c>
    </row>
    <row r="712" spans="1:4" x14ac:dyDescent="0.3">
      <c r="A712" s="1">
        <v>38952</v>
      </c>
      <c r="B712">
        <v>1.892112</v>
      </c>
      <c r="C712">
        <f t="shared" si="13"/>
        <v>1.7598587030413708E-3</v>
      </c>
      <c r="D712">
        <f>(C712-meanrtn)/stdevrtns</f>
        <v>0.299703951021628</v>
      </c>
    </row>
    <row r="713" spans="1:4" x14ac:dyDescent="0.3">
      <c r="A713" s="1">
        <v>38953</v>
      </c>
      <c r="B713">
        <v>1.8881110000000001</v>
      </c>
      <c r="C713">
        <f t="shared" si="13"/>
        <v>-2.1145682707999955E-3</v>
      </c>
      <c r="D713">
        <f>(C713-meanrtn)/stdevrtns</f>
        <v>-0.34244456658348815</v>
      </c>
    </row>
    <row r="714" spans="1:4" x14ac:dyDescent="0.3">
      <c r="A714" s="1">
        <v>38954</v>
      </c>
      <c r="B714">
        <v>1.888004</v>
      </c>
      <c r="C714">
        <f t="shared" si="13"/>
        <v>-5.6670397026487978E-5</v>
      </c>
      <c r="D714">
        <f>(C714-meanrtn)/stdevrtns</f>
        <v>-1.3680466365452568E-3</v>
      </c>
    </row>
    <row r="715" spans="1:4" x14ac:dyDescent="0.3">
      <c r="A715" s="1">
        <v>38957</v>
      </c>
      <c r="B715">
        <v>1.8950880000000001</v>
      </c>
      <c r="C715">
        <f t="shared" si="13"/>
        <v>3.7521106946807794E-3</v>
      </c>
      <c r="D715">
        <f>(C715-meanrtn)/stdevrtns</f>
        <v>0.62990030567344413</v>
      </c>
    </row>
    <row r="716" spans="1:4" x14ac:dyDescent="0.3">
      <c r="A716" s="1">
        <v>38958</v>
      </c>
      <c r="B716">
        <v>1.8996960000000001</v>
      </c>
      <c r="C716">
        <f t="shared" si="13"/>
        <v>2.4315493528532421E-3</v>
      </c>
      <c r="D716">
        <f>(C716-meanrtn)/stdevrtns</f>
        <v>0.41103013111949827</v>
      </c>
    </row>
    <row r="717" spans="1:4" x14ac:dyDescent="0.3">
      <c r="A717" s="1">
        <v>38959</v>
      </c>
      <c r="B717">
        <v>1.905089</v>
      </c>
      <c r="C717">
        <f t="shared" si="13"/>
        <v>2.8388752726751969E-3</v>
      </c>
      <c r="D717">
        <f>(C717-meanrtn)/stdevrtns</f>
        <v>0.47854043325237777</v>
      </c>
    </row>
    <row r="718" spans="1:4" x14ac:dyDescent="0.3">
      <c r="A718" s="1">
        <v>38960</v>
      </c>
      <c r="B718">
        <v>1.9030940000000001</v>
      </c>
      <c r="C718">
        <f t="shared" si="13"/>
        <v>-1.0471951704093452E-3</v>
      </c>
      <c r="D718">
        <f>(C718-meanrtn)/stdevrtns</f>
        <v>-0.16553787592314786</v>
      </c>
    </row>
    <row r="719" spans="1:4" x14ac:dyDescent="0.3">
      <c r="A719" s="1">
        <v>38961</v>
      </c>
      <c r="B719">
        <v>1.905996</v>
      </c>
      <c r="C719">
        <f t="shared" si="13"/>
        <v>1.524885265782962E-3</v>
      </c>
      <c r="D719">
        <f>(C719-meanrtn)/stdevrtns</f>
        <v>0.26075939343135662</v>
      </c>
    </row>
    <row r="720" spans="1:4" x14ac:dyDescent="0.3">
      <c r="A720" s="1">
        <v>38964</v>
      </c>
      <c r="B720">
        <v>1.905597</v>
      </c>
      <c r="C720">
        <f t="shared" si="13"/>
        <v>-2.0933936902283018E-4</v>
      </c>
      <c r="D720">
        <f>(C720-meanrtn)/stdevrtns</f>
        <v>-2.6671441103301337E-2</v>
      </c>
    </row>
    <row r="721" spans="1:4" x14ac:dyDescent="0.3">
      <c r="A721" s="1">
        <v>38965</v>
      </c>
      <c r="B721">
        <v>1.895016</v>
      </c>
      <c r="C721">
        <f t="shared" si="13"/>
        <v>-5.5525906054637742E-3</v>
      </c>
      <c r="D721">
        <f>(C721-meanrtn)/stdevrtns</f>
        <v>-0.91226326767226973</v>
      </c>
    </row>
    <row r="722" spans="1:4" x14ac:dyDescent="0.3">
      <c r="A722" s="1">
        <v>38966</v>
      </c>
      <c r="B722">
        <v>1.88601</v>
      </c>
      <c r="C722">
        <f t="shared" si="13"/>
        <v>-4.7524664699401323E-3</v>
      </c>
      <c r="D722">
        <f>(C722-meanrtn)/stdevrtns</f>
        <v>-0.77965048880314902</v>
      </c>
    </row>
    <row r="723" spans="1:4" x14ac:dyDescent="0.3">
      <c r="A723" s="1">
        <v>38967</v>
      </c>
      <c r="B723">
        <v>1.875785</v>
      </c>
      <c r="C723">
        <f t="shared" si="13"/>
        <v>-5.4214982953430411E-3</v>
      </c>
      <c r="D723">
        <f>(C723-meanrtn)/stdevrtns</f>
        <v>-0.89053599466343136</v>
      </c>
    </row>
    <row r="724" spans="1:4" x14ac:dyDescent="0.3">
      <c r="A724" s="1">
        <v>38968</v>
      </c>
      <c r="B724">
        <v>1.8660890000000001</v>
      </c>
      <c r="C724">
        <f t="shared" si="13"/>
        <v>-5.1690358969710953E-3</v>
      </c>
      <c r="D724">
        <f>(C724-meanrtn)/stdevrtns</f>
        <v>-0.84869281218505777</v>
      </c>
    </row>
    <row r="725" spans="1:4" x14ac:dyDescent="0.3">
      <c r="A725" s="1">
        <v>38971</v>
      </c>
      <c r="B725">
        <v>1.8660890000000001</v>
      </c>
      <c r="C725">
        <f t="shared" si="13"/>
        <v>0</v>
      </c>
      <c r="D725">
        <f>(C725-meanrtn)/stdevrtns</f>
        <v>8.0245194611897972E-3</v>
      </c>
    </row>
    <row r="726" spans="1:4" x14ac:dyDescent="0.3">
      <c r="A726" s="1">
        <v>38972</v>
      </c>
      <c r="B726">
        <v>1.875399</v>
      </c>
      <c r="C726">
        <f t="shared" si="13"/>
        <v>4.9890439309164406E-3</v>
      </c>
      <c r="D726">
        <f>(C726-meanrtn)/stdevrtns</f>
        <v>0.83490993661706514</v>
      </c>
    </row>
    <row r="727" spans="1:4" x14ac:dyDescent="0.3">
      <c r="A727" s="1">
        <v>38973</v>
      </c>
      <c r="B727">
        <v>1.8776870000000001</v>
      </c>
      <c r="C727">
        <f t="shared" si="13"/>
        <v>1.2200070491666401E-3</v>
      </c>
      <c r="D727">
        <f>(C727-meanrtn)/stdevrtns</f>
        <v>0.21022879983078707</v>
      </c>
    </row>
    <row r="728" spans="1:4" x14ac:dyDescent="0.3">
      <c r="A728" s="1">
        <v>38974</v>
      </c>
      <c r="B728">
        <v>1.8859030000000001</v>
      </c>
      <c r="C728">
        <f t="shared" si="13"/>
        <v>4.3755961456834929E-3</v>
      </c>
      <c r="D728">
        <f>(C728-meanrtn)/stdevrtns</f>
        <v>0.73323694379126003</v>
      </c>
    </row>
    <row r="729" spans="1:4" x14ac:dyDescent="0.3">
      <c r="A729" s="1">
        <v>38975</v>
      </c>
      <c r="B729">
        <v>1.877899</v>
      </c>
      <c r="C729">
        <f t="shared" si="13"/>
        <v>-4.2441207209491273E-3</v>
      </c>
      <c r="D729">
        <f>(C729-meanrtn)/stdevrtns</f>
        <v>-0.6953971343459896</v>
      </c>
    </row>
    <row r="730" spans="1:4" x14ac:dyDescent="0.3">
      <c r="A730" s="1">
        <v>38978</v>
      </c>
      <c r="B730">
        <v>1.881184</v>
      </c>
      <c r="C730">
        <f t="shared" si="13"/>
        <v>1.7492953561400173E-3</v>
      </c>
      <c r="D730">
        <f>(C730-meanrtn)/stdevrtns</f>
        <v>0.29795317920441466</v>
      </c>
    </row>
    <row r="731" spans="1:4" x14ac:dyDescent="0.3">
      <c r="A731" s="1">
        <v>38979</v>
      </c>
      <c r="B731">
        <v>1.881786</v>
      </c>
      <c r="C731">
        <f t="shared" si="13"/>
        <v>3.2001122697194502E-4</v>
      </c>
      <c r="D731">
        <f>(C731-meanrtn)/stdevrtns</f>
        <v>6.1063262068664373E-2</v>
      </c>
    </row>
    <row r="732" spans="1:4" x14ac:dyDescent="0.3">
      <c r="A732" s="1">
        <v>38980</v>
      </c>
      <c r="B732">
        <v>1.8872910000000001</v>
      </c>
      <c r="C732">
        <f t="shared" si="13"/>
        <v>2.9254123476315018E-3</v>
      </c>
      <c r="D732">
        <f>(C732-meanrtn)/stdevrtns</f>
        <v>0.49288311018918907</v>
      </c>
    </row>
    <row r="733" spans="1:4" x14ac:dyDescent="0.3">
      <c r="A733" s="1">
        <v>38981</v>
      </c>
      <c r="B733">
        <v>1.9021889999999999</v>
      </c>
      <c r="C733">
        <f t="shared" si="13"/>
        <v>7.8938542069028339E-3</v>
      </c>
      <c r="D733">
        <f>(C733-meanrtn)/stdevrtns</f>
        <v>1.3163539347212205</v>
      </c>
    </row>
    <row r="734" spans="1:4" x14ac:dyDescent="0.3">
      <c r="A734" s="1">
        <v>38982</v>
      </c>
      <c r="B734">
        <v>1.901683</v>
      </c>
      <c r="C734">
        <f t="shared" si="13"/>
        <v>-2.6600931873746269E-4</v>
      </c>
      <c r="D734">
        <f>(C734-meanrtn)/stdevrtns</f>
        <v>-3.606393306345506E-2</v>
      </c>
    </row>
    <row r="735" spans="1:4" x14ac:dyDescent="0.3">
      <c r="A735" s="1">
        <v>38985</v>
      </c>
      <c r="B735">
        <v>1.9005989999999999</v>
      </c>
      <c r="C735">
        <f t="shared" si="13"/>
        <v>-5.700213968364259E-4</v>
      </c>
      <c r="D735">
        <f>(C735-meanrtn)/stdevrtns</f>
        <v>-8.6450972644625673E-2</v>
      </c>
    </row>
    <row r="736" spans="1:4" x14ac:dyDescent="0.3">
      <c r="A736" s="1">
        <v>38986</v>
      </c>
      <c r="B736">
        <v>1.895016</v>
      </c>
      <c r="C736">
        <f t="shared" si="13"/>
        <v>-2.9374949686913937E-3</v>
      </c>
      <c r="D736">
        <f>(C736-meanrtn)/stdevrtns</f>
        <v>-0.47883664797164316</v>
      </c>
    </row>
    <row r="737" spans="1:4" x14ac:dyDescent="0.3">
      <c r="A737" s="1">
        <v>38987</v>
      </c>
      <c r="B737">
        <v>1.8892880000000001</v>
      </c>
      <c r="C737">
        <f t="shared" si="13"/>
        <v>-3.0226657716873923E-3</v>
      </c>
      <c r="D737">
        <f>(C737-meanrtn)/stdevrtns</f>
        <v>-0.49295287864430243</v>
      </c>
    </row>
    <row r="738" spans="1:4" x14ac:dyDescent="0.3">
      <c r="A738" s="1">
        <v>38988</v>
      </c>
      <c r="B738">
        <v>1.876701</v>
      </c>
      <c r="C738">
        <f t="shared" si="13"/>
        <v>-6.6622981779379982E-3</v>
      </c>
      <c r="D738">
        <f>(C738-meanrtn)/stdevrtns</f>
        <v>-1.0961864845636127</v>
      </c>
    </row>
    <row r="739" spans="1:4" x14ac:dyDescent="0.3">
      <c r="A739" s="1">
        <v>38989</v>
      </c>
      <c r="B739">
        <v>1.871713</v>
      </c>
      <c r="C739">
        <f t="shared" si="13"/>
        <v>-2.6578554601931754E-3</v>
      </c>
      <c r="D739">
        <f>(C739-meanrtn)/stdevrtns</f>
        <v>-0.43248912430986242</v>
      </c>
    </row>
    <row r="740" spans="1:4" x14ac:dyDescent="0.3">
      <c r="A740" s="1">
        <v>38992</v>
      </c>
      <c r="B740">
        <v>1.8868990000000001</v>
      </c>
      <c r="C740">
        <f t="shared" si="13"/>
        <v>8.1134233720662006E-3</v>
      </c>
      <c r="D740">
        <f>(C740-meanrtn)/stdevrtns</f>
        <v>1.352745384314515</v>
      </c>
    </row>
    <row r="741" spans="1:4" x14ac:dyDescent="0.3">
      <c r="A741" s="1">
        <v>38993</v>
      </c>
      <c r="B741">
        <v>1.8859030000000001</v>
      </c>
      <c r="C741">
        <f t="shared" si="13"/>
        <v>-5.2785019229963917E-4</v>
      </c>
      <c r="D741">
        <f>(C741-meanrtn)/stdevrtns</f>
        <v>-7.9461506418586417E-2</v>
      </c>
    </row>
    <row r="742" spans="1:4" x14ac:dyDescent="0.3">
      <c r="A742" s="1">
        <v>38994</v>
      </c>
      <c r="B742">
        <v>1.886401</v>
      </c>
      <c r="C742">
        <f t="shared" si="13"/>
        <v>2.6406448263770058E-4</v>
      </c>
      <c r="D742">
        <f>(C742-meanrtn)/stdevrtns</f>
        <v>5.1790634353230128E-2</v>
      </c>
    </row>
    <row r="743" spans="1:4" x14ac:dyDescent="0.3">
      <c r="A743" s="1">
        <v>38995</v>
      </c>
      <c r="B743">
        <v>1.8786050000000001</v>
      </c>
      <c r="C743">
        <f t="shared" si="13"/>
        <v>-4.1327374190322811E-3</v>
      </c>
      <c r="D743">
        <f>(C743-meanrtn)/stdevrtns</f>
        <v>-0.67693643739782861</v>
      </c>
    </row>
    <row r="744" spans="1:4" x14ac:dyDescent="0.3">
      <c r="A744" s="1">
        <v>38996</v>
      </c>
      <c r="B744">
        <v>1.8712930000000001</v>
      </c>
      <c r="C744">
        <f t="shared" si="13"/>
        <v>-3.8922498343185422E-3</v>
      </c>
      <c r="D744">
        <f>(C744-meanrtn)/stdevrtns</f>
        <v>-0.63707796359795943</v>
      </c>
    </row>
    <row r="745" spans="1:4" x14ac:dyDescent="0.3">
      <c r="A745" s="1">
        <v>38999</v>
      </c>
      <c r="B745">
        <v>1.867483</v>
      </c>
      <c r="C745">
        <f t="shared" si="13"/>
        <v>-2.0360253578675766E-3</v>
      </c>
      <c r="D745">
        <f>(C745-meanrtn)/stdevrtns</f>
        <v>-0.32942684410517942</v>
      </c>
    </row>
    <row r="746" spans="1:4" x14ac:dyDescent="0.3">
      <c r="A746" s="1">
        <v>39000</v>
      </c>
      <c r="B746">
        <v>1.8536029999999999</v>
      </c>
      <c r="C746">
        <f t="shared" si="13"/>
        <v>-7.4324639099794289E-3</v>
      </c>
      <c r="D746">
        <f>(C746-meanrtn)/stdevrtns</f>
        <v>-1.2238339499771427</v>
      </c>
    </row>
    <row r="747" spans="1:4" x14ac:dyDescent="0.3">
      <c r="A747" s="1">
        <v>39001</v>
      </c>
      <c r="B747">
        <v>1.85484</v>
      </c>
      <c r="C747">
        <f t="shared" si="13"/>
        <v>6.6734894149402793E-4</v>
      </c>
      <c r="D747">
        <f>(C747-meanrtn)/stdevrtns</f>
        <v>0.11863110371198368</v>
      </c>
    </row>
    <row r="748" spans="1:4" x14ac:dyDescent="0.3">
      <c r="A748" s="1">
        <v>39002</v>
      </c>
      <c r="B748">
        <v>1.859496</v>
      </c>
      <c r="C748">
        <f t="shared" si="13"/>
        <v>2.5101895581289995E-3</v>
      </c>
      <c r="D748">
        <f>(C748-meanrtn)/stdevrtns</f>
        <v>0.42406397885567637</v>
      </c>
    </row>
    <row r="749" spans="1:4" x14ac:dyDescent="0.3">
      <c r="A749" s="1">
        <v>39003</v>
      </c>
      <c r="B749">
        <v>1.8551839999999999</v>
      </c>
      <c r="C749">
        <f t="shared" si="13"/>
        <v>-2.3189079191351276E-3</v>
      </c>
      <c r="D749">
        <f>(C749-meanrtn)/stdevrtns</f>
        <v>-0.37631187216242368</v>
      </c>
    </row>
    <row r="750" spans="1:4" x14ac:dyDescent="0.3">
      <c r="A750" s="1">
        <v>39006</v>
      </c>
      <c r="B750">
        <v>1.862301</v>
      </c>
      <c r="C750">
        <f t="shared" si="13"/>
        <v>3.836277156335997E-3</v>
      </c>
      <c r="D750">
        <f>(C750-meanrtn)/stdevrtns</f>
        <v>0.64385007655540238</v>
      </c>
    </row>
    <row r="751" spans="1:4" x14ac:dyDescent="0.3">
      <c r="A751" s="1">
        <v>39007</v>
      </c>
      <c r="B751">
        <v>1.871783</v>
      </c>
      <c r="C751">
        <f t="shared" si="13"/>
        <v>5.0915507213925085E-3</v>
      </c>
      <c r="D751">
        <f>(C751-meanrtn)/stdevrtns</f>
        <v>0.85189943828868975</v>
      </c>
    </row>
    <row r="752" spans="1:4" x14ac:dyDescent="0.3">
      <c r="A752" s="1">
        <v>39008</v>
      </c>
      <c r="B752">
        <v>1.867483</v>
      </c>
      <c r="C752">
        <f t="shared" si="13"/>
        <v>-2.2972748443596137E-3</v>
      </c>
      <c r="D752">
        <f>(C752-meanrtn)/stdevrtns</f>
        <v>-0.37272640081604702</v>
      </c>
    </row>
    <row r="753" spans="1:4" x14ac:dyDescent="0.3">
      <c r="A753" s="1">
        <v>39009</v>
      </c>
      <c r="B753">
        <v>1.8770880000000001</v>
      </c>
      <c r="C753">
        <f t="shared" si="13"/>
        <v>5.1432864449101204E-3</v>
      </c>
      <c r="D753">
        <f>(C753-meanrtn)/stdevrtns</f>
        <v>0.86047413033692421</v>
      </c>
    </row>
    <row r="754" spans="1:4" x14ac:dyDescent="0.3">
      <c r="A754" s="1">
        <v>39010</v>
      </c>
      <c r="B754">
        <v>1.883097</v>
      </c>
      <c r="C754">
        <f t="shared" si="13"/>
        <v>3.2012351045874942E-3</v>
      </c>
      <c r="D754">
        <f>(C754-meanrtn)/stdevrtns</f>
        <v>0.53859804447415227</v>
      </c>
    </row>
    <row r="755" spans="1:4" x14ac:dyDescent="0.3">
      <c r="A755" s="1">
        <v>39013</v>
      </c>
      <c r="B755">
        <v>1.8735010000000001</v>
      </c>
      <c r="C755">
        <f t="shared" si="13"/>
        <v>-5.0958607018119287E-3</v>
      </c>
      <c r="D755">
        <f>(C755-meanrtn)/stdevrtns</f>
        <v>-0.83656473662338682</v>
      </c>
    </row>
    <row r="756" spans="1:4" x14ac:dyDescent="0.3">
      <c r="A756" s="1">
        <v>39014</v>
      </c>
      <c r="B756">
        <v>1.8735010000000001</v>
      </c>
      <c r="C756">
        <f t="shared" si="13"/>
        <v>0</v>
      </c>
      <c r="D756">
        <f>(C756-meanrtn)/stdevrtns</f>
        <v>8.0245194611897972E-3</v>
      </c>
    </row>
    <row r="757" spans="1:4" x14ac:dyDescent="0.3">
      <c r="A757" s="1">
        <v>39015</v>
      </c>
      <c r="B757">
        <v>1.8789929999999999</v>
      </c>
      <c r="C757">
        <f t="shared" si="13"/>
        <v>2.9314102314329325E-3</v>
      </c>
      <c r="D757">
        <f>(C757-meanrtn)/stdevrtns</f>
        <v>0.49387720098451454</v>
      </c>
    </row>
    <row r="758" spans="1:4" x14ac:dyDescent="0.3">
      <c r="A758" s="1">
        <v>39016</v>
      </c>
      <c r="B758">
        <v>1.890609</v>
      </c>
      <c r="C758">
        <f t="shared" si="13"/>
        <v>6.1820347388202466E-3</v>
      </c>
      <c r="D758">
        <f>(C758-meanrtn)/stdevrtns</f>
        <v>1.032636538249827</v>
      </c>
    </row>
    <row r="759" spans="1:4" x14ac:dyDescent="0.3">
      <c r="A759" s="1">
        <v>39017</v>
      </c>
      <c r="B759">
        <v>1.8968849999999999</v>
      </c>
      <c r="C759">
        <f t="shared" si="13"/>
        <v>3.3195652829326149E-3</v>
      </c>
      <c r="D759">
        <f>(C759-meanrtn)/stdevrtns</f>
        <v>0.55821011849833524</v>
      </c>
    </row>
    <row r="760" spans="1:4" x14ac:dyDescent="0.3">
      <c r="A760" s="1">
        <v>39020</v>
      </c>
      <c r="B760">
        <v>1.899804</v>
      </c>
      <c r="C760">
        <f t="shared" si="13"/>
        <v>1.5388386749856297E-3</v>
      </c>
      <c r="D760">
        <f>(C760-meanrtn)/stdevrtns</f>
        <v>0.2630720350414647</v>
      </c>
    </row>
    <row r="761" spans="1:4" x14ac:dyDescent="0.3">
      <c r="A761" s="1">
        <v>39021</v>
      </c>
      <c r="B761">
        <v>1.908288</v>
      </c>
      <c r="C761">
        <f t="shared" si="13"/>
        <v>4.4657238325637467E-3</v>
      </c>
      <c r="D761">
        <f>(C761-meanrtn)/stdevrtns</f>
        <v>0.74817472966671594</v>
      </c>
    </row>
    <row r="762" spans="1:4" x14ac:dyDescent="0.3">
      <c r="A762" s="1">
        <v>39022</v>
      </c>
      <c r="B762">
        <v>1.907305</v>
      </c>
      <c r="C762">
        <f t="shared" si="13"/>
        <v>-5.1512140725087419E-4</v>
      </c>
      <c r="D762">
        <f>(C762-meanrtn)/stdevrtns</f>
        <v>-7.735183432896782E-2</v>
      </c>
    </row>
    <row r="763" spans="1:4" x14ac:dyDescent="0.3">
      <c r="A763" s="1">
        <v>39023</v>
      </c>
      <c r="B763">
        <v>1.908215</v>
      </c>
      <c r="C763">
        <f t="shared" si="13"/>
        <v>4.7711299451318293E-4</v>
      </c>
      <c r="D763">
        <f>(C763-meanrtn)/stdevrtns</f>
        <v>8.7101349202805822E-2</v>
      </c>
    </row>
    <row r="764" spans="1:4" x14ac:dyDescent="0.3">
      <c r="A764" s="1">
        <v>39024</v>
      </c>
      <c r="B764">
        <v>1.901105</v>
      </c>
      <c r="C764">
        <f t="shared" si="13"/>
        <v>-3.7259952363858108E-3</v>
      </c>
      <c r="D764">
        <f>(C764-meanrtn)/stdevrtns</f>
        <v>-0.60952288401371613</v>
      </c>
    </row>
    <row r="765" spans="1:4" x14ac:dyDescent="0.3">
      <c r="A765" s="1">
        <v>39027</v>
      </c>
      <c r="B765">
        <v>1.89829</v>
      </c>
      <c r="C765">
        <f t="shared" si="13"/>
        <v>-1.4807177930729822E-3</v>
      </c>
      <c r="D765">
        <f>(C765-meanrtn)/stdevrtns</f>
        <v>-0.23739002628532807</v>
      </c>
    </row>
    <row r="766" spans="1:4" x14ac:dyDescent="0.3">
      <c r="A766" s="1">
        <v>39028</v>
      </c>
      <c r="B766">
        <v>1.905597</v>
      </c>
      <c r="C766">
        <f t="shared" si="13"/>
        <v>3.8492538021060807E-3</v>
      </c>
      <c r="D766">
        <f>(C766-meanrtn)/stdevrtns</f>
        <v>0.64600082914436763</v>
      </c>
    </row>
    <row r="767" spans="1:4" x14ac:dyDescent="0.3">
      <c r="A767" s="1">
        <v>39029</v>
      </c>
      <c r="B767">
        <v>1.905197</v>
      </c>
      <c r="C767">
        <f t="shared" si="13"/>
        <v>-2.0990797109774834E-4</v>
      </c>
      <c r="D767">
        <f>(C767-meanrtn)/stdevrtns</f>
        <v>-2.6765681356629399E-2</v>
      </c>
    </row>
    <row r="768" spans="1:4" x14ac:dyDescent="0.3">
      <c r="A768" s="1">
        <v>39030</v>
      </c>
      <c r="B768">
        <v>1.9069050000000001</v>
      </c>
      <c r="C768">
        <f t="shared" si="13"/>
        <v>8.964952180798326E-4</v>
      </c>
      <c r="D768">
        <f>(C768-meanrtn)/stdevrtns</f>
        <v>0.1566098662019671</v>
      </c>
    </row>
    <row r="769" spans="1:4" x14ac:dyDescent="0.3">
      <c r="A769" s="1">
        <v>39031</v>
      </c>
      <c r="B769">
        <v>1.9121919999999999</v>
      </c>
      <c r="C769">
        <f t="shared" si="13"/>
        <v>2.7725555284609455E-3</v>
      </c>
      <c r="D769">
        <f>(C769-meanrtn)/stdevrtns</f>
        <v>0.46754858188373311</v>
      </c>
    </row>
    <row r="770" spans="1:4" x14ac:dyDescent="0.3">
      <c r="A770" s="1">
        <v>39034</v>
      </c>
      <c r="B770">
        <v>1.905052</v>
      </c>
      <c r="C770">
        <f t="shared" si="13"/>
        <v>-3.7339346676483975E-3</v>
      </c>
      <c r="D770">
        <f>(C770-meanrtn)/stdevrtns</f>
        <v>-0.6108387673818424</v>
      </c>
    </row>
    <row r="771" spans="1:4" x14ac:dyDescent="0.3">
      <c r="A771" s="1">
        <v>39035</v>
      </c>
      <c r="B771">
        <v>1.8962019999999999</v>
      </c>
      <c r="C771">
        <f t="shared" si="13"/>
        <v>-4.6455424838797183E-3</v>
      </c>
      <c r="D771">
        <f>(C771-meanrtn)/stdevrtns</f>
        <v>-0.76192888000559056</v>
      </c>
    </row>
    <row r="772" spans="1:4" x14ac:dyDescent="0.3">
      <c r="A772" s="1">
        <v>39036</v>
      </c>
      <c r="B772">
        <v>1.8893949999999999</v>
      </c>
      <c r="C772">
        <f t="shared" ref="C772:C835" si="14">(B772-B771)/B771</f>
        <v>-3.5898074150327907E-3</v>
      </c>
      <c r="D772">
        <f>(C772-meanrtn)/stdevrtns</f>
        <v>-0.58695107966996163</v>
      </c>
    </row>
    <row r="773" spans="1:4" x14ac:dyDescent="0.3">
      <c r="A773" s="1">
        <v>39037</v>
      </c>
      <c r="B773">
        <v>1.888396</v>
      </c>
      <c r="C773">
        <f t="shared" si="14"/>
        <v>-5.2874068154090182E-4</v>
      </c>
      <c r="D773">
        <f>(C773-meanrtn)/stdevrtns</f>
        <v>-7.9609096333193366E-2</v>
      </c>
    </row>
    <row r="774" spans="1:4" x14ac:dyDescent="0.3">
      <c r="A774" s="1">
        <v>39038</v>
      </c>
      <c r="B774">
        <v>1.89811</v>
      </c>
      <c r="C774">
        <f t="shared" si="14"/>
        <v>5.1440481763358956E-3</v>
      </c>
      <c r="D774">
        <f>(C774-meanrtn)/stdevrtns</f>
        <v>0.86060037989825988</v>
      </c>
    </row>
    <row r="775" spans="1:4" x14ac:dyDescent="0.3">
      <c r="A775" s="1">
        <v>39041</v>
      </c>
      <c r="B775">
        <v>1.897389</v>
      </c>
      <c r="C775">
        <f t="shared" si="14"/>
        <v>-3.7985153652842651E-4</v>
      </c>
      <c r="D775">
        <f>(C775-meanrtn)/stdevrtns</f>
        <v>-5.4932171357508233E-2</v>
      </c>
    </row>
    <row r="776" spans="1:4" x14ac:dyDescent="0.3">
      <c r="A776" s="1">
        <v>39042</v>
      </c>
      <c r="B776">
        <v>1.899516</v>
      </c>
      <c r="C776">
        <f t="shared" si="14"/>
        <v>1.1210141937156746E-3</v>
      </c>
      <c r="D776">
        <f>(C776-meanrtn)/stdevrtns</f>
        <v>0.19382169864898074</v>
      </c>
    </row>
    <row r="777" spans="1:4" x14ac:dyDescent="0.3">
      <c r="A777" s="1">
        <v>39043</v>
      </c>
      <c r="B777">
        <v>1.9146080000000001</v>
      </c>
      <c r="C777">
        <f t="shared" si="14"/>
        <v>7.9451818252650186E-3</v>
      </c>
      <c r="D777">
        <f>(C777-meanrtn)/stdevrtns</f>
        <v>1.3248609873166135</v>
      </c>
    </row>
    <row r="778" spans="1:4" x14ac:dyDescent="0.3">
      <c r="A778" s="1">
        <v>39044</v>
      </c>
      <c r="B778">
        <v>1.916002</v>
      </c>
      <c r="C778">
        <f t="shared" si="14"/>
        <v>7.2808637590561368E-4</v>
      </c>
      <c r="D778">
        <f>(C778-meanrtn)/stdevrtns</f>
        <v>0.12869774162614939</v>
      </c>
    </row>
    <row r="779" spans="1:4" x14ac:dyDescent="0.3">
      <c r="A779" s="1">
        <v>39045</v>
      </c>
      <c r="B779">
        <v>1.9318820000000001</v>
      </c>
      <c r="C779">
        <f t="shared" si="14"/>
        <v>8.2880915573157622E-3</v>
      </c>
      <c r="D779">
        <f>(C779-meanrtn)/stdevrtns</f>
        <v>1.3816949340125897</v>
      </c>
    </row>
    <row r="780" spans="1:4" x14ac:dyDescent="0.3">
      <c r="A780" s="1">
        <v>39048</v>
      </c>
      <c r="B780">
        <v>1.93821</v>
      </c>
      <c r="C780">
        <f t="shared" si="14"/>
        <v>3.2755623790686433E-3</v>
      </c>
      <c r="D780">
        <f>(C780-meanrtn)/stdevrtns</f>
        <v>0.55091706595731538</v>
      </c>
    </row>
    <row r="781" spans="1:4" x14ac:dyDescent="0.3">
      <c r="A781" s="1">
        <v>39049</v>
      </c>
      <c r="B781">
        <v>1.953201</v>
      </c>
      <c r="C781">
        <f t="shared" si="14"/>
        <v>7.7344560186976526E-3</v>
      </c>
      <c r="D781">
        <f>(C781-meanrtn)/stdevrtns</f>
        <v>1.2899352382388825</v>
      </c>
    </row>
    <row r="782" spans="1:4" x14ac:dyDescent="0.3">
      <c r="A782" s="1">
        <v>39050</v>
      </c>
      <c r="B782">
        <v>1.946018</v>
      </c>
      <c r="C782">
        <f t="shared" si="14"/>
        <v>-3.6775528990615606E-3</v>
      </c>
      <c r="D782">
        <f>(C782-meanrtn)/stdevrtns</f>
        <v>-0.60149403863551754</v>
      </c>
    </row>
    <row r="783" spans="1:4" x14ac:dyDescent="0.3">
      <c r="A783" s="1">
        <v>39051</v>
      </c>
      <c r="B783">
        <v>1.9664140000000001</v>
      </c>
      <c r="C783">
        <f t="shared" si="14"/>
        <v>1.0480889693723327E-2</v>
      </c>
      <c r="D783">
        <f>(C783-meanrtn)/stdevrtns</f>
        <v>1.7451298579918879</v>
      </c>
    </row>
    <row r="784" spans="1:4" x14ac:dyDescent="0.3">
      <c r="A784" s="1">
        <v>39052</v>
      </c>
      <c r="B784">
        <v>1.9805120000000001</v>
      </c>
      <c r="C784">
        <f t="shared" si="14"/>
        <v>7.1693956613408686E-3</v>
      </c>
      <c r="D784">
        <f>(C784-meanrtn)/stdevrtns</f>
        <v>1.1962819900853059</v>
      </c>
    </row>
    <row r="785" spans="1:4" x14ac:dyDescent="0.3">
      <c r="A785" s="1">
        <v>39055</v>
      </c>
      <c r="B785">
        <v>1.9807859999999999</v>
      </c>
      <c r="C785">
        <f t="shared" si="14"/>
        <v>1.3834806353098868E-4</v>
      </c>
      <c r="D785">
        <f>(C785-meanrtn)/stdevrtns</f>
        <v>3.0954362896045119E-2</v>
      </c>
    </row>
    <row r="786" spans="1:4" x14ac:dyDescent="0.3">
      <c r="A786" s="1">
        <v>39056</v>
      </c>
      <c r="B786">
        <v>1.9735149999999999</v>
      </c>
      <c r="C786">
        <f t="shared" si="14"/>
        <v>-3.670765039736765E-3</v>
      </c>
      <c r="D786">
        <f>(C786-meanrtn)/stdevrtns</f>
        <v>-0.60036901709489776</v>
      </c>
    </row>
    <row r="787" spans="1:4" x14ac:dyDescent="0.3">
      <c r="A787" s="1">
        <v>39057</v>
      </c>
      <c r="B787">
        <v>1.9664140000000001</v>
      </c>
      <c r="C787">
        <f t="shared" si="14"/>
        <v>-3.5981484812630266E-3</v>
      </c>
      <c r="D787">
        <f>(C787-meanrtn)/stdevrtns</f>
        <v>-0.58833353012035206</v>
      </c>
    </row>
    <row r="788" spans="1:4" x14ac:dyDescent="0.3">
      <c r="A788" s="1">
        <v>39058</v>
      </c>
      <c r="B788">
        <v>1.9627859999999999</v>
      </c>
      <c r="C788">
        <f t="shared" si="14"/>
        <v>-1.844982796094915E-3</v>
      </c>
      <c r="D788">
        <f>(C788-meanrtn)/stdevrtns</f>
        <v>-0.29776340105409832</v>
      </c>
    </row>
    <row r="789" spans="1:4" x14ac:dyDescent="0.3">
      <c r="A789" s="1">
        <v>39059</v>
      </c>
      <c r="B789">
        <v>1.954385</v>
      </c>
      <c r="C789">
        <f t="shared" si="14"/>
        <v>-4.2801405756918388E-3</v>
      </c>
      <c r="D789">
        <f>(C789-meanrtn)/stdevrtns</f>
        <v>-0.70136707428383049</v>
      </c>
    </row>
    <row r="790" spans="1:4" x14ac:dyDescent="0.3">
      <c r="A790" s="1">
        <v>39062</v>
      </c>
      <c r="B790">
        <v>1.960016</v>
      </c>
      <c r="C790">
        <f t="shared" si="14"/>
        <v>2.8812132716941347E-3</v>
      </c>
      <c r="D790">
        <f>(C790-meanrtn)/stdevrtns</f>
        <v>0.48555754403854973</v>
      </c>
    </row>
    <row r="791" spans="1:4" x14ac:dyDescent="0.3">
      <c r="A791" s="1">
        <v>39063</v>
      </c>
      <c r="B791">
        <v>1.971298</v>
      </c>
      <c r="C791">
        <f t="shared" si="14"/>
        <v>5.7560754606084926E-3</v>
      </c>
      <c r="D791">
        <f>(C791-meanrtn)/stdevrtns</f>
        <v>0.96203793853157549</v>
      </c>
    </row>
    <row r="792" spans="1:4" x14ac:dyDescent="0.3">
      <c r="A792" s="1">
        <v>39064</v>
      </c>
      <c r="B792">
        <v>1.9678070000000001</v>
      </c>
      <c r="C792">
        <f t="shared" si="14"/>
        <v>-1.7709143924459472E-3</v>
      </c>
      <c r="D792">
        <f>(C792-meanrtn)/stdevrtns</f>
        <v>-0.28548728488887226</v>
      </c>
    </row>
    <row r="793" spans="1:4" x14ac:dyDescent="0.3">
      <c r="A793" s="1">
        <v>39065</v>
      </c>
      <c r="B793">
        <v>1.962208</v>
      </c>
      <c r="C793">
        <f t="shared" si="14"/>
        <v>-2.8452993611670918E-3</v>
      </c>
      <c r="D793">
        <f>(C793-meanrtn)/stdevrtns</f>
        <v>-0.46355612439973143</v>
      </c>
    </row>
    <row r="794" spans="1:4" x14ac:dyDescent="0.3">
      <c r="A794" s="1">
        <v>39066</v>
      </c>
      <c r="B794">
        <v>1.9538880000000001</v>
      </c>
      <c r="C794">
        <f t="shared" si="14"/>
        <v>-4.2401213327026913E-3</v>
      </c>
      <c r="D794">
        <f>(C794-meanrtn)/stdevrtns</f>
        <v>-0.69473427471510329</v>
      </c>
    </row>
    <row r="795" spans="1:4" x14ac:dyDescent="0.3">
      <c r="A795" s="1">
        <v>39069</v>
      </c>
      <c r="B795">
        <v>1.948482</v>
      </c>
      <c r="C795">
        <f t="shared" si="14"/>
        <v>-2.7667911364418134E-3</v>
      </c>
      <c r="D795">
        <f>(C795-meanrtn)/stdevrtns</f>
        <v>-0.45054415115374635</v>
      </c>
    </row>
    <row r="796" spans="1:4" x14ac:dyDescent="0.3">
      <c r="A796" s="1">
        <v>39070</v>
      </c>
      <c r="B796">
        <v>1.971298</v>
      </c>
      <c r="C796">
        <f t="shared" si="14"/>
        <v>1.1709628315786313E-2</v>
      </c>
      <c r="D796">
        <f>(C796-meanrtn)/stdevrtns</f>
        <v>1.9487813114865966</v>
      </c>
    </row>
    <row r="797" spans="1:4" x14ac:dyDescent="0.3">
      <c r="A797" s="1">
        <v>39071</v>
      </c>
      <c r="B797">
        <v>1.965795</v>
      </c>
      <c r="C797">
        <f t="shared" si="14"/>
        <v>-2.7915617019852075E-3</v>
      </c>
      <c r="D797">
        <f>(C797-meanrtn)/stdevrtns</f>
        <v>-0.45464963102246619</v>
      </c>
    </row>
    <row r="798" spans="1:4" x14ac:dyDescent="0.3">
      <c r="A798" s="1">
        <v>39072</v>
      </c>
      <c r="B798">
        <v>1.9625159999999999</v>
      </c>
      <c r="C798">
        <f t="shared" si="14"/>
        <v>-1.6680274392803075E-3</v>
      </c>
      <c r="D798">
        <f>(C798-meanrtn)/stdevrtns</f>
        <v>-0.26843477495584395</v>
      </c>
    </row>
    <row r="799" spans="1:4" x14ac:dyDescent="0.3">
      <c r="A799" s="1">
        <v>39073</v>
      </c>
      <c r="B799">
        <v>1.957905</v>
      </c>
      <c r="C799">
        <f t="shared" si="14"/>
        <v>-2.3495349846828872E-3</v>
      </c>
      <c r="D799">
        <f>(C799-meanrtn)/stdevrtns</f>
        <v>-0.38138800983978172</v>
      </c>
    </row>
    <row r="800" spans="1:4" x14ac:dyDescent="0.3">
      <c r="A800" s="1">
        <v>39076</v>
      </c>
      <c r="B800">
        <v>1.959209</v>
      </c>
      <c r="C800">
        <f t="shared" si="14"/>
        <v>6.6601801415286843E-4</v>
      </c>
      <c r="D800">
        <f>(C800-meanrtn)/stdevrtns</f>
        <v>0.11841051547404916</v>
      </c>
    </row>
    <row r="801" spans="1:4" x14ac:dyDescent="0.3">
      <c r="A801" s="1">
        <v>39077</v>
      </c>
      <c r="B801">
        <v>1.955608</v>
      </c>
      <c r="C801">
        <f t="shared" si="14"/>
        <v>-1.8379866568599703E-3</v>
      </c>
      <c r="D801">
        <f>(C801-meanrtn)/stdevrtns</f>
        <v>-0.29660385914789883</v>
      </c>
    </row>
    <row r="802" spans="1:4" x14ac:dyDescent="0.3">
      <c r="A802" s="1">
        <v>39078</v>
      </c>
      <c r="B802">
        <v>1.956985</v>
      </c>
      <c r="C802">
        <f t="shared" si="14"/>
        <v>7.0412884381735067E-4</v>
      </c>
      <c r="D802">
        <f>(C802-meanrtn)/stdevrtns</f>
        <v>0.1247270141302322</v>
      </c>
    </row>
    <row r="803" spans="1:4" x14ac:dyDescent="0.3">
      <c r="A803" s="1">
        <v>39079</v>
      </c>
      <c r="B803">
        <v>1.962208</v>
      </c>
      <c r="C803">
        <f t="shared" si="14"/>
        <v>2.6689013967914816E-3</v>
      </c>
      <c r="D803">
        <f>(C803-meanrtn)/stdevrtns</f>
        <v>0.45036891958926012</v>
      </c>
    </row>
    <row r="804" spans="1:4" x14ac:dyDescent="0.3">
      <c r="A804" s="1">
        <v>39080</v>
      </c>
      <c r="B804">
        <v>1.959209</v>
      </c>
      <c r="C804">
        <f t="shared" si="14"/>
        <v>-1.5283802736508942E-3</v>
      </c>
      <c r="D804">
        <f>(C804-meanrtn)/stdevrtns</f>
        <v>-0.24528961800692492</v>
      </c>
    </row>
    <row r="805" spans="1:4" x14ac:dyDescent="0.3">
      <c r="A805" s="1">
        <v>39083</v>
      </c>
      <c r="B805">
        <v>1.9642120000000001</v>
      </c>
      <c r="C805">
        <f t="shared" si="14"/>
        <v>2.5535815729715874E-3</v>
      </c>
      <c r="D805">
        <f>(C805-meanrtn)/stdevrtns</f>
        <v>0.43125578249404528</v>
      </c>
    </row>
    <row r="806" spans="1:4" x14ac:dyDescent="0.3">
      <c r="A806" s="1">
        <v>39084</v>
      </c>
      <c r="B806">
        <v>1.9733989999999999</v>
      </c>
      <c r="C806">
        <f t="shared" si="14"/>
        <v>4.6771937041418313E-3</v>
      </c>
      <c r="D806">
        <f>(C806-meanrtn)/stdevrtns</f>
        <v>0.78322380026963279</v>
      </c>
    </row>
    <row r="807" spans="1:4" x14ac:dyDescent="0.3">
      <c r="A807" s="1">
        <v>39085</v>
      </c>
      <c r="B807">
        <v>1.95221</v>
      </c>
      <c r="C807">
        <f t="shared" si="14"/>
        <v>-1.0737311613110123E-2</v>
      </c>
      <c r="D807">
        <f>(C807-meanrtn)/stdevrtns</f>
        <v>-1.7715802535736083</v>
      </c>
    </row>
    <row r="808" spans="1:4" x14ac:dyDescent="0.3">
      <c r="A808" s="1">
        <v>39086</v>
      </c>
      <c r="B808">
        <v>1.942993</v>
      </c>
      <c r="C808">
        <f t="shared" si="14"/>
        <v>-4.7213158420456973E-3</v>
      </c>
      <c r="D808">
        <f>(C808-meanrtn)/stdevrtns</f>
        <v>-0.77448757576854166</v>
      </c>
    </row>
    <row r="809" spans="1:4" x14ac:dyDescent="0.3">
      <c r="A809" s="1">
        <v>39087</v>
      </c>
      <c r="B809">
        <v>1.9308000000000001</v>
      </c>
      <c r="C809">
        <f t="shared" si="14"/>
        <v>-6.2753700090529916E-3</v>
      </c>
      <c r="D809">
        <f>(C809-meanrtn)/stdevrtns</f>
        <v>-1.0320569108881477</v>
      </c>
    </row>
    <row r="810" spans="1:4" x14ac:dyDescent="0.3">
      <c r="A810" s="1">
        <v>39090</v>
      </c>
      <c r="B810">
        <v>1.9403159999999999</v>
      </c>
      <c r="C810">
        <f t="shared" si="14"/>
        <v>4.9285270354256566E-3</v>
      </c>
      <c r="D810">
        <f>(C810-meanrtn)/stdevrtns</f>
        <v>0.82487985088004034</v>
      </c>
    </row>
    <row r="811" spans="1:4" x14ac:dyDescent="0.3">
      <c r="A811" s="1">
        <v>39091</v>
      </c>
      <c r="B811">
        <v>1.939187</v>
      </c>
      <c r="C811">
        <f t="shared" si="14"/>
        <v>-5.8186398504157864E-4</v>
      </c>
      <c r="D811">
        <f>(C811-meanrtn)/stdevrtns</f>
        <v>-8.8413766242721778E-2</v>
      </c>
    </row>
    <row r="812" spans="1:4" x14ac:dyDescent="0.3">
      <c r="A812" s="1">
        <v>39092</v>
      </c>
      <c r="B812">
        <v>1.932404</v>
      </c>
      <c r="C812">
        <f t="shared" si="14"/>
        <v>-3.4978576073374994E-3</v>
      </c>
      <c r="D812">
        <f>(C812-meanrtn)/stdevrtns</f>
        <v>-0.57171129502457818</v>
      </c>
    </row>
    <row r="813" spans="1:4" x14ac:dyDescent="0.3">
      <c r="A813" s="1">
        <v>39093</v>
      </c>
      <c r="B813">
        <v>1.944504</v>
      </c>
      <c r="C813">
        <f t="shared" si="14"/>
        <v>6.2616305907046352E-3</v>
      </c>
      <c r="D813">
        <f>(C813-meanrtn)/stdevrtns</f>
        <v>1.0458287750993451</v>
      </c>
    </row>
    <row r="814" spans="1:4" x14ac:dyDescent="0.3">
      <c r="A814" s="1">
        <v>39094</v>
      </c>
      <c r="B814">
        <v>1.9572149999999999</v>
      </c>
      <c r="C814">
        <f t="shared" si="14"/>
        <v>6.53688549882125E-3</v>
      </c>
      <c r="D814">
        <f>(C814-meanrtn)/stdevrtns</f>
        <v>1.0914495939724314</v>
      </c>
    </row>
    <row r="815" spans="1:4" x14ac:dyDescent="0.3">
      <c r="A815" s="1">
        <v>39097</v>
      </c>
      <c r="B815">
        <v>1.964405</v>
      </c>
      <c r="C815">
        <f t="shared" si="14"/>
        <v>3.6735872144859046E-3</v>
      </c>
      <c r="D815">
        <f>(C815-meanrtn)/stdevrtns</f>
        <v>0.6168858039820263</v>
      </c>
    </row>
    <row r="816" spans="1:4" x14ac:dyDescent="0.3">
      <c r="A816" s="1">
        <v>39098</v>
      </c>
      <c r="B816">
        <v>1.9612069999999999</v>
      </c>
      <c r="C816">
        <f t="shared" si="14"/>
        <v>-1.6279738648598604E-3</v>
      </c>
      <c r="D816">
        <f>(C816-meanrtn)/stdevrtns</f>
        <v>-0.26179628528691223</v>
      </c>
    </row>
    <row r="817" spans="1:4" x14ac:dyDescent="0.3">
      <c r="A817" s="1">
        <v>39099</v>
      </c>
      <c r="B817">
        <v>1.970599</v>
      </c>
      <c r="C817">
        <f t="shared" si="14"/>
        <v>4.7888876594872785E-3</v>
      </c>
      <c r="D817">
        <f>(C817-meanrtn)/stdevrtns</f>
        <v>0.80173598499650578</v>
      </c>
    </row>
    <row r="818" spans="1:4" x14ac:dyDescent="0.3">
      <c r="A818" s="1">
        <v>39100</v>
      </c>
      <c r="B818">
        <v>1.9742170000000001</v>
      </c>
      <c r="C818">
        <f t="shared" si="14"/>
        <v>1.8359899705623118E-3</v>
      </c>
      <c r="D818">
        <f>(C818-meanrtn)/stdevrtns</f>
        <v>0.31232196677261287</v>
      </c>
    </row>
    <row r="819" spans="1:4" x14ac:dyDescent="0.3">
      <c r="A819" s="1">
        <v>39101</v>
      </c>
      <c r="B819">
        <v>1.973204</v>
      </c>
      <c r="C819">
        <f t="shared" si="14"/>
        <v>-5.1311481969821583E-4</v>
      </c>
      <c r="D819">
        <f>(C819-meanrtn)/stdevrtns</f>
        <v>-7.7019261994766122E-2</v>
      </c>
    </row>
    <row r="820" spans="1:4" x14ac:dyDescent="0.3">
      <c r="A820" s="1">
        <v>39104</v>
      </c>
      <c r="B820">
        <v>1.9769099999999999</v>
      </c>
      <c r="C820">
        <f t="shared" si="14"/>
        <v>1.8781636364004874E-3</v>
      </c>
      <c r="D820">
        <f>(C820-meanrtn)/stdevrtns</f>
        <v>0.31931184093537385</v>
      </c>
    </row>
    <row r="821" spans="1:4" x14ac:dyDescent="0.3">
      <c r="A821" s="1">
        <v>39105</v>
      </c>
      <c r="B821">
        <v>1.9822</v>
      </c>
      <c r="C821">
        <f t="shared" si="14"/>
        <v>2.6758931868421008E-3</v>
      </c>
      <c r="D821">
        <f>(C821-meanrtn)/stdevrtns</f>
        <v>0.45152774066053708</v>
      </c>
    </row>
    <row r="822" spans="1:4" x14ac:dyDescent="0.3">
      <c r="A822" s="1">
        <v>39106</v>
      </c>
      <c r="B822">
        <v>1.968</v>
      </c>
      <c r="C822">
        <f t="shared" si="14"/>
        <v>-7.163757441226915E-3</v>
      </c>
      <c r="D822">
        <f>(C822-meanrtn)/stdevrtns</f>
        <v>-1.1792984711191543</v>
      </c>
    </row>
    <row r="823" spans="1:4" x14ac:dyDescent="0.3">
      <c r="A823" s="1">
        <v>39107</v>
      </c>
      <c r="B823">
        <v>1.9651000000000001</v>
      </c>
      <c r="C823">
        <f t="shared" si="14"/>
        <v>-1.4735772357723084E-3</v>
      </c>
      <c r="D823">
        <f>(C823-meanrtn)/stdevrtns</f>
        <v>-0.23620654849197686</v>
      </c>
    </row>
    <row r="824" spans="1:4" x14ac:dyDescent="0.3">
      <c r="A824" s="1">
        <v>39108</v>
      </c>
      <c r="B824">
        <v>1.9599</v>
      </c>
      <c r="C824">
        <f t="shared" si="14"/>
        <v>-2.6461757671365801E-3</v>
      </c>
      <c r="D824">
        <f>(C824-meanrtn)/stdevrtns</f>
        <v>-0.43055332899535187</v>
      </c>
    </row>
    <row r="825" spans="1:4" x14ac:dyDescent="0.3">
      <c r="A825" s="1">
        <v>39111</v>
      </c>
      <c r="B825">
        <v>1.961784</v>
      </c>
      <c r="C825">
        <f t="shared" si="14"/>
        <v>9.6127353436399653E-4</v>
      </c>
      <c r="D825">
        <f>(C825-meanrtn)/stdevrtns</f>
        <v>0.16734624091122863</v>
      </c>
    </row>
    <row r="826" spans="1:4" x14ac:dyDescent="0.3">
      <c r="A826" s="1">
        <v>39112</v>
      </c>
      <c r="B826">
        <v>1.9620919999999999</v>
      </c>
      <c r="C826">
        <f t="shared" si="14"/>
        <v>1.569999551428572E-4</v>
      </c>
      <c r="D826">
        <f>(C826-meanrtn)/stdevrtns</f>
        <v>3.4045732182383118E-2</v>
      </c>
    </row>
    <row r="827" spans="1:4" x14ac:dyDescent="0.3">
      <c r="A827" s="1">
        <v>39113</v>
      </c>
      <c r="B827">
        <v>1.9634020000000001</v>
      </c>
      <c r="C827">
        <f t="shared" si="14"/>
        <v>6.6765472770906993E-4</v>
      </c>
      <c r="D827">
        <f>(C827-meanrtn)/stdevrtns</f>
        <v>0.11868178479747556</v>
      </c>
    </row>
    <row r="828" spans="1:4" x14ac:dyDescent="0.3">
      <c r="A828" s="1">
        <v>39114</v>
      </c>
      <c r="B828">
        <v>1.9671099999999999</v>
      </c>
      <c r="C828">
        <f t="shared" si="14"/>
        <v>1.8885587363157532E-3</v>
      </c>
      <c r="D828">
        <f>(C828-meanrtn)/stdevrtns</f>
        <v>0.32103472745408057</v>
      </c>
    </row>
    <row r="829" spans="1:4" x14ac:dyDescent="0.3">
      <c r="A829" s="1">
        <v>39115</v>
      </c>
      <c r="B829">
        <v>1.9661820000000001</v>
      </c>
      <c r="C829">
        <f t="shared" si="14"/>
        <v>-4.7175806131828819E-4</v>
      </c>
      <c r="D829">
        <f>(C829-meanrtn)/stdevrtns</f>
        <v>-7.0164782283075253E-2</v>
      </c>
    </row>
    <row r="830" spans="1:4" x14ac:dyDescent="0.3">
      <c r="A830" s="1">
        <v>39118</v>
      </c>
      <c r="B830">
        <v>1.9607840000000001</v>
      </c>
      <c r="C830">
        <f t="shared" si="14"/>
        <v>-2.7454223464562352E-3</v>
      </c>
      <c r="D830">
        <f>(C830-meanrtn)/stdevrtns</f>
        <v>-0.44700248243604968</v>
      </c>
    </row>
    <row r="831" spans="1:4" x14ac:dyDescent="0.3">
      <c r="A831" s="1">
        <v>39119</v>
      </c>
      <c r="B831">
        <v>1.970987</v>
      </c>
      <c r="C831">
        <f t="shared" si="14"/>
        <v>5.2035308325649133E-3</v>
      </c>
      <c r="D831">
        <f>(C831-meanrtn)/stdevrtns</f>
        <v>0.87045905055551265</v>
      </c>
    </row>
    <row r="832" spans="1:4" x14ac:dyDescent="0.3">
      <c r="A832" s="1">
        <v>39120</v>
      </c>
      <c r="B832">
        <v>1.9714529999999999</v>
      </c>
      <c r="C832">
        <f t="shared" si="14"/>
        <v>2.3642976843574079E-4</v>
      </c>
      <c r="D832">
        <f>(C832-meanrtn)/stdevrtns</f>
        <v>4.7210449753277435E-2</v>
      </c>
    </row>
    <row r="833" spans="1:4" x14ac:dyDescent="0.3">
      <c r="A833" s="1">
        <v>39121</v>
      </c>
      <c r="B833">
        <v>1.95871</v>
      </c>
      <c r="C833">
        <f t="shared" si="14"/>
        <v>-6.4637604852867143E-3</v>
      </c>
      <c r="D833">
        <f>(C833-meanrtn)/stdevrtns</f>
        <v>-1.0632807966036821</v>
      </c>
    </row>
    <row r="834" spans="1:4" x14ac:dyDescent="0.3">
      <c r="A834" s="1">
        <v>39122</v>
      </c>
      <c r="B834">
        <v>1.9827889999999999</v>
      </c>
      <c r="C834">
        <f t="shared" si="14"/>
        <v>1.2293295076861792E-2</v>
      </c>
      <c r="D834">
        <f>(C834-meanrtn)/stdevrtns</f>
        <v>2.0455183897514622</v>
      </c>
    </row>
    <row r="835" spans="1:4" x14ac:dyDescent="0.3">
      <c r="A835" s="1">
        <v>39125</v>
      </c>
      <c r="B835">
        <v>1.947306</v>
      </c>
      <c r="C835">
        <f t="shared" si="14"/>
        <v>-1.7895499722865083E-2</v>
      </c>
      <c r="D835">
        <f>(C835-meanrtn)/stdevrtns</f>
        <v>-2.9579801817313247</v>
      </c>
    </row>
    <row r="836" spans="1:4" x14ac:dyDescent="0.3">
      <c r="A836" s="1">
        <v>39126</v>
      </c>
      <c r="B836">
        <v>1.9457899999999999</v>
      </c>
      <c r="C836">
        <f t="shared" ref="C836:C899" si="15">(B836-B835)/B835</f>
        <v>-7.7851144093433328E-4</v>
      </c>
      <c r="D836">
        <f>(C836-meanrtn)/stdevrtns</f>
        <v>-0.12100616587882861</v>
      </c>
    </row>
    <row r="837" spans="1:4" x14ac:dyDescent="0.3">
      <c r="A837" s="1">
        <v>39127</v>
      </c>
      <c r="B837">
        <v>1.964907</v>
      </c>
      <c r="C837">
        <f t="shared" si="15"/>
        <v>9.8248012375436455E-3</v>
      </c>
      <c r="D837">
        <f>(C837-meanrtn)/stdevrtns</f>
        <v>1.6363895894571836</v>
      </c>
    </row>
    <row r="838" spans="1:4" x14ac:dyDescent="0.3">
      <c r="A838" s="1">
        <v>39128</v>
      </c>
      <c r="B838">
        <v>1.9514100000000001</v>
      </c>
      <c r="C838">
        <f t="shared" si="15"/>
        <v>-6.8690273890824709E-3</v>
      </c>
      <c r="D838">
        <f>(C838-meanrtn)/stdevrtns</f>
        <v>-1.1304498368937459</v>
      </c>
    </row>
    <row r="839" spans="1:4" x14ac:dyDescent="0.3">
      <c r="A839" s="1">
        <v>39129</v>
      </c>
      <c r="B839">
        <v>1.950116</v>
      </c>
      <c r="C839">
        <f t="shared" si="15"/>
        <v>-6.6311026386055641E-4</v>
      </c>
      <c r="D839">
        <f>(C839-meanrtn)/stdevrtns</f>
        <v>-0.10187954527450761</v>
      </c>
    </row>
    <row r="840" spans="1:4" x14ac:dyDescent="0.3">
      <c r="A840" s="1">
        <v>39132</v>
      </c>
      <c r="B840">
        <v>1.950915</v>
      </c>
      <c r="C840">
        <f t="shared" si="15"/>
        <v>4.0971921670300337E-4</v>
      </c>
      <c r="D840">
        <f>(C840-meanrtn)/stdevrtns</f>
        <v>7.5931487231266886E-2</v>
      </c>
    </row>
    <row r="841" spans="1:4" x14ac:dyDescent="0.3">
      <c r="A841" s="1">
        <v>39133</v>
      </c>
      <c r="B841">
        <v>1.9564109999999999</v>
      </c>
      <c r="C841">
        <f t="shared" si="15"/>
        <v>2.817139649856578E-3</v>
      </c>
      <c r="D841">
        <f>(C841-meanrtn)/stdevrtns</f>
        <v>0.47493796556710827</v>
      </c>
    </row>
    <row r="842" spans="1:4" x14ac:dyDescent="0.3">
      <c r="A842" s="1">
        <v>39134</v>
      </c>
      <c r="B842">
        <v>1.953697</v>
      </c>
      <c r="C842">
        <f t="shared" si="15"/>
        <v>-1.3872340730040279E-3</v>
      </c>
      <c r="D842">
        <f>(C842-meanrtn)/stdevrtns</f>
        <v>-0.22189601061080563</v>
      </c>
    </row>
    <row r="843" spans="1:4" x14ac:dyDescent="0.3">
      <c r="A843" s="1">
        <v>39135</v>
      </c>
      <c r="B843">
        <v>1.9564109999999999</v>
      </c>
      <c r="C843">
        <f t="shared" si="15"/>
        <v>1.3891611647046001E-3</v>
      </c>
      <c r="D843">
        <f>(C843-meanrtn)/stdevrtns</f>
        <v>0.23826444620452952</v>
      </c>
    </row>
    <row r="844" spans="1:4" x14ac:dyDescent="0.3">
      <c r="A844" s="1">
        <v>39136</v>
      </c>
      <c r="B844">
        <v>1.9627079999999999</v>
      </c>
      <c r="C844">
        <f t="shared" si="15"/>
        <v>3.2186488421911334E-3</v>
      </c>
      <c r="D844">
        <f>(C844-meanrtn)/stdevrtns</f>
        <v>0.54148420179848411</v>
      </c>
    </row>
    <row r="845" spans="1:4" x14ac:dyDescent="0.3">
      <c r="A845" s="1">
        <v>39139</v>
      </c>
      <c r="B845">
        <v>1.963903</v>
      </c>
      <c r="C845">
        <f t="shared" si="15"/>
        <v>6.088526668256598E-4</v>
      </c>
      <c r="D845">
        <f>(C845-meanrtn)/stdevrtns</f>
        <v>0.10893591618687941</v>
      </c>
    </row>
    <row r="846" spans="1:4" x14ac:dyDescent="0.3">
      <c r="A846" s="1">
        <v>39140</v>
      </c>
      <c r="B846">
        <v>1.9627079999999999</v>
      </c>
      <c r="C846">
        <f t="shared" si="15"/>
        <v>-6.0848219082106254E-4</v>
      </c>
      <c r="D846">
        <f>(C846-meanrtn)/stdevrtns</f>
        <v>-9.282547447674136E-2</v>
      </c>
    </row>
    <row r="847" spans="1:4" x14ac:dyDescent="0.3">
      <c r="A847" s="1">
        <v>39141</v>
      </c>
      <c r="B847">
        <v>1.964019</v>
      </c>
      <c r="C847">
        <f t="shared" si="15"/>
        <v>6.6795468301961483E-4</v>
      </c>
      <c r="D847">
        <f>(C847-meanrtn)/stdevrtns</f>
        <v>0.11873149946736472</v>
      </c>
    </row>
    <row r="848" spans="1:4" x14ac:dyDescent="0.3">
      <c r="A848" s="1">
        <v>39142</v>
      </c>
      <c r="B848">
        <v>1.9575979999999999</v>
      </c>
      <c r="C848">
        <f t="shared" si="15"/>
        <v>-3.2693166410304635E-3</v>
      </c>
      <c r="D848">
        <f>(C848-meanrtn)/stdevrtns</f>
        <v>-0.53383285681501791</v>
      </c>
    </row>
    <row r="849" spans="1:4" x14ac:dyDescent="0.3">
      <c r="A849" s="1">
        <v>39143</v>
      </c>
      <c r="B849">
        <v>1.942615</v>
      </c>
      <c r="C849">
        <f t="shared" si="15"/>
        <v>-7.6537675253039537E-3</v>
      </c>
      <c r="D849">
        <f>(C849-meanrtn)/stdevrtns</f>
        <v>-1.2605128677837674</v>
      </c>
    </row>
    <row r="850" spans="1:4" x14ac:dyDescent="0.3">
      <c r="A850" s="1">
        <v>39146</v>
      </c>
      <c r="B850">
        <v>1.920787</v>
      </c>
      <c r="C850">
        <f t="shared" si="15"/>
        <v>-1.1236400419022791E-2</v>
      </c>
      <c r="D850">
        <f>(C850-meanrtn)/stdevrtns</f>
        <v>-1.8542993599173196</v>
      </c>
    </row>
    <row r="851" spans="1:4" x14ac:dyDescent="0.3">
      <c r="A851" s="1">
        <v>39147</v>
      </c>
      <c r="B851">
        <v>1.935209</v>
      </c>
      <c r="C851">
        <f t="shared" si="15"/>
        <v>7.5083806793777418E-3</v>
      </c>
      <c r="D851">
        <f>(C851-meanrtn)/stdevrtns</f>
        <v>1.2524654536768007</v>
      </c>
    </row>
    <row r="852" spans="1:4" x14ac:dyDescent="0.3">
      <c r="A852" s="1">
        <v>39148</v>
      </c>
      <c r="B852">
        <v>1.9300919999999999</v>
      </c>
      <c r="C852">
        <f t="shared" si="15"/>
        <v>-2.6441588479590773E-3</v>
      </c>
      <c r="D852">
        <f>(C852-meanrtn)/stdevrtns</f>
        <v>-0.43021904429500596</v>
      </c>
    </row>
    <row r="853" spans="1:4" x14ac:dyDescent="0.3">
      <c r="A853" s="1">
        <v>39149</v>
      </c>
      <c r="B853">
        <v>1.929794</v>
      </c>
      <c r="C853">
        <f t="shared" si="15"/>
        <v>-1.5439678523091618E-4</v>
      </c>
      <c r="D853">
        <f>(C853-meanrtn)/stdevrtns</f>
        <v>-1.7565243212986678E-2</v>
      </c>
    </row>
    <row r="854" spans="1:4" x14ac:dyDescent="0.3">
      <c r="A854" s="1">
        <v>39150</v>
      </c>
      <c r="B854">
        <v>1.934199</v>
      </c>
      <c r="C854">
        <f t="shared" si="15"/>
        <v>2.2826270576030354E-3</v>
      </c>
      <c r="D854">
        <f>(C854-meanrtn)/stdevrtns</f>
        <v>0.38634771181493271</v>
      </c>
    </row>
    <row r="855" spans="1:4" x14ac:dyDescent="0.3">
      <c r="A855" s="1">
        <v>39153</v>
      </c>
      <c r="B855">
        <v>1.932218</v>
      </c>
      <c r="C855">
        <f t="shared" si="15"/>
        <v>-1.0241965795660169E-3</v>
      </c>
      <c r="D855">
        <f>(C855-meanrtn)/stdevrtns</f>
        <v>-0.16172608359443419</v>
      </c>
    </row>
    <row r="856" spans="1:4" x14ac:dyDescent="0.3">
      <c r="A856" s="1">
        <v>39154</v>
      </c>
      <c r="B856">
        <v>1.9287890000000001</v>
      </c>
      <c r="C856">
        <f t="shared" si="15"/>
        <v>-1.7746444759338255E-3</v>
      </c>
      <c r="D856">
        <f>(C856-meanrtn)/stdevrtns</f>
        <v>-0.28610550988019517</v>
      </c>
    </row>
    <row r="857" spans="1:4" x14ac:dyDescent="0.3">
      <c r="A857" s="1">
        <v>39155</v>
      </c>
      <c r="B857">
        <v>1.9388860000000001</v>
      </c>
      <c r="C857">
        <f t="shared" si="15"/>
        <v>5.2348909082331049E-3</v>
      </c>
      <c r="D857">
        <f>(C857-meanrtn)/stdevrtns</f>
        <v>0.87565667751771281</v>
      </c>
    </row>
    <row r="858" spans="1:4" x14ac:dyDescent="0.3">
      <c r="A858" s="1">
        <v>39156</v>
      </c>
      <c r="B858">
        <v>1.938698</v>
      </c>
      <c r="C858">
        <f t="shared" si="15"/>
        <v>-9.6962895188307607E-5</v>
      </c>
      <c r="D858">
        <f>(C858-meanrtn)/stdevrtns</f>
        <v>-8.0461355874814917E-3</v>
      </c>
    </row>
    <row r="859" spans="1:4" x14ac:dyDescent="0.3">
      <c r="A859" s="1">
        <v>39157</v>
      </c>
      <c r="B859">
        <v>1.942615</v>
      </c>
      <c r="C859">
        <f t="shared" si="15"/>
        <v>2.0204281430114173E-3</v>
      </c>
      <c r="D859">
        <f>(C859-meanrtn)/stdevrtns</f>
        <v>0.3428907966480057</v>
      </c>
    </row>
    <row r="860" spans="1:4" x14ac:dyDescent="0.3">
      <c r="A860" s="1">
        <v>39160</v>
      </c>
      <c r="B860">
        <v>1.946207</v>
      </c>
      <c r="C860">
        <f t="shared" si="15"/>
        <v>1.8490539813601973E-3</v>
      </c>
      <c r="D860">
        <f>(C860-meanrtn)/stdevrtns</f>
        <v>0.31448719926363122</v>
      </c>
    </row>
    <row r="861" spans="1:4" x14ac:dyDescent="0.3">
      <c r="A861" s="1">
        <v>39161</v>
      </c>
      <c r="B861">
        <v>1.9619</v>
      </c>
      <c r="C861">
        <f t="shared" si="15"/>
        <v>8.0633766089629501E-3</v>
      </c>
      <c r="D861">
        <f>(C861-meanrtn)/stdevrtns</f>
        <v>1.3444506209973415</v>
      </c>
    </row>
    <row r="862" spans="1:4" x14ac:dyDescent="0.3">
      <c r="A862" s="1">
        <v>39162</v>
      </c>
      <c r="B862">
        <v>1.96831</v>
      </c>
      <c r="C862">
        <f t="shared" si="15"/>
        <v>3.2672409399052077E-3</v>
      </c>
      <c r="D862">
        <f>(C862-meanrtn)/stdevrtns</f>
        <v>0.54953786850199637</v>
      </c>
    </row>
    <row r="863" spans="1:4" x14ac:dyDescent="0.3">
      <c r="A863" s="1">
        <v>39163</v>
      </c>
      <c r="B863">
        <v>1.9651000000000001</v>
      </c>
      <c r="C863">
        <f t="shared" si="15"/>
        <v>-1.630840670422817E-3</v>
      </c>
      <c r="D863">
        <f>(C863-meanrtn)/stdevrtns</f>
        <v>-0.2622714303741584</v>
      </c>
    </row>
    <row r="864" spans="1:4" x14ac:dyDescent="0.3">
      <c r="A864" s="1">
        <v>39164</v>
      </c>
      <c r="B864">
        <v>1.9625159999999999</v>
      </c>
      <c r="C864">
        <f t="shared" si="15"/>
        <v>-1.3149458042848413E-3</v>
      </c>
      <c r="D864">
        <f>(C864-meanrtn)/stdevrtns</f>
        <v>-0.20991493446414586</v>
      </c>
    </row>
    <row r="865" spans="1:4" x14ac:dyDescent="0.3">
      <c r="A865" s="1">
        <v>39167</v>
      </c>
      <c r="B865">
        <v>1.970094</v>
      </c>
      <c r="C865">
        <f t="shared" si="15"/>
        <v>3.8613697926539632E-3</v>
      </c>
      <c r="D865">
        <f>(C865-meanrtn)/stdevrtns</f>
        <v>0.64800893651667579</v>
      </c>
    </row>
    <row r="866" spans="1:4" x14ac:dyDescent="0.3">
      <c r="A866" s="1">
        <v>39168</v>
      </c>
      <c r="B866">
        <v>1.9668000000000001</v>
      </c>
      <c r="C866">
        <f t="shared" si="15"/>
        <v>-1.672001437494814E-3</v>
      </c>
      <c r="D866">
        <f>(C866-meanrtn)/stdevrtns</f>
        <v>-0.26909342643634421</v>
      </c>
    </row>
    <row r="867" spans="1:4" x14ac:dyDescent="0.3">
      <c r="A867" s="1">
        <v>39169</v>
      </c>
      <c r="B867">
        <v>1.962593</v>
      </c>
      <c r="C867">
        <f t="shared" si="15"/>
        <v>-2.1390075249136014E-3</v>
      </c>
      <c r="D867">
        <f>(C867-meanrtn)/stdevrtns</f>
        <v>-0.34649513481109551</v>
      </c>
    </row>
    <row r="868" spans="1:4" x14ac:dyDescent="0.3">
      <c r="A868" s="1">
        <v>39170</v>
      </c>
      <c r="B868">
        <v>1.963209</v>
      </c>
      <c r="C868">
        <f t="shared" si="15"/>
        <v>3.138704764563768E-4</v>
      </c>
      <c r="D868">
        <f>(C868-meanrtn)/stdevrtns</f>
        <v>6.0045492507596776E-2</v>
      </c>
    </row>
    <row r="869" spans="1:4" x14ac:dyDescent="0.3">
      <c r="A869" s="1">
        <v>39171</v>
      </c>
      <c r="B869">
        <v>1.952515</v>
      </c>
      <c r="C869">
        <f t="shared" si="15"/>
        <v>-5.447204041953751E-3</v>
      </c>
      <c r="D869">
        <f>(C869-meanrtn)/stdevrtns</f>
        <v>-0.89479647168143905</v>
      </c>
    </row>
    <row r="870" spans="1:4" x14ac:dyDescent="0.3">
      <c r="A870" s="1">
        <v>39174</v>
      </c>
      <c r="B870">
        <v>1.9782</v>
      </c>
      <c r="C870">
        <f t="shared" si="15"/>
        <v>1.3154828516042109E-2</v>
      </c>
      <c r="D870">
        <f>(C870-meanrtn)/stdevrtns</f>
        <v>2.1883091623152731</v>
      </c>
    </row>
    <row r="871" spans="1:4" x14ac:dyDescent="0.3">
      <c r="A871" s="1">
        <v>39175</v>
      </c>
      <c r="B871">
        <v>1.9733989999999999</v>
      </c>
      <c r="C871">
        <f t="shared" si="15"/>
        <v>-2.426953796380576E-3</v>
      </c>
      <c r="D871">
        <f>(C871-meanrtn)/stdevrtns</f>
        <v>-0.39421942349193539</v>
      </c>
    </row>
    <row r="872" spans="1:4" x14ac:dyDescent="0.3">
      <c r="A872" s="1">
        <v>39176</v>
      </c>
      <c r="B872">
        <v>1.976402</v>
      </c>
      <c r="C872">
        <f t="shared" si="15"/>
        <v>1.5217399015607534E-3</v>
      </c>
      <c r="D872">
        <f>(C872-meanrtn)/stdevrtns</f>
        <v>0.26023807996067921</v>
      </c>
    </row>
    <row r="873" spans="1:4" x14ac:dyDescent="0.3">
      <c r="A873" s="1">
        <v>39177</v>
      </c>
      <c r="B873">
        <v>1.971492</v>
      </c>
      <c r="C873">
        <f t="shared" si="15"/>
        <v>-2.4843124020315554E-3</v>
      </c>
      <c r="D873">
        <f>(C873-meanrtn)/stdevrtns</f>
        <v>-0.40372605346311646</v>
      </c>
    </row>
    <row r="874" spans="1:4" x14ac:dyDescent="0.3">
      <c r="A874" s="1">
        <v>39178</v>
      </c>
      <c r="B874">
        <v>1.985506</v>
      </c>
      <c r="C874">
        <f t="shared" si="15"/>
        <v>7.1083220221030419E-3</v>
      </c>
      <c r="D874">
        <f>(C874-meanrtn)/stdevrtns</f>
        <v>1.1861596294972481</v>
      </c>
    </row>
    <row r="875" spans="1:4" x14ac:dyDescent="0.3">
      <c r="A875" s="1">
        <v>39181</v>
      </c>
      <c r="B875">
        <v>1.962016</v>
      </c>
      <c r="C875">
        <f t="shared" si="15"/>
        <v>-1.1830737353601555E-2</v>
      </c>
      <c r="D875">
        <f>(C875-meanrtn)/stdevrtns</f>
        <v>-1.9528049154677256</v>
      </c>
    </row>
    <row r="876" spans="1:4" x14ac:dyDescent="0.3">
      <c r="A876" s="1">
        <v>39182</v>
      </c>
      <c r="B876">
        <v>1.971803</v>
      </c>
      <c r="C876">
        <f t="shared" si="15"/>
        <v>4.9882365893040579E-3</v>
      </c>
      <c r="D876">
        <f>(C876-meanrtn)/stdevrtns</f>
        <v>0.83477612761173536</v>
      </c>
    </row>
    <row r="877" spans="1:4" x14ac:dyDescent="0.3">
      <c r="A877" s="1">
        <v>39183</v>
      </c>
      <c r="B877">
        <v>1.9762059999999999</v>
      </c>
      <c r="C877">
        <f t="shared" si="15"/>
        <v>2.2329816923901298E-3</v>
      </c>
      <c r="D877">
        <f>(C877-meanrtn)/stdevrtns</f>
        <v>0.3781194762867704</v>
      </c>
    </row>
    <row r="878" spans="1:4" x14ac:dyDescent="0.3">
      <c r="A878" s="1">
        <v>39184</v>
      </c>
      <c r="B878">
        <v>1.980394</v>
      </c>
      <c r="C878">
        <f t="shared" si="15"/>
        <v>2.1192122683566799E-3</v>
      </c>
      <c r="D878">
        <f>(C878-meanrtn)/stdevrtns</f>
        <v>0.359263302848706</v>
      </c>
    </row>
    <row r="879" spans="1:4" x14ac:dyDescent="0.3">
      <c r="A879" s="1">
        <v>39185</v>
      </c>
      <c r="B879">
        <v>1.9864919999999999</v>
      </c>
      <c r="C879">
        <f t="shared" si="15"/>
        <v>3.0791852530354753E-3</v>
      </c>
      <c r="D879">
        <f>(C879-meanrtn)/stdevrtns</f>
        <v>0.5183694708612786</v>
      </c>
    </row>
    <row r="880" spans="1:4" x14ac:dyDescent="0.3">
      <c r="A880" s="1">
        <v>39188</v>
      </c>
      <c r="B880">
        <v>1.988704</v>
      </c>
      <c r="C880">
        <f t="shared" si="15"/>
        <v>1.1135207189357434E-3</v>
      </c>
      <c r="D880">
        <f>(C880-meanrtn)/stdevrtns</f>
        <v>0.19257972822235189</v>
      </c>
    </row>
    <row r="881" spans="1:4" x14ac:dyDescent="0.3">
      <c r="A881" s="1">
        <v>39189</v>
      </c>
      <c r="B881">
        <v>2.007387</v>
      </c>
      <c r="C881">
        <f t="shared" si="15"/>
        <v>9.3945604775773593E-3</v>
      </c>
      <c r="D881">
        <f>(C881-meanrtn)/stdevrtns</f>
        <v>1.565081375857863</v>
      </c>
    </row>
    <row r="882" spans="1:4" x14ac:dyDescent="0.3">
      <c r="A882" s="1">
        <v>39190</v>
      </c>
      <c r="B882">
        <v>2.0089999999999999</v>
      </c>
      <c r="C882">
        <f t="shared" si="15"/>
        <v>8.0353215398917322E-4</v>
      </c>
      <c r="D882">
        <f>(C882-meanrtn)/stdevrtns</f>
        <v>0.14120214418245522</v>
      </c>
    </row>
    <row r="883" spans="1:4" x14ac:dyDescent="0.3">
      <c r="A883" s="1">
        <v>39191</v>
      </c>
      <c r="B883">
        <v>2.0036070000000001</v>
      </c>
      <c r="C883">
        <f t="shared" si="15"/>
        <v>-2.6844201095070977E-3</v>
      </c>
      <c r="D883">
        <f>(C883-meanrtn)/stdevrtns</f>
        <v>-0.43689195608158171</v>
      </c>
    </row>
    <row r="884" spans="1:4" x14ac:dyDescent="0.3">
      <c r="A884" s="1">
        <v>39192</v>
      </c>
      <c r="B884">
        <v>2.0046110000000001</v>
      </c>
      <c r="C884">
        <f t="shared" si="15"/>
        <v>5.0109627287187801E-4</v>
      </c>
      <c r="D884">
        <f>(C884-meanrtn)/stdevrtns</f>
        <v>9.1076343892169537E-2</v>
      </c>
    </row>
    <row r="885" spans="1:4" x14ac:dyDescent="0.3">
      <c r="A885" s="1">
        <v>39195</v>
      </c>
      <c r="B885">
        <v>2.001001</v>
      </c>
      <c r="C885">
        <f t="shared" si="15"/>
        <v>-1.800848144602675E-3</v>
      </c>
      <c r="D885">
        <f>(C885-meanrtn)/stdevrtns</f>
        <v>-0.29044851262747218</v>
      </c>
    </row>
    <row r="886" spans="1:4" x14ac:dyDescent="0.3">
      <c r="A886" s="1">
        <v>39196</v>
      </c>
      <c r="B886">
        <v>2.0020820000000001</v>
      </c>
      <c r="C886">
        <f t="shared" si="15"/>
        <v>5.4022961507770842E-4</v>
      </c>
      <c r="D886">
        <f>(C886-meanrtn)/stdevrtns</f>
        <v>9.7562314038483255E-2</v>
      </c>
    </row>
    <row r="887" spans="1:4" x14ac:dyDescent="0.3">
      <c r="A887" s="1">
        <v>39197</v>
      </c>
      <c r="B887">
        <v>2.0020020000000001</v>
      </c>
      <c r="C887">
        <f t="shared" si="15"/>
        <v>-3.9958403302202411E-5</v>
      </c>
      <c r="D887">
        <f>(C887-meanrtn)/stdevrtns</f>
        <v>1.4018034777378296E-3</v>
      </c>
    </row>
    <row r="888" spans="1:4" x14ac:dyDescent="0.3">
      <c r="A888" s="1">
        <v>39198</v>
      </c>
      <c r="B888">
        <v>1.9904850000000001</v>
      </c>
      <c r="C888">
        <f t="shared" si="15"/>
        <v>-5.7527415057527414E-3</v>
      </c>
      <c r="D888">
        <f>(C888-meanrtn)/stdevrtns</f>
        <v>-0.94543632907867947</v>
      </c>
    </row>
    <row r="889" spans="1:4" x14ac:dyDescent="0.3">
      <c r="A889" s="1">
        <v>39199</v>
      </c>
      <c r="B889">
        <v>1.9986010000000001</v>
      </c>
      <c r="C889">
        <f t="shared" si="15"/>
        <v>4.0773982220413674E-3</v>
      </c>
      <c r="D889">
        <f>(C889-meanrtn)/stdevrtns</f>
        <v>0.68381354365684965</v>
      </c>
    </row>
    <row r="890" spans="1:4" x14ac:dyDescent="0.3">
      <c r="A890" s="1">
        <v>39202</v>
      </c>
      <c r="B890">
        <v>2</v>
      </c>
      <c r="C890">
        <f t="shared" si="15"/>
        <v>6.9998964275507121E-4</v>
      </c>
      <c r="D890">
        <f>(C890-meanrtn)/stdevrtns</f>
        <v>0.12404098188748819</v>
      </c>
    </row>
    <row r="891" spans="1:4" x14ac:dyDescent="0.3">
      <c r="A891" s="1">
        <v>39203</v>
      </c>
      <c r="B891">
        <v>1.9980819999999999</v>
      </c>
      <c r="C891">
        <f t="shared" si="15"/>
        <v>-9.5900000000004315E-4</v>
      </c>
      <c r="D891">
        <f>(C891-meanrtn)/stdevrtns</f>
        <v>-0.15092038582186643</v>
      </c>
    </row>
    <row r="892" spans="1:4" x14ac:dyDescent="0.3">
      <c r="A892" s="1">
        <v>39204</v>
      </c>
      <c r="B892">
        <v>1.988783</v>
      </c>
      <c r="C892">
        <f t="shared" si="15"/>
        <v>-4.6539631506614578E-3</v>
      </c>
      <c r="D892">
        <f>(C892-meanrtn)/stdevrtns</f>
        <v>-0.76332452347174673</v>
      </c>
    </row>
    <row r="893" spans="1:4" x14ac:dyDescent="0.3">
      <c r="A893" s="1">
        <v>39205</v>
      </c>
      <c r="B893">
        <v>1.9879929999999999</v>
      </c>
      <c r="C893">
        <f t="shared" si="15"/>
        <v>-3.9722785241027723E-4</v>
      </c>
      <c r="D893">
        <f>(C893-meanrtn)/stdevrtns</f>
        <v>-5.7812126396099582E-2</v>
      </c>
    </row>
    <row r="894" spans="1:4" x14ac:dyDescent="0.3">
      <c r="A894" s="1">
        <v>39206</v>
      </c>
      <c r="B894">
        <v>1.976089</v>
      </c>
      <c r="C894">
        <f t="shared" si="15"/>
        <v>-5.9879486497185427E-3</v>
      </c>
      <c r="D894">
        <f>(C894-meanrtn)/stdevrtns</f>
        <v>-0.98441962127840921</v>
      </c>
    </row>
    <row r="895" spans="1:4" x14ac:dyDescent="0.3">
      <c r="A895" s="1">
        <v>39209</v>
      </c>
      <c r="B895">
        <v>1.993501</v>
      </c>
      <c r="C895">
        <f t="shared" si="15"/>
        <v>8.8113440234726184E-3</v>
      </c>
      <c r="D895">
        <f>(C895-meanrtn)/stdevrtns</f>
        <v>1.4684189315855025</v>
      </c>
    </row>
    <row r="896" spans="1:4" x14ac:dyDescent="0.3">
      <c r="A896" s="1">
        <v>39210</v>
      </c>
      <c r="B896">
        <v>1.989614</v>
      </c>
      <c r="C896">
        <f t="shared" si="15"/>
        <v>-1.9498359920561736E-3</v>
      </c>
      <c r="D896">
        <f>(C896-meanrtn)/stdevrtns</f>
        <v>-0.31514179657097763</v>
      </c>
    </row>
    <row r="897" spans="1:4" x14ac:dyDescent="0.3">
      <c r="A897" s="1">
        <v>39211</v>
      </c>
      <c r="B897">
        <v>1.993382</v>
      </c>
      <c r="C897">
        <f t="shared" si="15"/>
        <v>1.8938346835114719E-3</v>
      </c>
      <c r="D897">
        <f>(C897-meanrtn)/stdevrtns</f>
        <v>0.32190916429172589</v>
      </c>
    </row>
    <row r="898" spans="1:4" x14ac:dyDescent="0.3">
      <c r="A898" s="1">
        <v>39212</v>
      </c>
      <c r="B898">
        <v>1.9796100000000001</v>
      </c>
      <c r="C898">
        <f t="shared" si="15"/>
        <v>-6.9088614224468246E-3</v>
      </c>
      <c r="D898">
        <f>(C898-meanrtn)/stdevrtns</f>
        <v>-1.1370519397718886</v>
      </c>
    </row>
    <row r="899" spans="1:4" x14ac:dyDescent="0.3">
      <c r="A899" s="1">
        <v>39213</v>
      </c>
      <c r="B899">
        <v>1.9827109999999999</v>
      </c>
      <c r="C899">
        <f t="shared" si="15"/>
        <v>1.5664701633148945E-3</v>
      </c>
      <c r="D899">
        <f>(C899-meanrtn)/stdevrtns</f>
        <v>0.26765168498445185</v>
      </c>
    </row>
    <row r="900" spans="1:4" x14ac:dyDescent="0.3">
      <c r="A900" s="1">
        <v>39216</v>
      </c>
      <c r="B900">
        <v>1.979101</v>
      </c>
      <c r="C900">
        <f t="shared" ref="C900:C963" si="16">(B900-B899)/B899</f>
        <v>-1.8207393815840489E-3</v>
      </c>
      <c r="D900">
        <f>(C900-meanrtn)/stdevrtns</f>
        <v>-0.2937452913323389</v>
      </c>
    </row>
    <row r="901" spans="1:4" x14ac:dyDescent="0.3">
      <c r="A901" s="1">
        <v>39217</v>
      </c>
      <c r="B901">
        <v>1.9860180000000001</v>
      </c>
      <c r="C901">
        <f t="shared" si="16"/>
        <v>3.495021224283178E-3</v>
      </c>
      <c r="D901">
        <f>(C901-meanrtn)/stdevrtns</f>
        <v>0.58729023109407397</v>
      </c>
    </row>
    <row r="902" spans="1:4" x14ac:dyDescent="0.3">
      <c r="A902" s="1">
        <v>39218</v>
      </c>
      <c r="B902">
        <v>1.9774179999999999</v>
      </c>
      <c r="C902">
        <f t="shared" si="16"/>
        <v>-4.330272938110411E-3</v>
      </c>
      <c r="D902">
        <f>(C902-meanrtn)/stdevrtns</f>
        <v>-0.70967602485341907</v>
      </c>
    </row>
    <row r="903" spans="1:4" x14ac:dyDescent="0.3">
      <c r="A903" s="1">
        <v>39219</v>
      </c>
      <c r="B903">
        <v>1.974801</v>
      </c>
      <c r="C903">
        <f t="shared" si="16"/>
        <v>-1.3234429948548408E-3</v>
      </c>
      <c r="D903">
        <f>(C903-meanrtn)/stdevrtns</f>
        <v>-0.21132326100254065</v>
      </c>
    </row>
    <row r="904" spans="1:4" x14ac:dyDescent="0.3">
      <c r="A904" s="1">
        <v>39220</v>
      </c>
      <c r="B904">
        <v>1.975309</v>
      </c>
      <c r="C904">
        <f t="shared" si="16"/>
        <v>2.5724110935732404E-4</v>
      </c>
      <c r="D904">
        <f>(C904-meanrtn)/stdevrtns</f>
        <v>5.0659726720529041E-2</v>
      </c>
    </row>
    <row r="905" spans="1:4" x14ac:dyDescent="0.3">
      <c r="A905" s="1">
        <v>39223</v>
      </c>
      <c r="B905">
        <v>1.9716089999999999</v>
      </c>
      <c r="C905">
        <f t="shared" si="16"/>
        <v>-1.8731246604961739E-3</v>
      </c>
      <c r="D905">
        <f>(C905-meanrtn)/stdevrtns</f>
        <v>-0.3024276408577965</v>
      </c>
    </row>
    <row r="906" spans="1:4" x14ac:dyDescent="0.3">
      <c r="A906" s="1">
        <v>39224</v>
      </c>
      <c r="B906">
        <v>1.975114</v>
      </c>
      <c r="C906">
        <f t="shared" si="16"/>
        <v>1.7777358492480464E-3</v>
      </c>
      <c r="D906">
        <f>(C906-meanrtn)/stdevrtns</f>
        <v>0.30266691380635302</v>
      </c>
    </row>
    <row r="907" spans="1:4" x14ac:dyDescent="0.3">
      <c r="A907" s="1">
        <v>39225</v>
      </c>
      <c r="B907">
        <v>1.9862949999999999</v>
      </c>
      <c r="C907">
        <f t="shared" si="16"/>
        <v>5.6609390647830377E-3</v>
      </c>
      <c r="D907">
        <f>(C907-meanrtn)/stdevrtns</f>
        <v>0.94627000795446647</v>
      </c>
    </row>
    <row r="908" spans="1:4" x14ac:dyDescent="0.3">
      <c r="A908" s="1">
        <v>39226</v>
      </c>
      <c r="B908">
        <v>1.9853879999999999</v>
      </c>
      <c r="C908">
        <f t="shared" si="16"/>
        <v>-4.5662905056901979E-4</v>
      </c>
      <c r="D908">
        <f>(C908-meanrtn)/stdevrtns</f>
        <v>-6.7657296171950432E-2</v>
      </c>
    </row>
    <row r="909" spans="1:4" x14ac:dyDescent="0.3">
      <c r="A909" s="1">
        <v>39227</v>
      </c>
      <c r="B909">
        <v>1.984915</v>
      </c>
      <c r="C909">
        <f t="shared" si="16"/>
        <v>-2.3824058571923759E-4</v>
      </c>
      <c r="D909">
        <f>(C909-meanrtn)/stdevrtns</f>
        <v>-3.1461536150616615E-2</v>
      </c>
    </row>
    <row r="910" spans="1:4" x14ac:dyDescent="0.3">
      <c r="A910" s="1">
        <v>39230</v>
      </c>
      <c r="B910">
        <v>1.9831829999999999</v>
      </c>
      <c r="C910">
        <f t="shared" si="16"/>
        <v>-8.7258144555311782E-4</v>
      </c>
      <c r="D910">
        <f>(C910-meanrtn)/stdevrtns</f>
        <v>-0.13659735250459368</v>
      </c>
    </row>
    <row r="911" spans="1:4" x14ac:dyDescent="0.3">
      <c r="A911" s="1">
        <v>39231</v>
      </c>
      <c r="B911">
        <v>1.980002</v>
      </c>
      <c r="C911">
        <f t="shared" si="16"/>
        <v>-1.6039871257467811E-3</v>
      </c>
      <c r="D911">
        <f>(C911-meanrtn)/stdevrtns</f>
        <v>-0.25782071701123177</v>
      </c>
    </row>
    <row r="912" spans="1:4" x14ac:dyDescent="0.3">
      <c r="A912" s="1">
        <v>39232</v>
      </c>
      <c r="B912">
        <v>1.976402</v>
      </c>
      <c r="C912">
        <f t="shared" si="16"/>
        <v>-1.8181799816364061E-3</v>
      </c>
      <c r="D912">
        <f>(C912-meanrtn)/stdevrtns</f>
        <v>-0.29332109573039988</v>
      </c>
    </row>
    <row r="913" spans="1:4" x14ac:dyDescent="0.3">
      <c r="A913" s="1">
        <v>39233</v>
      </c>
      <c r="B913">
        <v>1.979806</v>
      </c>
      <c r="C913">
        <f t="shared" si="16"/>
        <v>1.7223216734247196E-3</v>
      </c>
      <c r="D913">
        <f>(C913-meanrtn)/stdevrtns</f>
        <v>0.29348255413213309</v>
      </c>
    </row>
    <row r="914" spans="1:4" x14ac:dyDescent="0.3">
      <c r="A914" s="1">
        <v>39234</v>
      </c>
      <c r="B914">
        <v>1.980982</v>
      </c>
      <c r="C914">
        <f t="shared" si="16"/>
        <v>5.939975937036588E-4</v>
      </c>
      <c r="D914">
        <f>(C914-meanrtn)/stdevrtns</f>
        <v>0.10647383256816281</v>
      </c>
    </row>
    <row r="915" spans="1:4" x14ac:dyDescent="0.3">
      <c r="A915" s="1">
        <v>39237</v>
      </c>
      <c r="B915">
        <v>1.9915959999999999</v>
      </c>
      <c r="C915">
        <f t="shared" si="16"/>
        <v>5.357948734516468E-3</v>
      </c>
      <c r="D915">
        <f>(C915-meanrtn)/stdevrtns</f>
        <v>0.89605231312036882</v>
      </c>
    </row>
    <row r="916" spans="1:4" x14ac:dyDescent="0.3">
      <c r="A916" s="1">
        <v>39238</v>
      </c>
      <c r="B916">
        <v>1.993382</v>
      </c>
      <c r="C916">
        <f t="shared" si="16"/>
        <v>8.9676822006072782E-4</v>
      </c>
      <c r="D916">
        <f>(C916-meanrtn)/stdevrtns</f>
        <v>0.15665511362010628</v>
      </c>
    </row>
    <row r="917" spans="1:4" x14ac:dyDescent="0.3">
      <c r="A917" s="1">
        <v>39239</v>
      </c>
      <c r="B917">
        <v>1.992191</v>
      </c>
      <c r="C917">
        <f t="shared" si="16"/>
        <v>-5.9747705156359499E-4</v>
      </c>
      <c r="D917">
        <f>(C917-meanrtn)/stdevrtns</f>
        <v>-9.1001479881428579E-2</v>
      </c>
    </row>
    <row r="918" spans="1:4" x14ac:dyDescent="0.3">
      <c r="A918" s="1">
        <v>39240</v>
      </c>
      <c r="B918">
        <v>1.978005</v>
      </c>
      <c r="C918">
        <f t="shared" si="16"/>
        <v>-7.1208031760007107E-3</v>
      </c>
      <c r="D918">
        <f>(C918-meanrtn)/stdevrtns</f>
        <v>-1.1721792202141679</v>
      </c>
    </row>
    <row r="919" spans="1:4" x14ac:dyDescent="0.3">
      <c r="A919" s="1">
        <v>39241</v>
      </c>
      <c r="B919">
        <v>1.9704820000000001</v>
      </c>
      <c r="C919">
        <f t="shared" si="16"/>
        <v>-3.8033270896686037E-3</v>
      </c>
      <c r="D919">
        <f>(C919-meanrtn)/stdevrtns</f>
        <v>-0.62233988515594363</v>
      </c>
    </row>
    <row r="920" spans="1:4" x14ac:dyDescent="0.3">
      <c r="A920" s="1">
        <v>39244</v>
      </c>
      <c r="B920">
        <v>1.9693959999999999</v>
      </c>
      <c r="C920">
        <f t="shared" si="16"/>
        <v>-5.5113418950294513E-4</v>
      </c>
      <c r="D920">
        <f>(C920-meanrtn)/stdevrtns</f>
        <v>-8.3320602070401054E-2</v>
      </c>
    </row>
    <row r="921" spans="1:4" x14ac:dyDescent="0.3">
      <c r="A921" s="1">
        <v>39245</v>
      </c>
      <c r="B921">
        <v>1.974801</v>
      </c>
      <c r="C921">
        <f t="shared" si="16"/>
        <v>2.7444962821088822E-3</v>
      </c>
      <c r="D921">
        <f>(C921-meanrtn)/stdevrtns</f>
        <v>0.46289803521663986</v>
      </c>
    </row>
    <row r="922" spans="1:4" x14ac:dyDescent="0.3">
      <c r="A922" s="1">
        <v>39246</v>
      </c>
      <c r="B922">
        <v>1.972815</v>
      </c>
      <c r="C922">
        <f t="shared" si="16"/>
        <v>-1.0056709511490236E-3</v>
      </c>
      <c r="D922">
        <f>(C922-meanrtn)/stdevrtns</f>
        <v>-0.1586556412023091</v>
      </c>
    </row>
    <row r="923" spans="1:4" x14ac:dyDescent="0.3">
      <c r="A923" s="1">
        <v>39247</v>
      </c>
      <c r="B923">
        <v>1.969706</v>
      </c>
      <c r="C923">
        <f t="shared" si="16"/>
        <v>-1.5759207021439053E-3</v>
      </c>
      <c r="D923">
        <f>(C923-meanrtn)/stdevrtns</f>
        <v>-0.25316898078475308</v>
      </c>
    </row>
    <row r="924" spans="1:4" x14ac:dyDescent="0.3">
      <c r="A924" s="1">
        <v>39248</v>
      </c>
      <c r="B924">
        <v>1.976793</v>
      </c>
      <c r="C924">
        <f t="shared" si="16"/>
        <v>3.5979988891743568E-3</v>
      </c>
      <c r="D924">
        <f>(C924-meanrtn)/stdevrtns</f>
        <v>0.60435777561169446</v>
      </c>
    </row>
    <row r="925" spans="1:4" x14ac:dyDescent="0.3">
      <c r="A925" s="1">
        <v>39251</v>
      </c>
      <c r="B925">
        <v>1.9838119999999999</v>
      </c>
      <c r="C925">
        <f t="shared" si="16"/>
        <v>3.5507005538768532E-3</v>
      </c>
      <c r="D925">
        <f>(C925-meanrtn)/stdevrtns</f>
        <v>0.59651853742200978</v>
      </c>
    </row>
    <row r="926" spans="1:4" x14ac:dyDescent="0.3">
      <c r="A926" s="1">
        <v>39252</v>
      </c>
      <c r="B926">
        <v>1.9875970000000001</v>
      </c>
      <c r="C926">
        <f t="shared" si="16"/>
        <v>1.907942889749709E-3</v>
      </c>
      <c r="D926">
        <f>(C926-meanrtn)/stdevrtns</f>
        <v>0.32424746200210158</v>
      </c>
    </row>
    <row r="927" spans="1:4" x14ac:dyDescent="0.3">
      <c r="A927" s="1">
        <v>39253</v>
      </c>
      <c r="B927">
        <v>1.99231</v>
      </c>
      <c r="C927">
        <f t="shared" si="16"/>
        <v>2.3712050279810076E-3</v>
      </c>
      <c r="D927">
        <f>(C927-meanrtn)/stdevrtns</f>
        <v>0.40102864728093013</v>
      </c>
    </row>
    <row r="928" spans="1:4" x14ac:dyDescent="0.3">
      <c r="A928" s="1">
        <v>39254</v>
      </c>
      <c r="B928">
        <v>1.9929049999999999</v>
      </c>
      <c r="C928">
        <f t="shared" si="16"/>
        <v>2.9864830272392404E-4</v>
      </c>
      <c r="D928">
        <f>(C928-meanrtn)/stdevrtns</f>
        <v>5.7522565539810729E-2</v>
      </c>
    </row>
    <row r="929" spans="1:4" x14ac:dyDescent="0.3">
      <c r="A929" s="1">
        <v>39255</v>
      </c>
      <c r="B929">
        <v>1.997603</v>
      </c>
      <c r="C929">
        <f t="shared" si="16"/>
        <v>2.3573627443355762E-3</v>
      </c>
      <c r="D929">
        <f>(C929-meanrtn)/stdevrtns</f>
        <v>0.39873442364910094</v>
      </c>
    </row>
    <row r="930" spans="1:4" x14ac:dyDescent="0.3">
      <c r="A930" s="1">
        <v>39258</v>
      </c>
      <c r="B930">
        <v>1.998202</v>
      </c>
      <c r="C930">
        <f t="shared" si="16"/>
        <v>2.9985938146869835E-4</v>
      </c>
      <c r="D930">
        <f>(C930-meanrtn)/stdevrtns</f>
        <v>5.7723290040726752E-2</v>
      </c>
    </row>
    <row r="931" spans="1:4" x14ac:dyDescent="0.3">
      <c r="A931" s="1">
        <v>39259</v>
      </c>
      <c r="B931">
        <v>1.9984010000000001</v>
      </c>
      <c r="C931">
        <f t="shared" si="16"/>
        <v>9.9589530988388673E-5</v>
      </c>
      <c r="D931">
        <f>(C931-meanrtn)/stdevrtns</f>
        <v>2.4530513799180122E-2</v>
      </c>
    </row>
    <row r="932" spans="1:4" x14ac:dyDescent="0.3">
      <c r="A932" s="1">
        <v>39260</v>
      </c>
      <c r="B932">
        <v>1.9996</v>
      </c>
      <c r="C932">
        <f t="shared" si="16"/>
        <v>5.9997968375713885E-4</v>
      </c>
      <c r="D932">
        <f>(C932-meanrtn)/stdevrtns</f>
        <v>0.10746530570366339</v>
      </c>
    </row>
    <row r="933" spans="1:4" x14ac:dyDescent="0.3">
      <c r="A933" s="1">
        <v>39261</v>
      </c>
      <c r="B933">
        <v>2.0022030000000002</v>
      </c>
      <c r="C933">
        <f t="shared" si="16"/>
        <v>1.3017603520704805E-3</v>
      </c>
      <c r="D933">
        <f>(C933-meanrtn)/stdevrtns</f>
        <v>0.2237786131640794</v>
      </c>
    </row>
    <row r="934" spans="1:4" x14ac:dyDescent="0.3">
      <c r="A934" s="1">
        <v>39262</v>
      </c>
      <c r="B934">
        <v>2.0083139999999999</v>
      </c>
      <c r="C934">
        <f t="shared" si="16"/>
        <v>3.052138069915865E-3</v>
      </c>
      <c r="D934">
        <f>(C934-meanrtn)/stdevrtns</f>
        <v>0.51388666381318704</v>
      </c>
    </row>
    <row r="935" spans="1:4" x14ac:dyDescent="0.3">
      <c r="A935" s="1">
        <v>39265</v>
      </c>
      <c r="B935">
        <v>2.0177969999999998</v>
      </c>
      <c r="C935">
        <f t="shared" si="16"/>
        <v>4.7218711814984654E-3</v>
      </c>
      <c r="D935">
        <f>(C935-meanrtn)/stdevrtns</f>
        <v>0.79062865679386196</v>
      </c>
    </row>
    <row r="936" spans="1:4" x14ac:dyDescent="0.3">
      <c r="A936" s="1">
        <v>39266</v>
      </c>
      <c r="B936">
        <v>2.0169830000000002</v>
      </c>
      <c r="C936">
        <f t="shared" si="16"/>
        <v>-4.0341025385588758E-4</v>
      </c>
      <c r="D936">
        <f>(C936-meanrtn)/stdevrtns</f>
        <v>-5.8836799192965403E-2</v>
      </c>
    </row>
    <row r="937" spans="1:4" x14ac:dyDescent="0.3">
      <c r="A937" s="1">
        <v>39267</v>
      </c>
      <c r="B937">
        <v>2.0162100000000001</v>
      </c>
      <c r="C937">
        <f t="shared" si="16"/>
        <v>-3.8324566939837104E-4</v>
      </c>
      <c r="D937">
        <f>(C937-meanrtn)/stdevrtns</f>
        <v>-5.5494715807488854E-2</v>
      </c>
    </row>
    <row r="938" spans="1:4" x14ac:dyDescent="0.3">
      <c r="A938" s="1">
        <v>39268</v>
      </c>
      <c r="B938">
        <v>2.012194</v>
      </c>
      <c r="C938">
        <f t="shared" si="16"/>
        <v>-1.9918560070627659E-3</v>
      </c>
      <c r="D938">
        <f>(C938-meanrtn)/stdevrtns</f>
        <v>-0.32210620460561279</v>
      </c>
    </row>
    <row r="939" spans="1:4" x14ac:dyDescent="0.3">
      <c r="A939" s="1">
        <v>39269</v>
      </c>
      <c r="B939">
        <v>2.0119919999999998</v>
      </c>
      <c r="C939">
        <f t="shared" si="16"/>
        <v>-1.0038793476188554E-4</v>
      </c>
      <c r="D939">
        <f>(C939-meanrtn)/stdevrtns</f>
        <v>-8.6138025224273117E-3</v>
      </c>
    </row>
    <row r="940" spans="1:4" x14ac:dyDescent="0.3">
      <c r="A940" s="1">
        <v>39272</v>
      </c>
      <c r="B940">
        <v>2.0147889999999999</v>
      </c>
      <c r="C940">
        <f t="shared" si="16"/>
        <v>1.390164573219059E-3</v>
      </c>
      <c r="D940">
        <f>(C940-meanrtn)/stdevrtns</f>
        <v>0.23843075138835731</v>
      </c>
    </row>
    <row r="941" spans="1:4" x14ac:dyDescent="0.3">
      <c r="A941" s="1">
        <v>39273</v>
      </c>
      <c r="B941">
        <v>2.0274109999999999</v>
      </c>
      <c r="C941">
        <f t="shared" si="16"/>
        <v>6.2646758543946348E-3</v>
      </c>
      <c r="D941">
        <f>(C941-meanrtn)/stdevrtns</f>
        <v>1.0463334978822114</v>
      </c>
    </row>
    <row r="942" spans="1:4" x14ac:dyDescent="0.3">
      <c r="A942" s="1">
        <v>39274</v>
      </c>
      <c r="B942">
        <v>2.032314</v>
      </c>
      <c r="C942">
        <f t="shared" si="16"/>
        <v>2.4183552323629011E-3</v>
      </c>
      <c r="D942">
        <f>(C942-meanrtn)/stdevrtns</f>
        <v>0.4088433342147742</v>
      </c>
    </row>
    <row r="943" spans="1:4" x14ac:dyDescent="0.3">
      <c r="A943" s="1">
        <v>39275</v>
      </c>
      <c r="B943">
        <v>2.0295920000000001</v>
      </c>
      <c r="C943">
        <f t="shared" si="16"/>
        <v>-1.3393599611083186E-3</v>
      </c>
      <c r="D943">
        <f>(C943-meanrtn)/stdevrtns</f>
        <v>-0.21396134306046818</v>
      </c>
    </row>
    <row r="944" spans="1:4" x14ac:dyDescent="0.3">
      <c r="A944" s="1">
        <v>39276</v>
      </c>
      <c r="B944">
        <v>2.0347949999999999</v>
      </c>
      <c r="C944">
        <f t="shared" si="16"/>
        <v>2.5635694267615592E-3</v>
      </c>
      <c r="D944">
        <f>(C944-meanrtn)/stdevrtns</f>
        <v>0.4329111719357846</v>
      </c>
    </row>
    <row r="945" spans="1:4" x14ac:dyDescent="0.3">
      <c r="A945" s="1">
        <v>39279</v>
      </c>
      <c r="B945">
        <v>2.0367839999999999</v>
      </c>
      <c r="C945">
        <f t="shared" si="16"/>
        <v>9.7749404731190047E-4</v>
      </c>
      <c r="D945">
        <f>(C945-meanrtn)/stdevrtns</f>
        <v>0.17003463287592838</v>
      </c>
    </row>
    <row r="946" spans="1:4" x14ac:dyDescent="0.3">
      <c r="A946" s="1">
        <v>39280</v>
      </c>
      <c r="B946">
        <v>2.0477120000000002</v>
      </c>
      <c r="C946">
        <f t="shared" si="16"/>
        <v>5.3653210158761417E-3</v>
      </c>
      <c r="D946">
        <f>(C946-meanrtn)/stdevrtns</f>
        <v>0.89727419691852661</v>
      </c>
    </row>
    <row r="947" spans="1:4" x14ac:dyDescent="0.3">
      <c r="A947" s="1">
        <v>39281</v>
      </c>
      <c r="B947">
        <v>2.0536829999999999</v>
      </c>
      <c r="C947">
        <f t="shared" si="16"/>
        <v>2.9159373974463822E-3</v>
      </c>
      <c r="D947">
        <f>(C947-meanrtn)/stdevrtns</f>
        <v>0.49131272952210309</v>
      </c>
    </row>
    <row r="948" spans="1:4" x14ac:dyDescent="0.3">
      <c r="A948" s="1">
        <v>39282</v>
      </c>
      <c r="B948">
        <v>2.048886</v>
      </c>
      <c r="C948">
        <f t="shared" si="16"/>
        <v>-2.3358035295612516E-3</v>
      </c>
      <c r="D948">
        <f>(C948-meanrtn)/stdevrtns</f>
        <v>-0.379112154955833</v>
      </c>
    </row>
    <row r="949" spans="1:4" x14ac:dyDescent="0.3">
      <c r="A949" s="1">
        <v>39283</v>
      </c>
      <c r="B949">
        <v>2.0570210000000002</v>
      </c>
      <c r="C949">
        <f t="shared" si="16"/>
        <v>3.9704502837152609E-3</v>
      </c>
      <c r="D949">
        <f>(C949-meanrtn)/stdevrtns</f>
        <v>0.66608796500464906</v>
      </c>
    </row>
    <row r="950" spans="1:4" x14ac:dyDescent="0.3">
      <c r="A950" s="1">
        <v>39286</v>
      </c>
      <c r="B950">
        <v>2.0593080000000001</v>
      </c>
      <c r="C950">
        <f t="shared" si="16"/>
        <v>1.1118019699361008E-3</v>
      </c>
      <c r="D950">
        <f>(C950-meanrtn)/stdevrtns</f>
        <v>0.19229486232354737</v>
      </c>
    </row>
    <row r="951" spans="1:4" x14ac:dyDescent="0.3">
      <c r="A951" s="1">
        <v>39287</v>
      </c>
      <c r="B951">
        <v>2.0618979999999998</v>
      </c>
      <c r="C951">
        <f t="shared" si="16"/>
        <v>1.2577040442710114E-3</v>
      </c>
      <c r="D951">
        <f>(C951-meanrtn)/stdevrtns</f>
        <v>0.21647670944113107</v>
      </c>
    </row>
    <row r="952" spans="1:4" x14ac:dyDescent="0.3">
      <c r="A952" s="1">
        <v>39288</v>
      </c>
      <c r="B952">
        <v>2.0530930000000001</v>
      </c>
      <c r="C952">
        <f t="shared" si="16"/>
        <v>-4.2703373299744852E-3</v>
      </c>
      <c r="D952">
        <f>(C952-meanrtn)/stdevrtns</f>
        <v>-0.69974228183126408</v>
      </c>
    </row>
    <row r="953" spans="1:4" x14ac:dyDescent="0.3">
      <c r="A953" s="1">
        <v>39289</v>
      </c>
      <c r="B953">
        <v>2.047879</v>
      </c>
      <c r="C953">
        <f t="shared" si="16"/>
        <v>-2.5395829609277574E-3</v>
      </c>
      <c r="D953">
        <f>(C953-meanrtn)/stdevrtns</f>
        <v>-0.41288661003110189</v>
      </c>
    </row>
    <row r="954" spans="1:4" x14ac:dyDescent="0.3">
      <c r="A954" s="1">
        <v>39290</v>
      </c>
      <c r="B954">
        <v>2.0246189999999999</v>
      </c>
      <c r="C954">
        <f t="shared" si="16"/>
        <v>-1.1358092934201707E-2</v>
      </c>
      <c r="D954">
        <f>(C954-meanrtn)/stdevrtns</f>
        <v>-1.8744687085083194</v>
      </c>
    </row>
    <row r="955" spans="1:4" x14ac:dyDescent="0.3">
      <c r="A955" s="1">
        <v>39293</v>
      </c>
      <c r="B955">
        <v>2.0283150000000001</v>
      </c>
      <c r="C955">
        <f t="shared" si="16"/>
        <v>1.8255286550210898E-3</v>
      </c>
      <c r="D955">
        <f>(C955-meanrtn)/stdevrtns</f>
        <v>0.3105881056591242</v>
      </c>
    </row>
    <row r="956" spans="1:4" x14ac:dyDescent="0.3">
      <c r="A956" s="1">
        <v>39294</v>
      </c>
      <c r="B956">
        <v>2.0293860000000001</v>
      </c>
      <c r="C956">
        <f t="shared" si="16"/>
        <v>5.2802449323701892E-4</v>
      </c>
      <c r="D956">
        <f>(C956-meanrtn)/stdevrtns</f>
        <v>9.5539434022908223E-2</v>
      </c>
    </row>
    <row r="957" spans="1:4" x14ac:dyDescent="0.3">
      <c r="A957" s="1">
        <v>39295</v>
      </c>
      <c r="B957">
        <v>2.0319829999999999</v>
      </c>
      <c r="C957">
        <f t="shared" si="16"/>
        <v>1.2796974060133154E-3</v>
      </c>
      <c r="D957">
        <f>(C957-meanrtn)/stdevrtns</f>
        <v>0.22012189484153391</v>
      </c>
    </row>
    <row r="958" spans="1:4" x14ac:dyDescent="0.3">
      <c r="A958" s="1">
        <v>39296</v>
      </c>
      <c r="B958">
        <v>2.0366179999999998</v>
      </c>
      <c r="C958">
        <f t="shared" si="16"/>
        <v>2.2810230203697299E-3</v>
      </c>
      <c r="D958">
        <f>(C958-meanrtn)/stdevrtns</f>
        <v>0.38608185827362068</v>
      </c>
    </row>
    <row r="959" spans="1:4" x14ac:dyDescent="0.3">
      <c r="A959" s="1">
        <v>39297</v>
      </c>
      <c r="B959">
        <v>2.0428169999999999</v>
      </c>
      <c r="C959">
        <f t="shared" si="16"/>
        <v>3.0437715860313842E-3</v>
      </c>
      <c r="D959">
        <f>(C959-meanrtn)/stdevrtns</f>
        <v>0.51250000063428092</v>
      </c>
    </row>
    <row r="960" spans="1:4" x14ac:dyDescent="0.3">
      <c r="A960" s="1">
        <v>39300</v>
      </c>
      <c r="B960">
        <v>2.0314049999999999</v>
      </c>
      <c r="C960">
        <f t="shared" si="16"/>
        <v>-5.5864034810753872E-3</v>
      </c>
      <c r="D960">
        <f>(C960-meanrtn)/stdevrtns</f>
        <v>-0.91786742232444429</v>
      </c>
    </row>
    <row r="961" spans="1:4" x14ac:dyDescent="0.3">
      <c r="A961" s="1">
        <v>39301</v>
      </c>
      <c r="B961">
        <v>2.0222859999999998</v>
      </c>
      <c r="C961">
        <f t="shared" si="16"/>
        <v>-4.4890113000608444E-3</v>
      </c>
      <c r="D961">
        <f>(C961-meanrtn)/stdevrtns</f>
        <v>-0.73598536156353167</v>
      </c>
    </row>
    <row r="962" spans="1:4" x14ac:dyDescent="0.3">
      <c r="A962" s="1">
        <v>39302</v>
      </c>
      <c r="B962">
        <v>2.0372819999999998</v>
      </c>
      <c r="C962">
        <f t="shared" si="16"/>
        <v>7.4153705262262658E-3</v>
      </c>
      <c r="D962">
        <f>(C962-meanrtn)/stdevrtns</f>
        <v>1.2370499271043052</v>
      </c>
    </row>
    <row r="963" spans="1:4" x14ac:dyDescent="0.3">
      <c r="A963" s="1">
        <v>39303</v>
      </c>
      <c r="B963">
        <v>2.0229810000000001</v>
      </c>
      <c r="C963">
        <f t="shared" si="16"/>
        <v>-7.0196467646598147E-3</v>
      </c>
      <c r="D963">
        <f>(C963-meanrtn)/stdevrtns</f>
        <v>-1.1554135307257927</v>
      </c>
    </row>
    <row r="964" spans="1:4" x14ac:dyDescent="0.3">
      <c r="A964" s="1">
        <v>39304</v>
      </c>
      <c r="B964">
        <v>2.022081</v>
      </c>
      <c r="C964">
        <f t="shared" ref="C964:C1027" si="17">(B964-B963)/B963</f>
        <v>-4.4488801427206823E-4</v>
      </c>
      <c r="D964">
        <f>(C964-meanrtn)/stdevrtns</f>
        <v>-6.5711333813093492E-2</v>
      </c>
    </row>
    <row r="965" spans="1:4" x14ac:dyDescent="0.3">
      <c r="A965" s="1">
        <v>39307</v>
      </c>
      <c r="B965">
        <v>2.0119919999999998</v>
      </c>
      <c r="C965">
        <f t="shared" si="17"/>
        <v>-4.9894143706410553E-3</v>
      </c>
      <c r="D965">
        <f>(C965-meanrtn)/stdevrtns</f>
        <v>-0.81892229446939047</v>
      </c>
    </row>
    <row r="966" spans="1:4" x14ac:dyDescent="0.3">
      <c r="A966" s="1">
        <v>39308</v>
      </c>
      <c r="B966">
        <v>1.9970049999999999</v>
      </c>
      <c r="C966">
        <f t="shared" si="17"/>
        <v>-7.4488367746988375E-3</v>
      </c>
      <c r="D966">
        <f>(C966-meanrtn)/stdevrtns</f>
        <v>-1.2265475927634186</v>
      </c>
    </row>
    <row r="967" spans="1:4" x14ac:dyDescent="0.3">
      <c r="A967" s="1">
        <v>39309</v>
      </c>
      <c r="B967">
        <v>1.9868079999999999</v>
      </c>
      <c r="C967">
        <f t="shared" si="17"/>
        <v>-5.1061464543153429E-3</v>
      </c>
      <c r="D967">
        <f>(C967-meanrtn)/stdevrtns</f>
        <v>-0.83826949987408561</v>
      </c>
    </row>
    <row r="968" spans="1:4" x14ac:dyDescent="0.3">
      <c r="A968" s="1">
        <v>39310</v>
      </c>
      <c r="B968">
        <v>1.985309</v>
      </c>
      <c r="C968">
        <f t="shared" si="17"/>
        <v>-7.5447652717319292E-4</v>
      </c>
      <c r="D968">
        <f>(C968-meanrtn)/stdevrtns</f>
        <v>-0.11702261312465687</v>
      </c>
    </row>
    <row r="969" spans="1:4" x14ac:dyDescent="0.3">
      <c r="A969" s="1">
        <v>39311</v>
      </c>
      <c r="B969">
        <v>1.982003</v>
      </c>
      <c r="C969">
        <f t="shared" si="17"/>
        <v>-1.6652319613722757E-3</v>
      </c>
      <c r="D969">
        <f>(C969-meanrtn)/stdevrtns</f>
        <v>-0.26797145173236853</v>
      </c>
    </row>
    <row r="970" spans="1:4" x14ac:dyDescent="0.3">
      <c r="A970" s="1">
        <v>39314</v>
      </c>
      <c r="B970">
        <v>1.988585</v>
      </c>
      <c r="C970">
        <f t="shared" si="17"/>
        <v>3.3208829653638707E-3</v>
      </c>
      <c r="D970">
        <f>(C970-meanrtn)/stdevrtns</f>
        <v>0.55842851152151463</v>
      </c>
    </row>
    <row r="971" spans="1:4" x14ac:dyDescent="0.3">
      <c r="A971" s="1">
        <v>39315</v>
      </c>
      <c r="B971">
        <v>1.9807079999999999</v>
      </c>
      <c r="C971">
        <f t="shared" si="17"/>
        <v>-3.9611080240473167E-3</v>
      </c>
      <c r="D971">
        <f>(C971-meanrtn)/stdevrtns</f>
        <v>-0.6484905375754384</v>
      </c>
    </row>
    <row r="972" spans="1:4" x14ac:dyDescent="0.3">
      <c r="A972" s="1">
        <v>39316</v>
      </c>
      <c r="B972">
        <v>1.995012</v>
      </c>
      <c r="C972">
        <f t="shared" si="17"/>
        <v>7.2216601336492284E-3</v>
      </c>
      <c r="D972">
        <f>(C972-meanrtn)/stdevrtns</f>
        <v>1.2049443170933567</v>
      </c>
    </row>
    <row r="973" spans="1:4" x14ac:dyDescent="0.3">
      <c r="A973" s="1">
        <v>39317</v>
      </c>
      <c r="B973">
        <v>2.0032049999999999</v>
      </c>
      <c r="C973">
        <f t="shared" si="17"/>
        <v>4.1067422150843679E-3</v>
      </c>
      <c r="D973">
        <f>(C973-meanrtn)/stdevrtns</f>
        <v>0.68867702456909807</v>
      </c>
    </row>
    <row r="974" spans="1:4" x14ac:dyDescent="0.3">
      <c r="A974" s="1">
        <v>39318</v>
      </c>
      <c r="B974">
        <v>2.0136120000000002</v>
      </c>
      <c r="C974">
        <f t="shared" si="17"/>
        <v>5.1951747324913214E-3</v>
      </c>
      <c r="D974">
        <f>(C974-meanrtn)/stdevrtns</f>
        <v>0.8690741083920791</v>
      </c>
    </row>
    <row r="975" spans="1:4" x14ac:dyDescent="0.3">
      <c r="A975" s="1">
        <v>39321</v>
      </c>
      <c r="B975">
        <v>2.0089999999999999</v>
      </c>
      <c r="C975">
        <f t="shared" si="17"/>
        <v>-2.2904114596060624E-3</v>
      </c>
      <c r="D975">
        <f>(C975-meanrtn)/stdevrtns</f>
        <v>-0.37158886167154825</v>
      </c>
    </row>
    <row r="976" spans="1:4" x14ac:dyDescent="0.3">
      <c r="A976" s="1">
        <v>39322</v>
      </c>
      <c r="B976">
        <v>2.0005999999999999</v>
      </c>
      <c r="C976">
        <f t="shared" si="17"/>
        <v>-4.1811846689895288E-3</v>
      </c>
      <c r="D976">
        <f>(C976-meanrtn)/stdevrtns</f>
        <v>-0.68496609699707667</v>
      </c>
    </row>
    <row r="977" spans="1:4" x14ac:dyDescent="0.3">
      <c r="A977" s="1">
        <v>39323</v>
      </c>
      <c r="B977">
        <v>2.0167799999999998</v>
      </c>
      <c r="C977">
        <f t="shared" si="17"/>
        <v>8.0875737278815665E-3</v>
      </c>
      <c r="D977">
        <f>(C977-meanrtn)/stdevrtns</f>
        <v>1.3484610576758005</v>
      </c>
    </row>
    <row r="978" spans="1:4" x14ac:dyDescent="0.3">
      <c r="A978" s="1">
        <v>39324</v>
      </c>
      <c r="B978">
        <v>2.014383</v>
      </c>
      <c r="C978">
        <f t="shared" si="17"/>
        <v>-1.1885282479991673E-3</v>
      </c>
      <c r="D978">
        <f>(C978-meanrtn)/stdevrtns</f>
        <v>-0.18896245635159009</v>
      </c>
    </row>
    <row r="979" spans="1:4" x14ac:dyDescent="0.3">
      <c r="A979" s="1">
        <v>39325</v>
      </c>
      <c r="B979">
        <v>2.0171860000000001</v>
      </c>
      <c r="C979">
        <f t="shared" si="17"/>
        <v>1.3914930775329772E-3</v>
      </c>
      <c r="D979">
        <f>(C979-meanrtn)/stdevrtns</f>
        <v>0.23865093803313714</v>
      </c>
    </row>
    <row r="980" spans="1:4" x14ac:dyDescent="0.3">
      <c r="A980" s="1">
        <v>39328</v>
      </c>
      <c r="B980">
        <v>2.0177149999999999</v>
      </c>
      <c r="C980">
        <f t="shared" si="17"/>
        <v>2.6224651569056083E-4</v>
      </c>
      <c r="D980">
        <f>(C980-meanrtn)/stdevrtns</f>
        <v>5.1489324046430501E-2</v>
      </c>
    </row>
    <row r="981" spans="1:4" x14ac:dyDescent="0.3">
      <c r="A981" s="1">
        <v>39329</v>
      </c>
      <c r="B981">
        <v>2.0141800000000001</v>
      </c>
      <c r="C981">
        <f t="shared" si="17"/>
        <v>-1.7519818210202352E-3</v>
      </c>
      <c r="D981">
        <f>(C981-meanrtn)/stdevrtns</f>
        <v>-0.28234939565839845</v>
      </c>
    </row>
    <row r="982" spans="1:4" x14ac:dyDescent="0.3">
      <c r="A982" s="1">
        <v>39330</v>
      </c>
      <c r="B982">
        <v>2.0204059999999999</v>
      </c>
      <c r="C982">
        <f t="shared" si="17"/>
        <v>3.0910842129302459E-3</v>
      </c>
      <c r="D982">
        <f>(C982-meanrtn)/stdevrtns</f>
        <v>0.52034160751763003</v>
      </c>
    </row>
    <row r="983" spans="1:4" x14ac:dyDescent="0.3">
      <c r="A983" s="1">
        <v>39331</v>
      </c>
      <c r="B983">
        <v>2.0251109999999999</v>
      </c>
      <c r="C983">
        <f t="shared" si="17"/>
        <v>2.3287398671355953E-3</v>
      </c>
      <c r="D983">
        <f>(C983-meanrtn)/stdevrtns</f>
        <v>0.39399046066111415</v>
      </c>
    </row>
    <row r="984" spans="1:4" x14ac:dyDescent="0.3">
      <c r="A984" s="1">
        <v>39332</v>
      </c>
      <c r="B984">
        <v>2.0286029999999999</v>
      </c>
      <c r="C984">
        <f t="shared" si="17"/>
        <v>1.7243499245226809E-3</v>
      </c>
      <c r="D984">
        <f>(C984-meanrtn)/stdevrtns</f>
        <v>0.29381871698787421</v>
      </c>
    </row>
    <row r="985" spans="1:4" x14ac:dyDescent="0.3">
      <c r="A985" s="1">
        <v>39336</v>
      </c>
      <c r="B985">
        <v>2.0331809999999999</v>
      </c>
      <c r="C985">
        <f t="shared" si="17"/>
        <v>2.2567254411040363E-3</v>
      </c>
      <c r="D985">
        <f>(C985-meanrtn)/stdevrtns</f>
        <v>0.38205477127154247</v>
      </c>
    </row>
    <row r="986" spans="1:4" x14ac:dyDescent="0.3">
      <c r="A986" s="1">
        <v>39337</v>
      </c>
      <c r="B986">
        <v>2.0295920000000001</v>
      </c>
      <c r="C986">
        <f t="shared" si="17"/>
        <v>-1.7652142135893669E-3</v>
      </c>
      <c r="D986">
        <f>(C986-meanrtn)/stdevrtns</f>
        <v>-0.28454253578725014</v>
      </c>
    </row>
    <row r="987" spans="1:4" x14ac:dyDescent="0.3">
      <c r="A987" s="1">
        <v>39338</v>
      </c>
      <c r="B987">
        <v>2.0175930000000002</v>
      </c>
      <c r="C987">
        <f t="shared" si="17"/>
        <v>-5.9120256682130548E-3</v>
      </c>
      <c r="D987">
        <f>(C987-meanrtn)/stdevrtns</f>
        <v>-0.97183612690489873</v>
      </c>
    </row>
    <row r="988" spans="1:4" x14ac:dyDescent="0.3">
      <c r="A988" s="1">
        <v>39339</v>
      </c>
      <c r="B988">
        <v>2.0067020000000002</v>
      </c>
      <c r="C988">
        <f t="shared" si="17"/>
        <v>-5.3980163491843909E-3</v>
      </c>
      <c r="D988">
        <f>(C988-meanrtn)/stdevrtns</f>
        <v>-0.88664409090112861</v>
      </c>
    </row>
    <row r="989" spans="1:4" x14ac:dyDescent="0.3">
      <c r="A989" s="1">
        <v>39342</v>
      </c>
      <c r="B989">
        <v>1.9940180000000001</v>
      </c>
      <c r="C989">
        <f t="shared" si="17"/>
        <v>-6.3208189357463829E-3</v>
      </c>
      <c r="D989">
        <f>(C989-meanrtn)/stdevrtns</f>
        <v>-1.0395896276227643</v>
      </c>
    </row>
    <row r="990" spans="1:4" x14ac:dyDescent="0.3">
      <c r="A990" s="1">
        <v>39343</v>
      </c>
      <c r="B990">
        <v>2.0134089999999998</v>
      </c>
      <c r="C990">
        <f t="shared" si="17"/>
        <v>9.7245862374360278E-3</v>
      </c>
      <c r="D990">
        <f>(C990-meanrtn)/stdevrtns</f>
        <v>1.6197799297073963</v>
      </c>
    </row>
    <row r="991" spans="1:4" x14ac:dyDescent="0.3">
      <c r="A991" s="1">
        <v>39344</v>
      </c>
      <c r="B991">
        <v>2.0005999999999999</v>
      </c>
      <c r="C991">
        <f t="shared" si="17"/>
        <v>-6.3618469968098135E-3</v>
      </c>
      <c r="D991">
        <f>(C991-meanrtn)/stdevrtns</f>
        <v>-1.0463896289571482</v>
      </c>
    </row>
    <row r="992" spans="1:4" x14ac:dyDescent="0.3">
      <c r="A992" s="1">
        <v>39345</v>
      </c>
      <c r="B992">
        <v>2.0106160000000002</v>
      </c>
      <c r="C992">
        <f t="shared" si="17"/>
        <v>5.0064980505849484E-3</v>
      </c>
      <c r="D992">
        <f>(C992-meanrtn)/stdevrtns</f>
        <v>0.83780278687515686</v>
      </c>
    </row>
    <row r="993" spans="1:4" x14ac:dyDescent="0.3">
      <c r="A993" s="1">
        <v>39346</v>
      </c>
      <c r="B993">
        <v>2.0204059999999999</v>
      </c>
      <c r="C993">
        <f t="shared" si="17"/>
        <v>4.8691545277664864E-3</v>
      </c>
      <c r="D993">
        <f>(C993-meanrtn)/stdevrtns</f>
        <v>0.8150394362749267</v>
      </c>
    </row>
    <row r="994" spans="1:4" x14ac:dyDescent="0.3">
      <c r="A994" s="1">
        <v>39349</v>
      </c>
      <c r="B994">
        <v>2.0206919999999999</v>
      </c>
      <c r="C994">
        <f t="shared" si="17"/>
        <v>1.4155570712025625E-4</v>
      </c>
      <c r="D994">
        <f>(C994-meanrtn)/stdevrtns</f>
        <v>3.1485998564948055E-2</v>
      </c>
    </row>
    <row r="995" spans="1:4" x14ac:dyDescent="0.3">
      <c r="A995" s="1">
        <v>39350</v>
      </c>
      <c r="B995">
        <v>2.0188969999999999</v>
      </c>
      <c r="C995">
        <f t="shared" si="17"/>
        <v>-8.8830954940188368E-4</v>
      </c>
      <c r="D995">
        <f>(C995-meanrtn)/stdevrtns</f>
        <v>-0.139204132459259</v>
      </c>
    </row>
    <row r="996" spans="1:4" x14ac:dyDescent="0.3">
      <c r="A996" s="1">
        <v>39351</v>
      </c>
      <c r="B996">
        <v>2.0156010000000002</v>
      </c>
      <c r="C996">
        <f t="shared" si="17"/>
        <v>-1.6325746187149438E-3</v>
      </c>
      <c r="D996">
        <f>(C996-meanrtn)/stdevrtns</f>
        <v>-0.26255881540758674</v>
      </c>
    </row>
    <row r="997" spans="1:4" x14ac:dyDescent="0.3">
      <c r="A997" s="1">
        <v>39352</v>
      </c>
      <c r="B997">
        <v>2.0267940000000002</v>
      </c>
      <c r="C997">
        <f t="shared" si="17"/>
        <v>5.5531824006834719E-3</v>
      </c>
      <c r="D997">
        <f>(C997-meanrtn)/stdevrtns</f>
        <v>0.9284103908857253</v>
      </c>
    </row>
    <row r="998" spans="1:4" x14ac:dyDescent="0.3">
      <c r="A998" s="1">
        <v>39353</v>
      </c>
      <c r="B998">
        <v>2.0462030000000002</v>
      </c>
      <c r="C998">
        <f t="shared" si="17"/>
        <v>9.5762075474863286E-3</v>
      </c>
      <c r="D998">
        <f>(C998-meanrtn)/stdevrtns</f>
        <v>1.5951876076843745</v>
      </c>
    </row>
    <row r="999" spans="1:4" x14ac:dyDescent="0.3">
      <c r="A999" s="1">
        <v>39356</v>
      </c>
      <c r="B999">
        <v>2.0443210000000001</v>
      </c>
      <c r="C999">
        <f t="shared" si="17"/>
        <v>-9.1975234128781997E-4</v>
      </c>
      <c r="D999">
        <f>(C999-meanrtn)/stdevrtns</f>
        <v>-0.14441546882854447</v>
      </c>
    </row>
    <row r="1000" spans="1:4" x14ac:dyDescent="0.3">
      <c r="A1000" s="1">
        <v>39357</v>
      </c>
      <c r="B1000">
        <v>2.039984</v>
      </c>
      <c r="C1000">
        <f t="shared" si="17"/>
        <v>-2.1214867919470744E-3</v>
      </c>
      <c r="D1000">
        <f>(C1000-meanrtn)/stdevrtns</f>
        <v>-0.34359124404795244</v>
      </c>
    </row>
    <row r="1001" spans="1:4" x14ac:dyDescent="0.3">
      <c r="A1001" s="1">
        <v>39358</v>
      </c>
      <c r="B1001">
        <v>2.0326029999999999</v>
      </c>
      <c r="C1001">
        <f t="shared" si="17"/>
        <v>-3.618165632671669E-3</v>
      </c>
      <c r="D1001">
        <f>(C1001-meanrtn)/stdevrtns</f>
        <v>-0.59165117791459931</v>
      </c>
    </row>
    <row r="1002" spans="1:4" x14ac:dyDescent="0.3">
      <c r="A1002" s="1">
        <v>39359</v>
      </c>
      <c r="B1002">
        <v>2.038611</v>
      </c>
      <c r="C1002">
        <f t="shared" si="17"/>
        <v>2.9558157692377773E-3</v>
      </c>
      <c r="D1002">
        <f>(C1002-meanrtn)/stdevrtns</f>
        <v>0.4979221810624842</v>
      </c>
    </row>
    <row r="1003" spans="1:4" x14ac:dyDescent="0.3">
      <c r="A1003" s="1">
        <v>39360</v>
      </c>
      <c r="B1003">
        <v>2.0436939999999999</v>
      </c>
      <c r="C1003">
        <f t="shared" si="17"/>
        <v>2.4933643544550427E-3</v>
      </c>
      <c r="D1003">
        <f>(C1003-meanrtn)/stdevrtns</f>
        <v>0.42127536529537912</v>
      </c>
    </row>
    <row r="1004" spans="1:4" x14ac:dyDescent="0.3">
      <c r="A1004" s="1">
        <v>39363</v>
      </c>
      <c r="B1004">
        <v>2.0354160000000001</v>
      </c>
      <c r="C1004">
        <f t="shared" si="17"/>
        <v>-4.0505085399280844E-3</v>
      </c>
      <c r="D1004">
        <f>(C1004-meanrtn)/stdevrtns</f>
        <v>-0.66330780194345129</v>
      </c>
    </row>
    <row r="1005" spans="1:4" x14ac:dyDescent="0.3">
      <c r="A1005" s="1">
        <v>39364</v>
      </c>
      <c r="B1005">
        <v>2.0376970000000001</v>
      </c>
      <c r="C1005">
        <f t="shared" si="17"/>
        <v>1.1206554335821165E-3</v>
      </c>
      <c r="D1005">
        <f>(C1005-meanrtn)/stdevrtns</f>
        <v>0.19376223765268488</v>
      </c>
    </row>
    <row r="1006" spans="1:4" x14ac:dyDescent="0.3">
      <c r="A1006" s="1">
        <v>39365</v>
      </c>
      <c r="B1006">
        <v>2.0418159999999999</v>
      </c>
      <c r="C1006">
        <f t="shared" si="17"/>
        <v>2.0213996487209638E-3</v>
      </c>
      <c r="D1006">
        <f>(C1006-meanrtn)/stdevrtns</f>
        <v>0.34305181425278758</v>
      </c>
    </row>
    <row r="1007" spans="1:4" x14ac:dyDescent="0.3">
      <c r="A1007" s="1">
        <v>39366</v>
      </c>
      <c r="B1007">
        <v>2.0342150000000001</v>
      </c>
      <c r="C1007">
        <f t="shared" si="17"/>
        <v>-3.7226664890468815E-3</v>
      </c>
      <c r="D1007">
        <f>(C1007-meanrtn)/stdevrtns</f>
        <v>-0.60897117657836952</v>
      </c>
    </row>
    <row r="1008" spans="1:4" x14ac:dyDescent="0.3">
      <c r="A1008" s="1">
        <v>39367</v>
      </c>
      <c r="B1008">
        <v>2.0342980000000002</v>
      </c>
      <c r="C1008">
        <f t="shared" si="17"/>
        <v>4.0801980125038528E-5</v>
      </c>
      <c r="D1008">
        <f>(C1008-meanrtn)/stdevrtns</f>
        <v>1.4787050083019932E-2</v>
      </c>
    </row>
    <row r="1009" spans="1:4" x14ac:dyDescent="0.3">
      <c r="A1009" s="1">
        <v>39370</v>
      </c>
      <c r="B1009">
        <v>2.0424000000000002</v>
      </c>
      <c r="C1009">
        <f t="shared" si="17"/>
        <v>3.9827006662740919E-3</v>
      </c>
      <c r="D1009">
        <f>(C1009-meanrtn)/stdevrtns</f>
        <v>0.66811834654322522</v>
      </c>
    </row>
    <row r="1010" spans="1:4" x14ac:dyDescent="0.3">
      <c r="A1010" s="1">
        <v>39371</v>
      </c>
      <c r="B1010">
        <v>2.0321899999999999</v>
      </c>
      <c r="C1010">
        <f t="shared" si="17"/>
        <v>-4.9990207598904586E-3</v>
      </c>
      <c r="D1010">
        <f>(C1010-meanrtn)/stdevrtns</f>
        <v>-0.82051445988060889</v>
      </c>
    </row>
    <row r="1011" spans="1:4" x14ac:dyDescent="0.3">
      <c r="A1011" s="1">
        <v>39372</v>
      </c>
      <c r="B1011">
        <v>2.039984</v>
      </c>
      <c r="C1011">
        <f t="shared" si="17"/>
        <v>3.8352713082930624E-3</v>
      </c>
      <c r="D1011">
        <f>(C1011-meanrtn)/stdevrtns</f>
        <v>0.64368336704350104</v>
      </c>
    </row>
    <row r="1012" spans="1:4" x14ac:dyDescent="0.3">
      <c r="A1012" s="1">
        <v>39373</v>
      </c>
      <c r="B1012">
        <v>2.0441950000000002</v>
      </c>
      <c r="C1012">
        <f t="shared" si="17"/>
        <v>2.0642318763285333E-3</v>
      </c>
      <c r="D1012">
        <f>(C1012-meanrtn)/stdevrtns</f>
        <v>0.35015083861164797</v>
      </c>
    </row>
    <row r="1013" spans="1:4" x14ac:dyDescent="0.3">
      <c r="A1013" s="1">
        <v>39374</v>
      </c>
      <c r="B1013">
        <v>2.0514920000000001</v>
      </c>
      <c r="C1013">
        <f t="shared" si="17"/>
        <v>3.5696203150873016E-3</v>
      </c>
      <c r="D1013">
        <f>(C1013-meanrtn)/stdevrtns</f>
        <v>0.59965430348412929</v>
      </c>
    </row>
    <row r="1014" spans="1:4" x14ac:dyDescent="0.3">
      <c r="A1014" s="1">
        <v>39377</v>
      </c>
      <c r="B1014">
        <v>2.032686</v>
      </c>
      <c r="C1014">
        <f t="shared" si="17"/>
        <v>-9.1669867589052739E-3</v>
      </c>
      <c r="D1014">
        <f>(C1014-meanrtn)/stdevrtns</f>
        <v>-1.5113142105963324</v>
      </c>
    </row>
    <row r="1015" spans="1:4" x14ac:dyDescent="0.3">
      <c r="A1015" s="1">
        <v>39378</v>
      </c>
      <c r="B1015">
        <v>2.0503149999999999</v>
      </c>
      <c r="C1015">
        <f t="shared" si="17"/>
        <v>8.6727610658999445E-3</v>
      </c>
      <c r="D1015">
        <f>(C1015-meanrtn)/stdevrtns</f>
        <v>1.4454501567520994</v>
      </c>
    </row>
    <row r="1016" spans="1:4" x14ac:dyDescent="0.3">
      <c r="A1016" s="1">
        <v>39379</v>
      </c>
      <c r="B1016">
        <v>2.0501049999999998</v>
      </c>
      <c r="C1016">
        <f t="shared" si="17"/>
        <v>-1.0242328617799874E-4</v>
      </c>
      <c r="D1016">
        <f>(C1016-meanrtn)/stdevrtns</f>
        <v>-8.9511421867149357E-3</v>
      </c>
    </row>
    <row r="1017" spans="1:4" x14ac:dyDescent="0.3">
      <c r="A1017" s="1">
        <v>39380</v>
      </c>
      <c r="B1017">
        <v>2.0509040000000001</v>
      </c>
      <c r="C1017">
        <f t="shared" si="17"/>
        <v>3.897361354663377E-4</v>
      </c>
      <c r="D1017">
        <f>(C1017-meanrtn)/stdevrtns</f>
        <v>7.2619486236037173E-2</v>
      </c>
    </row>
    <row r="1018" spans="1:4" x14ac:dyDescent="0.3">
      <c r="A1018" s="1">
        <v>39381</v>
      </c>
      <c r="B1018">
        <v>2.0517029999999998</v>
      </c>
      <c r="C1018">
        <f t="shared" si="17"/>
        <v>3.8958430038645009E-4</v>
      </c>
      <c r="D1018">
        <f>(C1018-meanrtn)/stdevrtns</f>
        <v>7.2594321051061797E-2</v>
      </c>
    </row>
    <row r="1019" spans="1:4" x14ac:dyDescent="0.3">
      <c r="A1019" s="1">
        <v>39384</v>
      </c>
      <c r="B1019">
        <v>2.0610909999999998</v>
      </c>
      <c r="C1019">
        <f t="shared" si="17"/>
        <v>4.5757110069049728E-3</v>
      </c>
      <c r="D1019">
        <f>(C1019-meanrtn)/stdevrtns</f>
        <v>0.76640403207340668</v>
      </c>
    </row>
    <row r="1020" spans="1:4" x14ac:dyDescent="0.3">
      <c r="A1020" s="1">
        <v>39385</v>
      </c>
      <c r="B1020">
        <v>2.0679959999999999</v>
      </c>
      <c r="C1020">
        <f t="shared" si="17"/>
        <v>3.3501674598550774E-3</v>
      </c>
      <c r="D1020">
        <f>(C1020-meanrtn)/stdevrtns</f>
        <v>0.56328213112857084</v>
      </c>
    </row>
    <row r="1021" spans="1:4" x14ac:dyDescent="0.3">
      <c r="A1021" s="1">
        <v>39386</v>
      </c>
      <c r="B1021">
        <v>2.07978</v>
      </c>
      <c r="C1021">
        <f t="shared" si="17"/>
        <v>5.6982702094201428E-3</v>
      </c>
      <c r="D1021">
        <f>(C1021-meanrtn)/stdevrtns</f>
        <v>0.95245728141479236</v>
      </c>
    </row>
    <row r="1022" spans="1:4" x14ac:dyDescent="0.3">
      <c r="A1022" s="1">
        <v>39387</v>
      </c>
      <c r="B1022">
        <v>2.0777929999999998</v>
      </c>
      <c r="C1022">
        <f t="shared" si="17"/>
        <v>-9.5538951235235603E-4</v>
      </c>
      <c r="D1022">
        <f>(C1022-meanrtn)/stdevrtns</f>
        <v>-0.15032198267568578</v>
      </c>
    </row>
    <row r="1023" spans="1:4" x14ac:dyDescent="0.3">
      <c r="A1023" s="1">
        <v>39388</v>
      </c>
      <c r="B1023">
        <v>2.0855929999999998</v>
      </c>
      <c r="C1023">
        <f t="shared" si="17"/>
        <v>3.7539831927434686E-3</v>
      </c>
      <c r="D1023">
        <f>(C1023-meanrtn)/stdevrtns</f>
        <v>0.6302106539812824</v>
      </c>
    </row>
    <row r="1024" spans="1:4" x14ac:dyDescent="0.3">
      <c r="A1024" s="1">
        <v>39391</v>
      </c>
      <c r="B1024">
        <v>2.0810789999999999</v>
      </c>
      <c r="C1024">
        <f t="shared" si="17"/>
        <v>-2.1643724350819682E-3</v>
      </c>
      <c r="D1024">
        <f>(C1024-meanrtn)/stdevrtns</f>
        <v>-0.35069912150997362</v>
      </c>
    </row>
    <row r="1025" spans="1:4" x14ac:dyDescent="0.3">
      <c r="A1025" s="1">
        <v>39392</v>
      </c>
      <c r="B1025">
        <v>2.087421</v>
      </c>
      <c r="C1025">
        <f t="shared" si="17"/>
        <v>3.047457592912172E-3</v>
      </c>
      <c r="D1025">
        <f>(C1025-meanrtn)/stdevrtns</f>
        <v>0.51311092035747119</v>
      </c>
    </row>
    <row r="1026" spans="1:4" x14ac:dyDescent="0.3">
      <c r="A1026" s="1">
        <v>39393</v>
      </c>
      <c r="B1026">
        <v>2.0997819999999998</v>
      </c>
      <c r="C1026">
        <f t="shared" si="17"/>
        <v>5.9216612269397716E-3</v>
      </c>
      <c r="D1026">
        <f>(C1026-meanrtn)/stdevrtns</f>
        <v>0.98948216579512738</v>
      </c>
    </row>
    <row r="1027" spans="1:4" x14ac:dyDescent="0.3">
      <c r="A1027" s="1">
        <v>39394</v>
      </c>
      <c r="B1027">
        <v>2.1081919999999998</v>
      </c>
      <c r="C1027">
        <f t="shared" si="17"/>
        <v>4.0051776803496884E-3</v>
      </c>
      <c r="D1027">
        <f>(C1027-meanrtn)/stdevrtns</f>
        <v>0.6718436926050515</v>
      </c>
    </row>
    <row r="1028" spans="1:4" x14ac:dyDescent="0.3">
      <c r="A1028" s="1">
        <v>39395</v>
      </c>
      <c r="B1028">
        <v>2.0946799999999999</v>
      </c>
      <c r="C1028">
        <f t="shared" ref="C1028:C1091" si="18">(B1028-B1027)/B1027</f>
        <v>-6.4092834049270511E-3</v>
      </c>
      <c r="D1028">
        <f>(C1028-meanrtn)/stdevrtns</f>
        <v>-1.0542517513712903</v>
      </c>
    </row>
    <row r="1029" spans="1:4" x14ac:dyDescent="0.3">
      <c r="A1029" s="1">
        <v>39398</v>
      </c>
      <c r="B1029">
        <v>2.0544009999999999</v>
      </c>
      <c r="C1029">
        <f t="shared" si="18"/>
        <v>-1.9229190138827866E-2</v>
      </c>
      <c r="D1029">
        <f>(C1029-meanrtn)/stdevrtns</f>
        <v>-3.1790263723904646</v>
      </c>
    </row>
    <row r="1030" spans="1:4" x14ac:dyDescent="0.3">
      <c r="A1030" s="1">
        <v>39399</v>
      </c>
      <c r="B1030">
        <v>2.0748180000000001</v>
      </c>
      <c r="C1030">
        <f t="shared" si="18"/>
        <v>9.9381766266664253E-3</v>
      </c>
      <c r="D1030">
        <f>(C1030-meanrtn)/stdevrtns</f>
        <v>1.6551804554483713</v>
      </c>
    </row>
    <row r="1031" spans="1:4" x14ac:dyDescent="0.3">
      <c r="A1031" s="1">
        <v>39400</v>
      </c>
      <c r="B1031">
        <v>2.0527980000000001</v>
      </c>
      <c r="C1031">
        <f t="shared" si="18"/>
        <v>-1.0612979066115644E-2</v>
      </c>
      <c r="D1031">
        <f>(C1031-meanrtn)/stdevrtns</f>
        <v>-1.7509733454342573</v>
      </c>
    </row>
    <row r="1032" spans="1:4" x14ac:dyDescent="0.3">
      <c r="A1032" s="1">
        <v>39401</v>
      </c>
      <c r="B1032">
        <v>2.0444049999999998</v>
      </c>
      <c r="C1032">
        <f t="shared" si="18"/>
        <v>-4.0885659475507659E-3</v>
      </c>
      <c r="D1032">
        <f>(C1032-meanrtn)/stdevrtns</f>
        <v>-0.66961544641676252</v>
      </c>
    </row>
    <row r="1033" spans="1:4" x14ac:dyDescent="0.3">
      <c r="A1033" s="1">
        <v>39402</v>
      </c>
      <c r="B1033">
        <v>2.052419</v>
      </c>
      <c r="C1033">
        <f t="shared" si="18"/>
        <v>3.9199669341447455E-3</v>
      </c>
      <c r="D1033">
        <f>(C1033-meanrtn)/stdevrtns</f>
        <v>0.65772084173472556</v>
      </c>
    </row>
    <row r="1034" spans="1:4" x14ac:dyDescent="0.3">
      <c r="A1034" s="1">
        <v>39405</v>
      </c>
      <c r="B1034">
        <v>2.0493899999999998</v>
      </c>
      <c r="C1034">
        <f t="shared" si="18"/>
        <v>-1.4758195085897033E-3</v>
      </c>
      <c r="D1034">
        <f>(C1034-meanrtn)/stdevrtns</f>
        <v>-0.23657818336223715</v>
      </c>
    </row>
    <row r="1035" spans="1:4" x14ac:dyDescent="0.3">
      <c r="A1035" s="1">
        <v>39406</v>
      </c>
      <c r="B1035">
        <v>2.0661160000000001</v>
      </c>
      <c r="C1035">
        <f t="shared" si="18"/>
        <v>8.1614529201373305E-3</v>
      </c>
      <c r="D1035">
        <f>(C1035-meanrtn)/stdevrtns</f>
        <v>1.3607058138963226</v>
      </c>
    </row>
    <row r="1036" spans="1:4" x14ac:dyDescent="0.3">
      <c r="A1036" s="1">
        <v>39407</v>
      </c>
      <c r="B1036">
        <v>2.0635150000000002</v>
      </c>
      <c r="C1036">
        <f t="shared" si="18"/>
        <v>-1.2588838187206591E-3</v>
      </c>
      <c r="D1036">
        <f>(C1036-meanrtn)/stdevrtns</f>
        <v>-0.20062320663778652</v>
      </c>
    </row>
    <row r="1037" spans="1:4" x14ac:dyDescent="0.3">
      <c r="A1037" s="1">
        <v>39408</v>
      </c>
      <c r="B1037">
        <v>2.062408</v>
      </c>
      <c r="C1037">
        <f t="shared" si="18"/>
        <v>-5.3646326777377E-4</v>
      </c>
      <c r="D1037">
        <f>(C1037-meanrtn)/stdevrtns</f>
        <v>-8.0889039750631761E-2</v>
      </c>
    </row>
    <row r="1038" spans="1:4" x14ac:dyDescent="0.3">
      <c r="A1038" s="1">
        <v>39409</v>
      </c>
      <c r="B1038">
        <v>2.0610909999999998</v>
      </c>
      <c r="C1038">
        <f t="shared" si="18"/>
        <v>-6.3857393881338448E-4</v>
      </c>
      <c r="D1038">
        <f>(C1038-meanrtn)/stdevrtns</f>
        <v>-9.7812888485543217E-2</v>
      </c>
    </row>
    <row r="1039" spans="1:4" x14ac:dyDescent="0.3">
      <c r="A1039" s="1">
        <v>39413</v>
      </c>
      <c r="B1039">
        <v>2.0676109999999999</v>
      </c>
      <c r="C1039">
        <f t="shared" si="18"/>
        <v>3.1633731843960706E-3</v>
      </c>
      <c r="D1039">
        <f>(C1039-meanrtn)/stdevrtns</f>
        <v>0.53232280013769739</v>
      </c>
    </row>
    <row r="1040" spans="1:4" x14ac:dyDescent="0.3">
      <c r="A1040" s="1">
        <v>39414</v>
      </c>
      <c r="B1040">
        <v>2.078786</v>
      </c>
      <c r="C1040">
        <f t="shared" si="18"/>
        <v>5.4047884249020526E-3</v>
      </c>
      <c r="D1040">
        <f>(C1040-meanrtn)/stdevrtns</f>
        <v>0.90381553538504456</v>
      </c>
    </row>
    <row r="1041" spans="1:4" x14ac:dyDescent="0.3">
      <c r="A1041" s="1">
        <v>39415</v>
      </c>
      <c r="B1041">
        <v>2.0629189999999999</v>
      </c>
      <c r="C1041">
        <f t="shared" si="18"/>
        <v>-7.6328203095460886E-3</v>
      </c>
      <c r="D1041">
        <f>(C1041-meanrtn)/stdevrtns</f>
        <v>-1.2570410708863977</v>
      </c>
    </row>
    <row r="1042" spans="1:4" x14ac:dyDescent="0.3">
      <c r="A1042" s="1">
        <v>39416</v>
      </c>
      <c r="B1042">
        <v>2.0566819999999999</v>
      </c>
      <c r="C1042">
        <f t="shared" si="18"/>
        <v>-3.023385794594964E-3</v>
      </c>
      <c r="D1042">
        <f>(C1042-meanrtn)/stdevrtns</f>
        <v>-0.49307221542516333</v>
      </c>
    </row>
    <row r="1043" spans="1:4" x14ac:dyDescent="0.3">
      <c r="A1043" s="1">
        <v>39419</v>
      </c>
      <c r="B1043">
        <v>2.063898</v>
      </c>
      <c r="C1043">
        <f t="shared" si="18"/>
        <v>3.5085637935276877E-3</v>
      </c>
      <c r="D1043">
        <f>(C1043-meanrtn)/stdevrtns</f>
        <v>0.5895347799844366</v>
      </c>
    </row>
    <row r="1044" spans="1:4" x14ac:dyDescent="0.3">
      <c r="A1044" s="1">
        <v>39420</v>
      </c>
      <c r="B1044">
        <v>2.058799</v>
      </c>
      <c r="C1044">
        <f t="shared" si="18"/>
        <v>-2.4705678284488693E-3</v>
      </c>
      <c r="D1044">
        <f>(C1044-meanrtn)/stdevrtns</f>
        <v>-0.40144802432207793</v>
      </c>
    </row>
    <row r="1045" spans="1:4" x14ac:dyDescent="0.3">
      <c r="A1045" s="1">
        <v>39421</v>
      </c>
      <c r="B1045">
        <v>2.0272869999999998</v>
      </c>
      <c r="C1045">
        <f t="shared" si="18"/>
        <v>-1.5306010931616057E-2</v>
      </c>
      <c r="D1045">
        <f>(C1045-meanrtn)/stdevrtns</f>
        <v>-2.5287976471571918</v>
      </c>
    </row>
    <row r="1046" spans="1:4" x14ac:dyDescent="0.3">
      <c r="A1046" s="1">
        <v>39422</v>
      </c>
      <c r="B1046">
        <v>2.0283980000000001</v>
      </c>
      <c r="C1046">
        <f t="shared" si="18"/>
        <v>5.480230475508925E-4</v>
      </c>
      <c r="D1046">
        <f>(C1046-meanrtn)/stdevrtns</f>
        <v>9.8853999529911918E-2</v>
      </c>
    </row>
    <row r="1047" spans="1:4" x14ac:dyDescent="0.3">
      <c r="A1047" s="1">
        <v>39423</v>
      </c>
      <c r="B1047">
        <v>2.0318179999999999</v>
      </c>
      <c r="C1047">
        <f t="shared" si="18"/>
        <v>1.686059639183117E-3</v>
      </c>
      <c r="D1047">
        <f>(C1047-meanrtn)/stdevrtns</f>
        <v>0.28747247530220377</v>
      </c>
    </row>
    <row r="1048" spans="1:4" x14ac:dyDescent="0.3">
      <c r="A1048" s="1">
        <v>39426</v>
      </c>
      <c r="B1048">
        <v>2.0449899999999999</v>
      </c>
      <c r="C1048">
        <f t="shared" si="18"/>
        <v>6.4828641147976649E-3</v>
      </c>
      <c r="D1048">
        <f>(C1048-meanrtn)/stdevrtns</f>
        <v>1.0824960759673343</v>
      </c>
    </row>
    <row r="1049" spans="1:4" x14ac:dyDescent="0.3">
      <c r="A1049" s="1">
        <v>39427</v>
      </c>
      <c r="B1049">
        <v>2.0357889999999998</v>
      </c>
      <c r="C1049">
        <f t="shared" si="18"/>
        <v>-4.4992885050782723E-3</v>
      </c>
      <c r="D1049">
        <f>(C1049-meanrtn)/stdevrtns</f>
        <v>-0.73768870815171683</v>
      </c>
    </row>
    <row r="1050" spans="1:4" x14ac:dyDescent="0.3">
      <c r="A1050" s="1">
        <v>39428</v>
      </c>
      <c r="B1050">
        <v>2.0454919999999999</v>
      </c>
      <c r="C1050">
        <f t="shared" si="18"/>
        <v>4.7662110366054724E-3</v>
      </c>
      <c r="D1050">
        <f>(C1050-meanrtn)/stdevrtns</f>
        <v>0.79797755572008444</v>
      </c>
    </row>
    <row r="1051" spans="1:4" x14ac:dyDescent="0.3">
      <c r="A1051" s="1">
        <v>39429</v>
      </c>
      <c r="B1051">
        <v>2.0428169999999999</v>
      </c>
      <c r="C1051">
        <f t="shared" si="18"/>
        <v>-1.3077538313520578E-3</v>
      </c>
      <c r="D1051">
        <f>(C1051-meanrtn)/stdevrtns</f>
        <v>-0.20872293503077827</v>
      </c>
    </row>
    <row r="1052" spans="1:4" x14ac:dyDescent="0.3">
      <c r="A1052" s="1">
        <v>39430</v>
      </c>
      <c r="B1052">
        <v>2.0201199999999999</v>
      </c>
      <c r="C1052">
        <f t="shared" si="18"/>
        <v>-1.1110637908339303E-2</v>
      </c>
      <c r="D1052">
        <f>(C1052-meanrtn)/stdevrtns</f>
        <v>-1.8334554492304107</v>
      </c>
    </row>
    <row r="1053" spans="1:4" x14ac:dyDescent="0.3">
      <c r="A1053" s="1">
        <v>39433</v>
      </c>
      <c r="B1053">
        <v>2.0213860000000001</v>
      </c>
      <c r="C1053">
        <f t="shared" si="18"/>
        <v>6.2669544383512439E-4</v>
      </c>
      <c r="D1053">
        <f>(C1053-meanrtn)/stdevrtns</f>
        <v>0.11189318261206806</v>
      </c>
    </row>
    <row r="1054" spans="1:4" x14ac:dyDescent="0.3">
      <c r="A1054" s="1">
        <v>39436</v>
      </c>
      <c r="B1054">
        <v>1.9838910000000001</v>
      </c>
      <c r="C1054">
        <f t="shared" si="18"/>
        <v>-1.8549153897375392E-2</v>
      </c>
      <c r="D1054">
        <f>(C1054-meanrtn)/stdevrtns</f>
        <v>-3.0663169917995319</v>
      </c>
    </row>
    <row r="1055" spans="1:4" x14ac:dyDescent="0.3">
      <c r="A1055" s="1">
        <v>39437</v>
      </c>
      <c r="B1055">
        <v>1.983301</v>
      </c>
      <c r="C1055">
        <f t="shared" si="18"/>
        <v>-2.973953710158927E-4</v>
      </c>
      <c r="D1055">
        <f>(C1055-meanrtn)/stdevrtns</f>
        <v>-4.1265865395680175E-2</v>
      </c>
    </row>
    <row r="1056" spans="1:4" x14ac:dyDescent="0.3">
      <c r="A1056" s="1">
        <v>39440</v>
      </c>
      <c r="B1056">
        <v>1.978513</v>
      </c>
      <c r="C1056">
        <f t="shared" si="18"/>
        <v>-2.4141570039041046E-3</v>
      </c>
      <c r="D1056">
        <f>(C1056-meanrtn)/stdevrtns</f>
        <v>-0.39209847983385449</v>
      </c>
    </row>
    <row r="1057" spans="1:4" x14ac:dyDescent="0.3">
      <c r="A1057" s="1">
        <v>39441</v>
      </c>
      <c r="B1057">
        <v>1.9774179999999999</v>
      </c>
      <c r="C1057">
        <f t="shared" si="18"/>
        <v>-5.53445946526542E-4</v>
      </c>
      <c r="D1057">
        <f>(C1057-meanrtn)/stdevrtns</f>
        <v>-8.3703753270769177E-2</v>
      </c>
    </row>
    <row r="1058" spans="1:4" x14ac:dyDescent="0.3">
      <c r="A1058" s="1">
        <v>39442</v>
      </c>
      <c r="B1058">
        <v>1.9842059999999999</v>
      </c>
      <c r="C1058">
        <f t="shared" si="18"/>
        <v>3.432759285087936E-3</v>
      </c>
      <c r="D1058">
        <f>(C1058-meanrtn)/stdevrtns</f>
        <v>0.57697092136714312</v>
      </c>
    </row>
    <row r="1059" spans="1:4" x14ac:dyDescent="0.3">
      <c r="A1059" s="1">
        <v>39443</v>
      </c>
      <c r="B1059">
        <v>1.995012</v>
      </c>
      <c r="C1059">
        <f t="shared" si="18"/>
        <v>5.4460071182125718E-3</v>
      </c>
      <c r="D1059">
        <f>(C1059-meanrtn)/stdevrtns</f>
        <v>0.91064713215681881</v>
      </c>
    </row>
    <row r="1060" spans="1:4" x14ac:dyDescent="0.3">
      <c r="A1060" s="1">
        <v>39444</v>
      </c>
      <c r="B1060">
        <v>1.9933019999999999</v>
      </c>
      <c r="C1060">
        <f t="shared" si="18"/>
        <v>-8.5713770142741008E-4</v>
      </c>
      <c r="D1060">
        <f>(C1060-meanrtn)/stdevrtns</f>
        <v>-0.13403770240315857</v>
      </c>
    </row>
    <row r="1061" spans="1:4" x14ac:dyDescent="0.3">
      <c r="A1061" s="1">
        <v>39447</v>
      </c>
      <c r="B1061">
        <v>1.98661</v>
      </c>
      <c r="C1061">
        <f t="shared" si="18"/>
        <v>-3.357243408173935E-3</v>
      </c>
      <c r="D1061">
        <f>(C1061-meanrtn)/stdevrtns</f>
        <v>-0.5484058616903712</v>
      </c>
    </row>
    <row r="1062" spans="1:4" x14ac:dyDescent="0.3">
      <c r="A1062" s="1">
        <v>39448</v>
      </c>
      <c r="B1062">
        <v>1.987716</v>
      </c>
      <c r="C1062">
        <f t="shared" si="18"/>
        <v>5.5672728920122788E-4</v>
      </c>
      <c r="D1062">
        <f>(C1062-meanrtn)/stdevrtns</f>
        <v>0.10029664276731894</v>
      </c>
    </row>
    <row r="1063" spans="1:4" x14ac:dyDescent="0.3">
      <c r="A1063" s="1">
        <v>39449</v>
      </c>
      <c r="B1063">
        <v>1.9818070000000001</v>
      </c>
      <c r="C1063">
        <f t="shared" si="18"/>
        <v>-2.9727586838360922E-3</v>
      </c>
      <c r="D1063">
        <f>(C1063-meanrtn)/stdevrtns</f>
        <v>-0.48468126513911186</v>
      </c>
    </row>
    <row r="1064" spans="1:4" x14ac:dyDescent="0.3">
      <c r="A1064" s="1">
        <v>39450</v>
      </c>
      <c r="B1064">
        <v>1.9741</v>
      </c>
      <c r="C1064">
        <f t="shared" si="18"/>
        <v>-3.8888751528277626E-3</v>
      </c>
      <c r="D1064">
        <f>(C1064-meanrtn)/stdevrtns</f>
        <v>-0.63651864302453676</v>
      </c>
    </row>
    <row r="1065" spans="1:4" x14ac:dyDescent="0.3">
      <c r="A1065" s="1">
        <v>39451</v>
      </c>
      <c r="B1065">
        <v>1.975816</v>
      </c>
      <c r="C1065">
        <f t="shared" si="18"/>
        <v>8.6925687655136556E-4</v>
      </c>
      <c r="D1065">
        <f>(C1065-meanrtn)/stdevrtns</f>
        <v>0.15209537651029917</v>
      </c>
    </row>
    <row r="1066" spans="1:4" x14ac:dyDescent="0.3">
      <c r="A1066" s="1">
        <v>39454</v>
      </c>
      <c r="B1066">
        <v>1.9669939999999999</v>
      </c>
      <c r="C1066">
        <f t="shared" si="18"/>
        <v>-4.464990667147198E-3</v>
      </c>
      <c r="D1066">
        <f>(C1066-meanrtn)/stdevrtns</f>
        <v>-0.73200417572067622</v>
      </c>
    </row>
    <row r="1067" spans="1:4" x14ac:dyDescent="0.3">
      <c r="A1067" s="1">
        <v>39455</v>
      </c>
      <c r="B1067">
        <v>1.971803</v>
      </c>
      <c r="C1067">
        <f t="shared" si="18"/>
        <v>2.4448473152434949E-3</v>
      </c>
      <c r="D1067">
        <f>(C1067-meanrtn)/stdevrtns</f>
        <v>0.41323413880727333</v>
      </c>
    </row>
    <row r="1068" spans="1:4" x14ac:dyDescent="0.3">
      <c r="A1068" s="1">
        <v>39456</v>
      </c>
      <c r="B1068">
        <v>1.9574830000000001</v>
      </c>
      <c r="C1068">
        <f t="shared" si="18"/>
        <v>-7.2623887883322465E-3</v>
      </c>
      <c r="D1068">
        <f>(C1068-meanrtn)/stdevrtns</f>
        <v>-1.1956456558152924</v>
      </c>
    </row>
    <row r="1069" spans="1:4" x14ac:dyDescent="0.3">
      <c r="A1069" s="1">
        <v>39457</v>
      </c>
      <c r="B1069">
        <v>1.961592</v>
      </c>
      <c r="C1069">
        <f t="shared" si="18"/>
        <v>2.0991242324964856E-3</v>
      </c>
      <c r="D1069">
        <f>(C1069-meanrtn)/stdevrtns</f>
        <v>0.35593390664732844</v>
      </c>
    </row>
    <row r="1070" spans="1:4" x14ac:dyDescent="0.3">
      <c r="A1070" s="1">
        <v>39458</v>
      </c>
      <c r="B1070">
        <v>1.9594009999999999</v>
      </c>
      <c r="C1070">
        <f t="shared" si="18"/>
        <v>-1.1169499059947503E-3</v>
      </c>
      <c r="D1070">
        <f>(C1070-meanrtn)/stdevrtns</f>
        <v>-0.17709904364021392</v>
      </c>
    </row>
    <row r="1071" spans="1:4" x14ac:dyDescent="0.3">
      <c r="A1071" s="1">
        <v>39461</v>
      </c>
      <c r="B1071">
        <v>1.954385</v>
      </c>
      <c r="C1071">
        <f t="shared" si="18"/>
        <v>-2.5599660304347653E-3</v>
      </c>
      <c r="D1071">
        <f>(C1071-meanrtn)/stdevrtns</f>
        <v>-0.41626490518456299</v>
      </c>
    </row>
    <row r="1072" spans="1:4" x14ac:dyDescent="0.3">
      <c r="A1072" s="1">
        <v>39462</v>
      </c>
      <c r="B1072">
        <v>1.9582889999999999</v>
      </c>
      <c r="C1072">
        <f t="shared" si="18"/>
        <v>1.9975593345220657E-3</v>
      </c>
      <c r="D1072">
        <f>(C1072-meanrtn)/stdevrtns</f>
        <v>0.33910051447983452</v>
      </c>
    </row>
    <row r="1073" spans="1:4" x14ac:dyDescent="0.3">
      <c r="A1073" s="1">
        <v>39463</v>
      </c>
      <c r="B1073">
        <v>1.962901</v>
      </c>
      <c r="C1073">
        <f t="shared" si="18"/>
        <v>2.3551171456307322E-3</v>
      </c>
      <c r="D1073">
        <f>(C1073-meanrtn)/stdevrtns</f>
        <v>0.39836223754540417</v>
      </c>
    </row>
    <row r="1074" spans="1:4" x14ac:dyDescent="0.3">
      <c r="A1074" s="1">
        <v>39464</v>
      </c>
      <c r="B1074">
        <v>1.968388</v>
      </c>
      <c r="C1074">
        <f t="shared" si="18"/>
        <v>2.7953523891424067E-3</v>
      </c>
      <c r="D1074">
        <f>(C1074-meanrtn)/stdevrtns</f>
        <v>0.47132693940382253</v>
      </c>
    </row>
    <row r="1075" spans="1:4" x14ac:dyDescent="0.3">
      <c r="A1075" s="1">
        <v>39470</v>
      </c>
      <c r="B1075">
        <v>1.956985</v>
      </c>
      <c r="C1075">
        <f t="shared" si="18"/>
        <v>-5.7930651883673608E-3</v>
      </c>
      <c r="D1075">
        <f>(C1075-meanrtn)/stdevrtns</f>
        <v>-0.9521195865487988</v>
      </c>
    </row>
    <row r="1076" spans="1:4" x14ac:dyDescent="0.3">
      <c r="A1076" s="1">
        <v>39471</v>
      </c>
      <c r="B1076">
        <v>1.9782</v>
      </c>
      <c r="C1076">
        <f t="shared" si="18"/>
        <v>1.0840655395927911E-2</v>
      </c>
      <c r="D1076">
        <f>(C1076-meanrtn)/stdevrtns</f>
        <v>1.8047575174924064</v>
      </c>
    </row>
    <row r="1077" spans="1:4" x14ac:dyDescent="0.3">
      <c r="A1077" s="1">
        <v>39472</v>
      </c>
      <c r="B1077">
        <v>1.9805900000000001</v>
      </c>
      <c r="C1077">
        <f t="shared" si="18"/>
        <v>1.2081690425640049E-3</v>
      </c>
      <c r="D1077">
        <f>(C1077-meanrtn)/stdevrtns</f>
        <v>0.20826676558866408</v>
      </c>
    </row>
    <row r="1078" spans="1:4" x14ac:dyDescent="0.3">
      <c r="A1078" s="1">
        <v>39475</v>
      </c>
      <c r="B1078">
        <v>1.984915</v>
      </c>
      <c r="C1078">
        <f t="shared" si="18"/>
        <v>2.183692738022464E-3</v>
      </c>
      <c r="D1078">
        <f>(C1078-meanrtn)/stdevrtns</f>
        <v>0.36995031238325721</v>
      </c>
    </row>
    <row r="1079" spans="1:4" x14ac:dyDescent="0.3">
      <c r="A1079" s="1">
        <v>39476</v>
      </c>
      <c r="B1079">
        <v>1.989298</v>
      </c>
      <c r="C1079">
        <f t="shared" si="18"/>
        <v>2.2081550091565764E-3</v>
      </c>
      <c r="D1079">
        <f>(C1079-meanrtn)/stdevrtns</f>
        <v>0.37400469545773035</v>
      </c>
    </row>
    <row r="1080" spans="1:4" x14ac:dyDescent="0.3">
      <c r="A1080" s="1">
        <v>39477</v>
      </c>
      <c r="B1080">
        <v>1.9836149999999999</v>
      </c>
      <c r="C1080">
        <f t="shared" si="18"/>
        <v>-2.8567866654468583E-3</v>
      </c>
      <c r="D1080">
        <f>(C1080-meanrtn)/stdevrtns</f>
        <v>-0.46546003314916318</v>
      </c>
    </row>
    <row r="1081" spans="1:4" x14ac:dyDescent="0.3">
      <c r="A1081" s="1">
        <v>39478</v>
      </c>
      <c r="B1081">
        <v>1.990604</v>
      </c>
      <c r="C1081">
        <f t="shared" si="18"/>
        <v>3.5233651691483148E-3</v>
      </c>
      <c r="D1081">
        <f>(C1081-meanrtn)/stdevrtns</f>
        <v>0.5919879637655413</v>
      </c>
    </row>
    <row r="1082" spans="1:4" x14ac:dyDescent="0.3">
      <c r="A1082" s="1">
        <v>39479</v>
      </c>
      <c r="B1082">
        <v>1.966491</v>
      </c>
      <c r="C1082">
        <f t="shared" si="18"/>
        <v>-1.2113408794516665E-2</v>
      </c>
      <c r="D1082">
        <f>(C1082-meanrtn)/stdevrtns</f>
        <v>-1.9996549523837581</v>
      </c>
    </row>
    <row r="1083" spans="1:4" x14ac:dyDescent="0.3">
      <c r="A1083" s="1">
        <v>39482</v>
      </c>
      <c r="B1083">
        <v>1.974801</v>
      </c>
      <c r="C1083">
        <f t="shared" si="18"/>
        <v>4.2258011859703602E-3</v>
      </c>
      <c r="D1083">
        <f>(C1083-meanrtn)/stdevrtns</f>
        <v>0.70840988885540812</v>
      </c>
    </row>
    <row r="1084" spans="1:4" x14ac:dyDescent="0.3">
      <c r="A1084" s="1">
        <v>39483</v>
      </c>
      <c r="B1084">
        <v>1.964791</v>
      </c>
      <c r="C1084">
        <f t="shared" si="18"/>
        <v>-5.0688651666674642E-3</v>
      </c>
      <c r="D1084">
        <f>(C1084-meanrtn)/stdevrtns</f>
        <v>-0.83209048972390598</v>
      </c>
    </row>
    <row r="1085" spans="1:4" x14ac:dyDescent="0.3">
      <c r="A1085" s="1">
        <v>39484</v>
      </c>
      <c r="B1085">
        <v>1.9607840000000001</v>
      </c>
      <c r="C1085">
        <f t="shared" si="18"/>
        <v>-2.039402664201878E-3</v>
      </c>
      <c r="D1085">
        <f>(C1085-meanrtn)/stdevrtns</f>
        <v>-0.32998659972083882</v>
      </c>
    </row>
    <row r="1086" spans="1:4" x14ac:dyDescent="0.3">
      <c r="A1086" s="1">
        <v>39485</v>
      </c>
      <c r="B1086">
        <v>1.942804</v>
      </c>
      <c r="C1086">
        <f t="shared" si="18"/>
        <v>-9.1698014671682884E-3</v>
      </c>
      <c r="D1086">
        <f>(C1086-meanrtn)/stdevrtns</f>
        <v>-1.5117807210637613</v>
      </c>
    </row>
    <row r="1087" spans="1:4" x14ac:dyDescent="0.3">
      <c r="A1087" s="1">
        <v>39486</v>
      </c>
      <c r="B1087">
        <v>1.9471160000000001</v>
      </c>
      <c r="C1087">
        <f t="shared" si="18"/>
        <v>2.2194724738059494E-3</v>
      </c>
      <c r="D1087">
        <f>(C1087-meanrtn)/stdevrtns</f>
        <v>0.3758804549433809</v>
      </c>
    </row>
    <row r="1088" spans="1:4" x14ac:dyDescent="0.3">
      <c r="A1088" s="1">
        <v>39489</v>
      </c>
      <c r="B1088">
        <v>1.9498880000000001</v>
      </c>
      <c r="C1088">
        <f t="shared" si="18"/>
        <v>1.423643994502637E-3</v>
      </c>
      <c r="D1088">
        <f>(C1088-meanrtn)/stdevrtns</f>
        <v>0.24397963923491583</v>
      </c>
    </row>
    <row r="1089" spans="1:4" x14ac:dyDescent="0.3">
      <c r="A1089" s="1">
        <v>39490</v>
      </c>
      <c r="B1089">
        <v>1.960208</v>
      </c>
      <c r="C1089">
        <f t="shared" si="18"/>
        <v>5.2926116782091503E-3</v>
      </c>
      <c r="D1089">
        <f>(C1089-meanrtn)/stdevrtns</f>
        <v>0.88522333269676101</v>
      </c>
    </row>
    <row r="1090" spans="1:4" x14ac:dyDescent="0.3">
      <c r="A1090" s="1">
        <v>39491</v>
      </c>
      <c r="B1090">
        <v>1.962208</v>
      </c>
      <c r="C1090">
        <f t="shared" si="18"/>
        <v>1.0202998865426536E-3</v>
      </c>
      <c r="D1090">
        <f>(C1090-meanrtn)/stdevrtns</f>
        <v>0.17712928361846592</v>
      </c>
    </row>
    <row r="1091" spans="1:4" x14ac:dyDescent="0.3">
      <c r="A1091" s="1">
        <v>39492</v>
      </c>
      <c r="B1091">
        <v>1.969784</v>
      </c>
      <c r="C1091">
        <f t="shared" si="18"/>
        <v>3.8609566366053076E-3</v>
      </c>
      <c r="D1091">
        <f>(C1091-meanrtn)/stdevrtns</f>
        <v>0.64794045992749882</v>
      </c>
    </row>
    <row r="1092" spans="1:4" x14ac:dyDescent="0.3">
      <c r="A1092" s="1">
        <v>39493</v>
      </c>
      <c r="B1092">
        <v>1.9614</v>
      </c>
      <c r="C1092">
        <f t="shared" ref="C1092:C1155" si="19">(B1092-B1091)/B1091</f>
        <v>-4.2563042445262766E-3</v>
      </c>
      <c r="D1092">
        <f>(C1092-meanrtn)/stdevrtns</f>
        <v>-0.69741643465984127</v>
      </c>
    </row>
    <row r="1093" spans="1:4" x14ac:dyDescent="0.3">
      <c r="A1093" s="1">
        <v>39496</v>
      </c>
      <c r="B1093">
        <v>1.950801</v>
      </c>
      <c r="C1093">
        <f t="shared" si="19"/>
        <v>-5.4037932089324083E-3</v>
      </c>
      <c r="D1093">
        <f>(C1093-meanrtn)/stdevrtns</f>
        <v>-0.88760154911331013</v>
      </c>
    </row>
    <row r="1094" spans="1:4" x14ac:dyDescent="0.3">
      <c r="A1094" s="1">
        <v>39497</v>
      </c>
      <c r="B1094">
        <v>1.9482159999999999</v>
      </c>
      <c r="C1094">
        <f t="shared" si="19"/>
        <v>-1.3250967166820499E-3</v>
      </c>
      <c r="D1094">
        <f>(C1094-meanrtn)/stdevrtns</f>
        <v>-0.21159734928115403</v>
      </c>
    </row>
    <row r="1095" spans="1:4" x14ac:dyDescent="0.3">
      <c r="A1095" s="1">
        <v>39498</v>
      </c>
      <c r="B1095">
        <v>1.942502</v>
      </c>
      <c r="C1095">
        <f t="shared" si="19"/>
        <v>-2.9329396740402488E-3</v>
      </c>
      <c r="D1095">
        <f>(C1095-meanrtn)/stdevrtns</f>
        <v>-0.47808165227105648</v>
      </c>
    </row>
    <row r="1096" spans="1:4" x14ac:dyDescent="0.3">
      <c r="A1096" s="1">
        <v>39499</v>
      </c>
      <c r="B1096">
        <v>1.9637880000000001</v>
      </c>
      <c r="C1096">
        <f t="shared" si="19"/>
        <v>1.095803247564231E-2</v>
      </c>
      <c r="D1096">
        <f>(C1096-meanrtn)/stdevrtns</f>
        <v>1.8242116247057598</v>
      </c>
    </row>
    <row r="1097" spans="1:4" x14ac:dyDescent="0.3">
      <c r="A1097" s="1">
        <v>39500</v>
      </c>
      <c r="B1097">
        <v>1.966917</v>
      </c>
      <c r="C1097">
        <f t="shared" si="19"/>
        <v>1.5933491802577148E-3</v>
      </c>
      <c r="D1097">
        <f>(C1097-meanrtn)/stdevrtns</f>
        <v>0.2721066201273904</v>
      </c>
    </row>
    <row r="1098" spans="1:4" x14ac:dyDescent="0.3">
      <c r="A1098" s="1">
        <v>39503</v>
      </c>
      <c r="B1098">
        <v>1.966607</v>
      </c>
      <c r="C1098">
        <f t="shared" si="19"/>
        <v>-1.5760705713562518E-4</v>
      </c>
      <c r="D1098">
        <f>(C1098-meanrtn)/stdevrtns</f>
        <v>-1.809731449956312E-2</v>
      </c>
    </row>
    <row r="1099" spans="1:4" x14ac:dyDescent="0.3">
      <c r="A1099" s="1">
        <v>39504</v>
      </c>
      <c r="B1099">
        <v>1.9872810000000001</v>
      </c>
      <c r="C1099">
        <f t="shared" si="19"/>
        <v>1.0512522329067313E-2</v>
      </c>
      <c r="D1099">
        <f>(C1099-meanrtn)/stdevrtns</f>
        <v>1.7503726590644666</v>
      </c>
    </row>
    <row r="1100" spans="1:4" x14ac:dyDescent="0.3">
      <c r="A1100" s="1">
        <v>39505</v>
      </c>
      <c r="B1100">
        <v>1.9831829999999999</v>
      </c>
      <c r="C1100">
        <f t="shared" si="19"/>
        <v>-2.0621140140725728E-3</v>
      </c>
      <c r="D1100">
        <f>(C1100-meanrtn)/stdevrtns</f>
        <v>-0.33375078465728075</v>
      </c>
    </row>
    <row r="1101" spans="1:4" x14ac:dyDescent="0.3">
      <c r="A1101" s="1">
        <v>39506</v>
      </c>
      <c r="B1101">
        <v>1.9898910000000001</v>
      </c>
      <c r="C1101">
        <f t="shared" si="19"/>
        <v>3.3824412573121888E-3</v>
      </c>
      <c r="D1101">
        <f>(C1101-meanrtn)/stdevrtns</f>
        <v>0.56863119857376876</v>
      </c>
    </row>
    <row r="1102" spans="1:4" x14ac:dyDescent="0.3">
      <c r="A1102" s="1">
        <v>39507</v>
      </c>
      <c r="B1102">
        <v>1.98661</v>
      </c>
      <c r="C1102">
        <f t="shared" si="19"/>
        <v>-1.6488340316128318E-3</v>
      </c>
      <c r="D1102">
        <f>(C1102-meanrtn)/stdevrtns</f>
        <v>-0.26525365465994627</v>
      </c>
    </row>
    <row r="1103" spans="1:4" x14ac:dyDescent="0.3">
      <c r="A1103" s="1">
        <v>39510</v>
      </c>
      <c r="B1103">
        <v>1.9838910000000001</v>
      </c>
      <c r="C1103">
        <f t="shared" si="19"/>
        <v>-1.3686632001247935E-3</v>
      </c>
      <c r="D1103">
        <f>(C1103-meanrtn)/stdevrtns</f>
        <v>-0.21881806938993653</v>
      </c>
    </row>
    <row r="1104" spans="1:4" x14ac:dyDescent="0.3">
      <c r="A1104" s="1">
        <v>39511</v>
      </c>
      <c r="B1104">
        <v>1.9855849999999999</v>
      </c>
      <c r="C1104">
        <f t="shared" si="19"/>
        <v>8.5387755678102391E-4</v>
      </c>
      <c r="D1104">
        <f>(C1104-meanrtn)/stdevrtns</f>
        <v>0.14954640411800024</v>
      </c>
    </row>
    <row r="1105" spans="1:4" x14ac:dyDescent="0.3">
      <c r="A1105" s="1">
        <v>39512</v>
      </c>
      <c r="B1105">
        <v>1.9917940000000001</v>
      </c>
      <c r="C1105">
        <f t="shared" si="19"/>
        <v>3.127038127302599E-3</v>
      </c>
      <c r="D1105">
        <f>(C1105-meanrtn)/stdevrtns</f>
        <v>0.52630061848162224</v>
      </c>
    </row>
    <row r="1106" spans="1:4" x14ac:dyDescent="0.3">
      <c r="A1106" s="1">
        <v>39513</v>
      </c>
      <c r="B1106">
        <v>2.0121129999999998</v>
      </c>
      <c r="C1106">
        <f t="shared" si="19"/>
        <v>1.0201356164342172E-2</v>
      </c>
      <c r="D1106">
        <f>(C1106-meanrtn)/stdevrtns</f>
        <v>1.6987998993360753</v>
      </c>
    </row>
    <row r="1107" spans="1:4" x14ac:dyDescent="0.3">
      <c r="A1107" s="1">
        <v>39514</v>
      </c>
      <c r="B1107">
        <v>2.0140180000000001</v>
      </c>
      <c r="C1107">
        <f t="shared" si="19"/>
        <v>9.4676591225257613E-4</v>
      </c>
      <c r="D1107">
        <f>(C1107-meanrtn)/stdevrtns</f>
        <v>0.16494174391187308</v>
      </c>
    </row>
    <row r="1108" spans="1:4" x14ac:dyDescent="0.3">
      <c r="A1108" s="1">
        <v>39517</v>
      </c>
      <c r="B1108">
        <v>2.0083950000000002</v>
      </c>
      <c r="C1108">
        <f t="shared" si="19"/>
        <v>-2.7919313531457679E-3</v>
      </c>
      <c r="D1108">
        <f>(C1108-meanrtn)/stdevrtns</f>
        <v>-0.454710897100363</v>
      </c>
    </row>
    <row r="1109" spans="1:4" x14ac:dyDescent="0.3">
      <c r="A1109" s="1">
        <v>39518</v>
      </c>
      <c r="B1109">
        <v>2.0060180000000001</v>
      </c>
      <c r="C1109">
        <f t="shared" si="19"/>
        <v>-1.1835321239099248E-3</v>
      </c>
      <c r="D1109">
        <f>(C1109-meanrtn)/stdevrtns</f>
        <v>-0.18813439746718238</v>
      </c>
    </row>
    <row r="1110" spans="1:4" x14ac:dyDescent="0.3">
      <c r="A1110" s="1">
        <v>39519</v>
      </c>
      <c r="B1110">
        <v>2.0270000000000001</v>
      </c>
      <c r="C1110">
        <f t="shared" si="19"/>
        <v>1.0459527282407264E-2</v>
      </c>
      <c r="D1110">
        <f>(C1110-meanrtn)/stdevrtns</f>
        <v>1.7415892464765081</v>
      </c>
    </row>
    <row r="1111" spans="1:4" x14ac:dyDescent="0.3">
      <c r="A1111" s="1">
        <v>39520</v>
      </c>
      <c r="B1111">
        <v>2.0325199999999999</v>
      </c>
      <c r="C1111">
        <f t="shared" si="19"/>
        <v>2.7232363098173393E-3</v>
      </c>
      <c r="D1111">
        <f>(C1111-meanrtn)/stdevrtns</f>
        <v>0.45937440197138485</v>
      </c>
    </row>
    <row r="1112" spans="1:4" x14ac:dyDescent="0.3">
      <c r="A1112" s="1">
        <v>39521</v>
      </c>
      <c r="B1112">
        <v>2.0199980000000002</v>
      </c>
      <c r="C1112">
        <f t="shared" si="19"/>
        <v>-6.1608249857318508E-3</v>
      </c>
      <c r="D1112">
        <f>(C1112-meanrtn)/stdevrtns</f>
        <v>-1.0130721894257666</v>
      </c>
    </row>
    <row r="1113" spans="1:4" x14ac:dyDescent="0.3">
      <c r="A1113" s="1">
        <v>39524</v>
      </c>
      <c r="B1113">
        <v>1.9972840000000001</v>
      </c>
      <c r="C1113">
        <f t="shared" si="19"/>
        <v>-1.1244565588678861E-2</v>
      </c>
      <c r="D1113">
        <f>(C1113-meanrtn)/stdevrtns</f>
        <v>-1.8556526572245187</v>
      </c>
    </row>
    <row r="1114" spans="1:4" x14ac:dyDescent="0.3">
      <c r="A1114" s="1">
        <v>39525</v>
      </c>
      <c r="B1114">
        <v>2.0094850000000002</v>
      </c>
      <c r="C1114">
        <f t="shared" si="19"/>
        <v>6.1087957446212598E-3</v>
      </c>
      <c r="D1114">
        <f>(C1114-meanrtn)/stdevrtns</f>
        <v>1.0204978886189786</v>
      </c>
    </row>
    <row r="1115" spans="1:4" x14ac:dyDescent="0.3">
      <c r="A1115" s="1">
        <v>39526</v>
      </c>
      <c r="B1115">
        <v>1.9836940000000001</v>
      </c>
      <c r="C1115">
        <f t="shared" si="19"/>
        <v>-1.2834631758883554E-2</v>
      </c>
      <c r="D1115">
        <f>(C1115-meanrtn)/stdevrtns</f>
        <v>-2.1191906309648374</v>
      </c>
    </row>
    <row r="1116" spans="1:4" x14ac:dyDescent="0.3">
      <c r="A1116" s="1">
        <v>39527</v>
      </c>
      <c r="B1116">
        <v>1.984796</v>
      </c>
      <c r="C1116">
        <f t="shared" si="19"/>
        <v>5.5552922981061414E-4</v>
      </c>
      <c r="D1116">
        <f>(C1116-meanrtn)/stdevrtns</f>
        <v>0.10009807609749144</v>
      </c>
    </row>
    <row r="1117" spans="1:4" x14ac:dyDescent="0.3">
      <c r="A1117" s="1">
        <v>39528</v>
      </c>
      <c r="B1117">
        <v>1.983301</v>
      </c>
      <c r="C1117">
        <f t="shared" si="19"/>
        <v>-7.5322602423625608E-4</v>
      </c>
      <c r="D1117">
        <f>(C1117-meanrtn)/stdevrtns</f>
        <v>-0.1168153544480483</v>
      </c>
    </row>
    <row r="1118" spans="1:4" x14ac:dyDescent="0.3">
      <c r="A1118" s="1">
        <v>39531</v>
      </c>
      <c r="B1118">
        <v>1.987795</v>
      </c>
      <c r="C1118">
        <f t="shared" si="19"/>
        <v>2.2659192931380554E-3</v>
      </c>
      <c r="D1118">
        <f>(C1118-meanrtn)/stdevrtns</f>
        <v>0.38357856265916868</v>
      </c>
    </row>
    <row r="1119" spans="1:4" x14ac:dyDescent="0.3">
      <c r="A1119" s="1">
        <v>39532</v>
      </c>
      <c r="B1119">
        <v>2.0026030000000001</v>
      </c>
      <c r="C1119">
        <f t="shared" si="19"/>
        <v>7.4494603316741185E-3</v>
      </c>
      <c r="D1119">
        <f>(C1119-meanrtn)/stdevrtns</f>
        <v>1.2426999801783682</v>
      </c>
    </row>
    <row r="1120" spans="1:4" x14ac:dyDescent="0.3">
      <c r="A1120" s="1">
        <v>39533</v>
      </c>
      <c r="B1120">
        <v>2.007387</v>
      </c>
      <c r="C1120">
        <f t="shared" si="19"/>
        <v>2.3888908585475497E-3</v>
      </c>
      <c r="D1120">
        <f>(C1120-meanrtn)/stdevrtns</f>
        <v>0.40395990136252669</v>
      </c>
    </row>
    <row r="1121" spans="1:4" x14ac:dyDescent="0.3">
      <c r="A1121" s="1">
        <v>39534</v>
      </c>
      <c r="B1121">
        <v>2.006783</v>
      </c>
      <c r="C1121">
        <f t="shared" si="19"/>
        <v>-3.0088866770585293E-4</v>
      </c>
      <c r="D1121">
        <f>(C1121-meanrtn)/stdevrtns</f>
        <v>-4.1844845282553292E-2</v>
      </c>
    </row>
    <row r="1122" spans="1:4" x14ac:dyDescent="0.3">
      <c r="A1122" s="1">
        <v>39535</v>
      </c>
      <c r="B1122">
        <v>1.994893</v>
      </c>
      <c r="C1122">
        <f t="shared" si="19"/>
        <v>-5.9249056823781924E-3</v>
      </c>
      <c r="D1122">
        <f>(C1122-meanrtn)/stdevrtns</f>
        <v>-0.97397086374694475</v>
      </c>
    </row>
    <row r="1123" spans="1:4" x14ac:dyDescent="0.3">
      <c r="A1123" s="1">
        <v>39538</v>
      </c>
      <c r="B1123">
        <v>1.9842059999999999</v>
      </c>
      <c r="C1123">
        <f t="shared" si="19"/>
        <v>-5.3571795580014134E-3</v>
      </c>
      <c r="D1123">
        <f>(C1123-meanrtn)/stdevrtns</f>
        <v>-0.87987579068565214</v>
      </c>
    </row>
    <row r="1124" spans="1:4" x14ac:dyDescent="0.3">
      <c r="A1124" s="1">
        <v>39540</v>
      </c>
      <c r="B1124">
        <v>1.987795</v>
      </c>
      <c r="C1124">
        <f t="shared" si="19"/>
        <v>1.8087839669873311E-3</v>
      </c>
      <c r="D1124">
        <f>(C1124-meanrtn)/stdevrtns</f>
        <v>0.3078128367816268</v>
      </c>
    </row>
    <row r="1125" spans="1:4" x14ac:dyDescent="0.3">
      <c r="A1125" s="1">
        <v>39541</v>
      </c>
      <c r="B1125">
        <v>1.994893</v>
      </c>
      <c r="C1125">
        <f t="shared" si="19"/>
        <v>3.570790750555288E-3</v>
      </c>
      <c r="D1125">
        <f>(C1125-meanrtn)/stdevrtns</f>
        <v>0.59984829175795518</v>
      </c>
    </row>
    <row r="1126" spans="1:4" x14ac:dyDescent="0.3">
      <c r="A1126" s="1">
        <v>39542</v>
      </c>
      <c r="B1126">
        <v>1.994615</v>
      </c>
      <c r="C1126">
        <f t="shared" si="19"/>
        <v>-1.3935584515059227E-4</v>
      </c>
      <c r="D1126">
        <f>(C1126-meanrtn)/stdevrtns</f>
        <v>-1.5072353957058525E-2</v>
      </c>
    </row>
    <row r="1127" spans="1:4" x14ac:dyDescent="0.3">
      <c r="A1127" s="1">
        <v>39545</v>
      </c>
      <c r="B1127">
        <v>1.9881899999999999</v>
      </c>
      <c r="C1127">
        <f t="shared" si="19"/>
        <v>-3.2211730083249773E-3</v>
      </c>
      <c r="D1127">
        <f>(C1127-meanrtn)/stdevrtns</f>
        <v>-0.52585351881673281</v>
      </c>
    </row>
    <row r="1128" spans="1:4" x14ac:dyDescent="0.3">
      <c r="A1128" s="1">
        <v>39546</v>
      </c>
      <c r="B1128">
        <v>1.9664140000000001</v>
      </c>
      <c r="C1128">
        <f t="shared" si="19"/>
        <v>-1.0952675549117438E-2</v>
      </c>
      <c r="D1128">
        <f>(C1128-meanrtn)/stdevrtns</f>
        <v>-1.807274727411009</v>
      </c>
    </row>
    <row r="1129" spans="1:4" x14ac:dyDescent="0.3">
      <c r="A1129" s="1">
        <v>39547</v>
      </c>
      <c r="B1129">
        <v>1.973983</v>
      </c>
      <c r="C1129">
        <f t="shared" si="19"/>
        <v>3.849138584245198E-3</v>
      </c>
      <c r="D1129">
        <f>(C1129-meanrtn)/stdevrtns</f>
        <v>0.64598173290663563</v>
      </c>
    </row>
    <row r="1130" spans="1:4" x14ac:dyDescent="0.3">
      <c r="A1130" s="1">
        <v>39548</v>
      </c>
      <c r="B1130">
        <v>1.9716089999999999</v>
      </c>
      <c r="C1130">
        <f t="shared" si="19"/>
        <v>-1.2026446023091881E-3</v>
      </c>
      <c r="D1130">
        <f>(C1130-meanrtn)/stdevrtns</f>
        <v>-0.19130210452546728</v>
      </c>
    </row>
    <row r="1131" spans="1:4" x14ac:dyDescent="0.3">
      <c r="A1131" s="1">
        <v>39549</v>
      </c>
      <c r="B1131">
        <v>1.982318</v>
      </c>
      <c r="C1131">
        <f t="shared" si="19"/>
        <v>5.431604339399993E-3</v>
      </c>
      <c r="D1131">
        <f>(C1131-meanrtn)/stdevrtns</f>
        <v>0.90826001191262906</v>
      </c>
    </row>
    <row r="1132" spans="1:4" x14ac:dyDescent="0.3">
      <c r="A1132" s="1">
        <v>39552</v>
      </c>
      <c r="B1132">
        <v>1.9762059999999999</v>
      </c>
      <c r="C1132">
        <f t="shared" si="19"/>
        <v>-3.0832590936469917E-3</v>
      </c>
      <c r="D1132">
        <f>(C1132-meanrtn)/stdevrtns</f>
        <v>-0.50299563132381631</v>
      </c>
    </row>
    <row r="1133" spans="1:4" x14ac:dyDescent="0.3">
      <c r="A1133" s="1">
        <v>39553</v>
      </c>
      <c r="B1133">
        <v>1.961592</v>
      </c>
      <c r="C1133">
        <f t="shared" si="19"/>
        <v>-7.3949780539072875E-3</v>
      </c>
      <c r="D1133">
        <f>(C1133-meanrtn)/stdevrtns</f>
        <v>-1.2176210346040035</v>
      </c>
    </row>
    <row r="1134" spans="1:4" x14ac:dyDescent="0.3">
      <c r="A1134" s="1">
        <v>39554</v>
      </c>
      <c r="B1134">
        <v>1.971414</v>
      </c>
      <c r="C1134">
        <f t="shared" si="19"/>
        <v>5.007157451702493E-3</v>
      </c>
      <c r="D1134">
        <f>(C1134-meanrtn)/stdevrtns</f>
        <v>0.83791207618503349</v>
      </c>
    </row>
    <row r="1135" spans="1:4" x14ac:dyDescent="0.3">
      <c r="A1135" s="1">
        <v>39555</v>
      </c>
      <c r="B1135">
        <v>1.990208</v>
      </c>
      <c r="C1135">
        <f t="shared" si="19"/>
        <v>9.5332588690148178E-3</v>
      </c>
      <c r="D1135">
        <f>(C1135-meanrtn)/stdevrtns</f>
        <v>1.58806928272954</v>
      </c>
    </row>
    <row r="1136" spans="1:4" x14ac:dyDescent="0.3">
      <c r="A1136" s="1">
        <v>39556</v>
      </c>
      <c r="B1136">
        <v>1.9980819999999999</v>
      </c>
      <c r="C1136">
        <f t="shared" si="19"/>
        <v>3.9563703894266011E-3</v>
      </c>
      <c r="D1136">
        <f>(C1136-meanrtn)/stdevrtns</f>
        <v>0.66375435972403762</v>
      </c>
    </row>
    <row r="1137" spans="1:4" x14ac:dyDescent="0.3">
      <c r="A1137" s="1">
        <v>39559</v>
      </c>
      <c r="B1137">
        <v>1.980904</v>
      </c>
      <c r="C1137">
        <f t="shared" si="19"/>
        <v>-8.5972447577226142E-3</v>
      </c>
      <c r="D1137">
        <f>(C1137-meanrtn)/stdevrtns</f>
        <v>-1.4168850255976331</v>
      </c>
    </row>
    <row r="1138" spans="1:4" x14ac:dyDescent="0.3">
      <c r="A1138" s="1">
        <v>39560</v>
      </c>
      <c r="B1138">
        <v>1.996367</v>
      </c>
      <c r="C1138">
        <f t="shared" si="19"/>
        <v>7.8060319934736893E-3</v>
      </c>
      <c r="D1138">
        <f>(C1138-meanrtn)/stdevrtns</f>
        <v>1.3017982586052215</v>
      </c>
    </row>
    <row r="1139" spans="1:4" x14ac:dyDescent="0.3">
      <c r="A1139" s="1">
        <v>39561</v>
      </c>
      <c r="B1139">
        <v>1.978396</v>
      </c>
      <c r="C1139">
        <f t="shared" si="19"/>
        <v>-9.0018518639107727E-3</v>
      </c>
      <c r="D1139">
        <f>(C1139-meanrtn)/stdevrtns</f>
        <v>-1.4839447108634574</v>
      </c>
    </row>
    <row r="1140" spans="1:4" x14ac:dyDescent="0.3">
      <c r="A1140" s="1">
        <v>39562</v>
      </c>
      <c r="B1140">
        <v>1.9726980000000001</v>
      </c>
      <c r="C1140">
        <f t="shared" si="19"/>
        <v>-2.8801109585745123E-3</v>
      </c>
      <c r="D1140">
        <f>(C1140-meanrtn)/stdevrtns</f>
        <v>-0.46932580745778574</v>
      </c>
    </row>
    <row r="1141" spans="1:4" x14ac:dyDescent="0.3">
      <c r="A1141" s="1">
        <v>39563</v>
      </c>
      <c r="B1141">
        <v>1.983301</v>
      </c>
      <c r="C1141">
        <f t="shared" si="19"/>
        <v>5.3748723828989115E-3</v>
      </c>
      <c r="D1141">
        <f>(C1141-meanrtn)/stdevrtns</f>
        <v>0.89885724293182978</v>
      </c>
    </row>
    <row r="1142" spans="1:4" x14ac:dyDescent="0.3">
      <c r="A1142" s="1">
        <v>39566</v>
      </c>
      <c r="B1142">
        <v>1.99112</v>
      </c>
      <c r="C1142">
        <f t="shared" si="19"/>
        <v>3.9424172125159121E-3</v>
      </c>
      <c r="D1142">
        <f>(C1142-meanrtn)/stdevrtns</f>
        <v>0.66144175661406157</v>
      </c>
    </row>
    <row r="1143" spans="1:4" x14ac:dyDescent="0.3">
      <c r="A1143" s="1">
        <v>39567</v>
      </c>
      <c r="B1143">
        <v>1.9676130000000001</v>
      </c>
      <c r="C1143">
        <f t="shared" si="19"/>
        <v>-1.180591827715052E-2</v>
      </c>
      <c r="D1143">
        <f>(C1143-meanrtn)/stdevrtns</f>
        <v>-1.9486913953887657</v>
      </c>
    </row>
    <row r="1144" spans="1:4" x14ac:dyDescent="0.3">
      <c r="A1144" s="1">
        <v>39568</v>
      </c>
      <c r="B1144">
        <v>1.987795</v>
      </c>
      <c r="C1144">
        <f t="shared" si="19"/>
        <v>1.0257098321671956E-2</v>
      </c>
      <c r="D1144">
        <f>(C1144-meanrtn)/stdevrtns</f>
        <v>1.7080386187490633</v>
      </c>
    </row>
    <row r="1145" spans="1:4" x14ac:dyDescent="0.3">
      <c r="A1145" s="1">
        <v>39570</v>
      </c>
      <c r="B1145">
        <v>1.971492</v>
      </c>
      <c r="C1145">
        <f t="shared" si="19"/>
        <v>-8.201549958622472E-3</v>
      </c>
      <c r="D1145">
        <f>(C1145-meanrtn)/stdevrtns</f>
        <v>-1.3513024683880739</v>
      </c>
    </row>
    <row r="1146" spans="1:4" x14ac:dyDescent="0.3">
      <c r="A1146" s="1">
        <v>39573</v>
      </c>
      <c r="B1146">
        <v>1.972931</v>
      </c>
      <c r="C1146">
        <f t="shared" si="19"/>
        <v>7.2990405236235704E-4</v>
      </c>
      <c r="D1146">
        <f>(C1146-meanrtn)/stdevrtns</f>
        <v>0.12899900378699641</v>
      </c>
    </row>
    <row r="1147" spans="1:4" x14ac:dyDescent="0.3">
      <c r="A1147" s="1">
        <v>39574</v>
      </c>
      <c r="B1147">
        <v>1.97336</v>
      </c>
      <c r="C1147">
        <f t="shared" si="19"/>
        <v>2.174429820404326E-4</v>
      </c>
      <c r="D1147">
        <f>(C1147-meanrtn)/stdevrtns</f>
        <v>4.4063574919876246E-2</v>
      </c>
    </row>
    <row r="1148" spans="1:4" x14ac:dyDescent="0.3">
      <c r="A1148" s="1">
        <v>39575</v>
      </c>
      <c r="B1148">
        <v>1.9527060000000001</v>
      </c>
      <c r="C1148">
        <f t="shared" si="19"/>
        <v>-1.0466412616045704E-2</v>
      </c>
      <c r="D1148">
        <f>(C1148-meanrtn)/stdevrtns</f>
        <v>-1.7266813845124225</v>
      </c>
    </row>
    <row r="1149" spans="1:4" x14ac:dyDescent="0.3">
      <c r="A1149" s="1">
        <v>39576</v>
      </c>
      <c r="B1149">
        <v>1.955722</v>
      </c>
      <c r="C1149">
        <f t="shared" si="19"/>
        <v>1.5445233435037878E-3</v>
      </c>
      <c r="D1149">
        <f>(C1149-meanrtn)/stdevrtns</f>
        <v>0.26401421345562964</v>
      </c>
    </row>
    <row r="1150" spans="1:4" x14ac:dyDescent="0.3">
      <c r="A1150" s="1">
        <v>39577</v>
      </c>
      <c r="B1150">
        <v>1.954385</v>
      </c>
      <c r="C1150">
        <f t="shared" si="19"/>
        <v>-6.8363499515775841E-4</v>
      </c>
      <c r="D1150">
        <f>(C1150-meanrtn)/stdevrtns</f>
        <v>-0.10528131948930824</v>
      </c>
    </row>
    <row r="1151" spans="1:4" x14ac:dyDescent="0.3">
      <c r="A1151" s="1">
        <v>39580</v>
      </c>
      <c r="B1151">
        <v>1.955608</v>
      </c>
      <c r="C1151">
        <f t="shared" si="19"/>
        <v>6.257723017726671E-4</v>
      </c>
      <c r="D1151">
        <f>(C1151-meanrtn)/stdevrtns</f>
        <v>0.11174018081052471</v>
      </c>
    </row>
    <row r="1152" spans="1:4" x14ac:dyDescent="0.3">
      <c r="A1152" s="1">
        <v>39581</v>
      </c>
      <c r="B1152">
        <v>1.946396</v>
      </c>
      <c r="C1152">
        <f t="shared" si="19"/>
        <v>-4.7105554896482308E-3</v>
      </c>
      <c r="D1152">
        <f>(C1152-meanrtn)/stdevrtns</f>
        <v>-0.77270415221001454</v>
      </c>
    </row>
    <row r="1153" spans="1:4" x14ac:dyDescent="0.3">
      <c r="A1153" s="1">
        <v>39582</v>
      </c>
      <c r="B1153">
        <v>1.9465859999999999</v>
      </c>
      <c r="C1153">
        <f t="shared" si="19"/>
        <v>9.7616312405035999E-5</v>
      </c>
      <c r="D1153">
        <f>(C1153-meanrtn)/stdevrtns</f>
        <v>2.4203472046485916E-2</v>
      </c>
    </row>
    <row r="1154" spans="1:4" x14ac:dyDescent="0.3">
      <c r="A1154" s="1">
        <v>39583</v>
      </c>
      <c r="B1154">
        <v>1.9476089999999999</v>
      </c>
      <c r="C1154">
        <f t="shared" si="19"/>
        <v>5.2553547595636475E-4</v>
      </c>
      <c r="D1154">
        <f>(C1154-meanrtn)/stdevrtns</f>
        <v>9.5126903662197629E-2</v>
      </c>
    </row>
    <row r="1155" spans="1:4" x14ac:dyDescent="0.3">
      <c r="A1155" s="1">
        <v>39584</v>
      </c>
      <c r="B1155">
        <v>1.956717</v>
      </c>
      <c r="C1155">
        <f t="shared" si="19"/>
        <v>4.6765033433302664E-3</v>
      </c>
      <c r="D1155">
        <f>(C1155-meanrtn)/stdevrtns</f>
        <v>0.78310937969215066</v>
      </c>
    </row>
    <row r="1156" spans="1:4" x14ac:dyDescent="0.3">
      <c r="A1156" s="1">
        <v>39587</v>
      </c>
      <c r="B1156">
        <v>1.949584</v>
      </c>
      <c r="C1156">
        <f t="shared" ref="C1156:C1219" si="20">(B1156-B1155)/B1155</f>
        <v>-3.6453917454593874E-3</v>
      </c>
      <c r="D1156">
        <f>(C1156-meanrtn)/stdevrtns</f>
        <v>-0.59616364081164785</v>
      </c>
    </row>
    <row r="1157" spans="1:4" x14ac:dyDescent="0.3">
      <c r="A1157" s="1">
        <v>39588</v>
      </c>
      <c r="B1157">
        <v>1.968</v>
      </c>
      <c r="C1157">
        <f t="shared" si="20"/>
        <v>9.4461177358862135E-3</v>
      </c>
      <c r="D1157">
        <f>(C1157-meanrtn)/stdevrtns</f>
        <v>1.573626489036752</v>
      </c>
    </row>
    <row r="1158" spans="1:4" x14ac:dyDescent="0.3">
      <c r="A1158" s="1">
        <v>39589</v>
      </c>
      <c r="B1158">
        <v>1.971414</v>
      </c>
      <c r="C1158">
        <f t="shared" si="20"/>
        <v>1.7347560975609899E-3</v>
      </c>
      <c r="D1158">
        <f>(C1158-meanrtn)/stdevrtns</f>
        <v>0.29554343876882627</v>
      </c>
    </row>
    <row r="1159" spans="1:4" x14ac:dyDescent="0.3">
      <c r="A1159" s="1">
        <v>39590</v>
      </c>
      <c r="B1159">
        <v>1.9805900000000001</v>
      </c>
      <c r="C1159">
        <f t="shared" si="20"/>
        <v>4.6545271566500353E-3</v>
      </c>
      <c r="D1159">
        <f>(C1159-meanrtn)/stdevrtns</f>
        <v>0.77946704089092866</v>
      </c>
    </row>
    <row r="1160" spans="1:4" x14ac:dyDescent="0.3">
      <c r="A1160" s="1">
        <v>39591</v>
      </c>
      <c r="B1160">
        <v>1.982318</v>
      </c>
      <c r="C1160">
        <f t="shared" si="20"/>
        <v>8.7246729509891084E-4</v>
      </c>
      <c r="D1160">
        <f>(C1160-meanrtn)/stdevrtns</f>
        <v>0.1526274721014968</v>
      </c>
    </row>
    <row r="1161" spans="1:4" x14ac:dyDescent="0.3">
      <c r="A1161" s="1">
        <v>39594</v>
      </c>
      <c r="B1161">
        <v>1.9820819999999999</v>
      </c>
      <c r="C1161">
        <f t="shared" si="20"/>
        <v>-1.1905254353747734E-4</v>
      </c>
      <c r="D1161">
        <f>(C1161-meanrtn)/stdevrtns</f>
        <v>-1.1707279554733467E-2</v>
      </c>
    </row>
    <row r="1162" spans="1:4" x14ac:dyDescent="0.3">
      <c r="A1162" s="1">
        <v>39595</v>
      </c>
      <c r="B1162">
        <v>1.976011</v>
      </c>
      <c r="C1162">
        <f t="shared" si="20"/>
        <v>-3.0629408874102777E-3</v>
      </c>
      <c r="D1162">
        <f>(C1162-meanrtn)/stdevrtns</f>
        <v>-0.49962808662536379</v>
      </c>
    </row>
    <row r="1163" spans="1:4" x14ac:dyDescent="0.3">
      <c r="A1163" s="1">
        <v>39596</v>
      </c>
      <c r="B1163">
        <v>1.980982</v>
      </c>
      <c r="C1163">
        <f t="shared" si="20"/>
        <v>2.5156742548498256E-3</v>
      </c>
      <c r="D1163">
        <f>(C1163-meanrtn)/stdevrtns</f>
        <v>0.42497301389300479</v>
      </c>
    </row>
    <row r="1164" spans="1:4" x14ac:dyDescent="0.3">
      <c r="A1164" s="1">
        <v>39597</v>
      </c>
      <c r="B1164">
        <v>1.9762059999999999</v>
      </c>
      <c r="C1164">
        <f t="shared" si="20"/>
        <v>-2.4109254904891176E-3</v>
      </c>
      <c r="D1164">
        <f>(C1164-meanrtn)/stdevrtns</f>
        <v>-0.39156288797393163</v>
      </c>
    </row>
    <row r="1165" spans="1:4" x14ac:dyDescent="0.3">
      <c r="A1165" s="1">
        <v>39598</v>
      </c>
      <c r="B1165">
        <v>1.9827889999999999</v>
      </c>
      <c r="C1165">
        <f t="shared" si="20"/>
        <v>3.3311304590715775E-3</v>
      </c>
      <c r="D1165">
        <f>(C1165-meanrtn)/stdevrtns</f>
        <v>0.56012693374962741</v>
      </c>
    </row>
    <row r="1166" spans="1:4" x14ac:dyDescent="0.3">
      <c r="A1166" s="1">
        <v>39601</v>
      </c>
      <c r="B1166">
        <v>1.965911</v>
      </c>
      <c r="C1166">
        <f t="shared" si="20"/>
        <v>-8.5122521861882173E-3</v>
      </c>
      <c r="D1166">
        <f>(C1166-meanrtn)/stdevrtns</f>
        <v>-1.4027983350530058</v>
      </c>
    </row>
    <row r="1167" spans="1:4" x14ac:dyDescent="0.3">
      <c r="A1167" s="1">
        <v>39602</v>
      </c>
      <c r="B1167">
        <v>1.9625159999999999</v>
      </c>
      <c r="C1167">
        <f t="shared" si="20"/>
        <v>-1.7269347391616595E-3</v>
      </c>
      <c r="D1167">
        <f>(C1167-meanrtn)/stdevrtns</f>
        <v>-0.27819808590487594</v>
      </c>
    </row>
    <row r="1168" spans="1:4" x14ac:dyDescent="0.3">
      <c r="A1168" s="1">
        <v>39603</v>
      </c>
      <c r="B1168">
        <v>1.9538880000000001</v>
      </c>
      <c r="C1168">
        <f t="shared" si="20"/>
        <v>-4.3963972777800835E-3</v>
      </c>
      <c r="D1168">
        <f>(C1168-meanrtn)/stdevrtns</f>
        <v>-0.72063548982286674</v>
      </c>
    </row>
    <row r="1169" spans="1:4" x14ac:dyDescent="0.3">
      <c r="A1169" s="1">
        <v>39604</v>
      </c>
      <c r="B1169">
        <v>1.9577899999999999</v>
      </c>
      <c r="C1169">
        <f t="shared" si="20"/>
        <v>1.9970438428404545E-3</v>
      </c>
      <c r="D1169">
        <f>(C1169-meanrtn)/stdevrtns</f>
        <v>0.33901507675667714</v>
      </c>
    </row>
    <row r="1170" spans="1:4" x14ac:dyDescent="0.3">
      <c r="A1170" s="1">
        <v>39605</v>
      </c>
      <c r="B1170">
        <v>1.970016</v>
      </c>
      <c r="C1170">
        <f t="shared" si="20"/>
        <v>6.2447964286261913E-3</v>
      </c>
      <c r="D1170">
        <f>(C1170-meanrtn)/stdevrtns</f>
        <v>1.0430386767707969</v>
      </c>
    </row>
    <row r="1171" spans="1:4" x14ac:dyDescent="0.3">
      <c r="A1171" s="1">
        <v>39608</v>
      </c>
      <c r="B1171">
        <v>1.9742170000000001</v>
      </c>
      <c r="C1171">
        <f t="shared" si="20"/>
        <v>2.1324699900915128E-3</v>
      </c>
      <c r="D1171">
        <f>(C1171-meanrtn)/stdevrtns</f>
        <v>0.36146064103995945</v>
      </c>
    </row>
    <row r="1172" spans="1:4" x14ac:dyDescent="0.3">
      <c r="A1172" s="1">
        <v>39609</v>
      </c>
      <c r="B1172">
        <v>1.9535830000000001</v>
      </c>
      <c r="C1172">
        <f t="shared" si="20"/>
        <v>-1.0451738588007317E-2</v>
      </c>
      <c r="D1172">
        <f>(C1172-meanrtn)/stdevrtns</f>
        <v>-1.7242493073521701</v>
      </c>
    </row>
    <row r="1173" spans="1:4" x14ac:dyDescent="0.3">
      <c r="A1173" s="1">
        <v>39610</v>
      </c>
      <c r="B1173">
        <v>1.964019</v>
      </c>
      <c r="C1173">
        <f t="shared" si="20"/>
        <v>5.3419793272156289E-3</v>
      </c>
      <c r="D1173">
        <f>(C1173-meanrtn)/stdevrtns</f>
        <v>0.89340553946983881</v>
      </c>
    </row>
    <row r="1174" spans="1:4" x14ac:dyDescent="0.3">
      <c r="A1174" s="1">
        <v>39611</v>
      </c>
      <c r="B1174">
        <v>1.947495</v>
      </c>
      <c r="C1174">
        <f t="shared" si="20"/>
        <v>-8.4133605632124662E-3</v>
      </c>
      <c r="D1174">
        <f>(C1174-meanrtn)/stdevrtns</f>
        <v>-1.3864080121675337</v>
      </c>
    </row>
    <row r="1175" spans="1:4" x14ac:dyDescent="0.3">
      <c r="A1175" s="1">
        <v>39612</v>
      </c>
      <c r="B1175">
        <v>1.9468890000000001</v>
      </c>
      <c r="C1175">
        <f t="shared" si="20"/>
        <v>-3.1116896320652139E-4</v>
      </c>
      <c r="D1175">
        <f>(C1175-meanrtn)/stdevrtns</f>
        <v>-4.3548704088221181E-2</v>
      </c>
    </row>
    <row r="1176" spans="1:4" x14ac:dyDescent="0.3">
      <c r="A1176" s="1">
        <v>39615</v>
      </c>
      <c r="B1176">
        <v>1.964289</v>
      </c>
      <c r="C1176">
        <f t="shared" si="20"/>
        <v>8.9373354104932846E-3</v>
      </c>
      <c r="D1176">
        <f>(C1176-meanrtn)/stdevrtns</f>
        <v>1.4893007762950747</v>
      </c>
    </row>
    <row r="1177" spans="1:4" x14ac:dyDescent="0.3">
      <c r="A1177" s="1">
        <v>39616</v>
      </c>
      <c r="B1177">
        <v>1.957713</v>
      </c>
      <c r="C1177">
        <f t="shared" si="20"/>
        <v>-3.3477762182651917E-3</v>
      </c>
      <c r="D1177">
        <f>(C1177-meanrtn)/stdevrtns</f>
        <v>-0.54683676721347663</v>
      </c>
    </row>
    <row r="1178" spans="1:4" x14ac:dyDescent="0.3">
      <c r="A1178" s="1">
        <v>39617</v>
      </c>
      <c r="B1178">
        <v>1.9587870000000001</v>
      </c>
      <c r="C1178">
        <f t="shared" si="20"/>
        <v>5.485993095004321E-4</v>
      </c>
      <c r="D1178">
        <f>(C1178-meanrtn)/stdevrtns</f>
        <v>9.8949509332818902E-2</v>
      </c>
    </row>
    <row r="1179" spans="1:4" x14ac:dyDescent="0.3">
      <c r="A1179" s="1">
        <v>39618</v>
      </c>
      <c r="B1179">
        <v>1.972386</v>
      </c>
      <c r="C1179">
        <f t="shared" si="20"/>
        <v>6.9425619018300185E-3</v>
      </c>
      <c r="D1179">
        <f>(C1179-meanrtn)/stdevrtns</f>
        <v>1.1586865047667971</v>
      </c>
    </row>
    <row r="1180" spans="1:4" x14ac:dyDescent="0.3">
      <c r="A1180" s="1">
        <v>39619</v>
      </c>
      <c r="B1180">
        <v>1.9737100000000001</v>
      </c>
      <c r="C1180">
        <f t="shared" si="20"/>
        <v>6.7126820003797581E-4</v>
      </c>
      <c r="D1180">
        <f>(C1180-meanrtn)/stdevrtns</f>
        <v>0.1192806826254848</v>
      </c>
    </row>
    <row r="1181" spans="1:4" x14ac:dyDescent="0.3">
      <c r="A1181" s="1">
        <v>39622</v>
      </c>
      <c r="B1181">
        <v>1.965409</v>
      </c>
      <c r="C1181">
        <f t="shared" si="20"/>
        <v>-4.2057850444088109E-3</v>
      </c>
      <c r="D1181">
        <f>(C1181-meanrtn)/stdevrtns</f>
        <v>-0.68904336951109679</v>
      </c>
    </row>
    <row r="1182" spans="1:4" x14ac:dyDescent="0.3">
      <c r="A1182" s="1">
        <v>39623</v>
      </c>
      <c r="B1182">
        <v>1.970405</v>
      </c>
      <c r="C1182">
        <f t="shared" si="20"/>
        <v>2.5419645478371171E-3</v>
      </c>
      <c r="D1182">
        <f>(C1182-meanrtn)/stdevrtns</f>
        <v>0.4293303737769763</v>
      </c>
    </row>
    <row r="1183" spans="1:4" x14ac:dyDescent="0.3">
      <c r="A1183" s="1">
        <v>39624</v>
      </c>
      <c r="B1183">
        <v>1.9746840000000001</v>
      </c>
      <c r="C1183">
        <f t="shared" si="20"/>
        <v>2.1716347654416952E-3</v>
      </c>
      <c r="D1183">
        <f>(C1183-meanrtn)/stdevrtns</f>
        <v>0.36795182092365775</v>
      </c>
    </row>
    <row r="1184" spans="1:4" x14ac:dyDescent="0.3">
      <c r="A1184" s="1">
        <v>39625</v>
      </c>
      <c r="B1184">
        <v>1.9875970000000001</v>
      </c>
      <c r="C1184">
        <f t="shared" si="20"/>
        <v>6.5392741319623554E-3</v>
      </c>
      <c r="D1184">
        <f>(C1184-meanrtn)/stdevrtns</f>
        <v>1.0918454866401779</v>
      </c>
    </row>
    <row r="1185" spans="1:4" x14ac:dyDescent="0.3">
      <c r="A1185" s="1">
        <v>39626</v>
      </c>
      <c r="B1185">
        <v>1.9940979999999999</v>
      </c>
      <c r="C1185">
        <f t="shared" si="20"/>
        <v>3.2707837655218176E-3</v>
      </c>
      <c r="D1185">
        <f>(C1185-meanrtn)/stdevrtns</f>
        <v>0.55012505732584038</v>
      </c>
    </row>
    <row r="1186" spans="1:4" x14ac:dyDescent="0.3">
      <c r="A1186" s="1">
        <v>39629</v>
      </c>
      <c r="B1186">
        <v>1.992985</v>
      </c>
      <c r="C1186">
        <f t="shared" si="20"/>
        <v>-5.581470920686544E-4</v>
      </c>
      <c r="D1186">
        <f>(C1186-meanrtn)/stdevrtns</f>
        <v>-8.4482922335329017E-2</v>
      </c>
    </row>
    <row r="1187" spans="1:4" x14ac:dyDescent="0.3">
      <c r="A1187" s="1">
        <v>39631</v>
      </c>
      <c r="B1187">
        <v>1.9925079999999999</v>
      </c>
      <c r="C1187">
        <f t="shared" si="20"/>
        <v>-2.3933948323748584E-4</v>
      </c>
      <c r="D1187">
        <f>(C1187-meanrtn)/stdevrtns</f>
        <v>-3.1643667706355662E-2</v>
      </c>
    </row>
    <row r="1188" spans="1:4" x14ac:dyDescent="0.3">
      <c r="A1188" s="1">
        <v>39632</v>
      </c>
      <c r="B1188">
        <v>1.982907</v>
      </c>
      <c r="C1188">
        <f t="shared" si="20"/>
        <v>-4.8185502893840181E-3</v>
      </c>
      <c r="D1188">
        <f>(C1188-meanrtn)/stdevrtns</f>
        <v>-0.79060323794001086</v>
      </c>
    </row>
    <row r="1189" spans="1:4" x14ac:dyDescent="0.3">
      <c r="A1189" s="1">
        <v>39633</v>
      </c>
      <c r="B1189">
        <v>1.983419</v>
      </c>
      <c r="C1189">
        <f t="shared" si="20"/>
        <v>2.5820676410949581E-4</v>
      </c>
      <c r="D1189">
        <f>(C1189-meanrtn)/stdevrtns</f>
        <v>5.0819774586139121E-2</v>
      </c>
    </row>
    <row r="1190" spans="1:4" x14ac:dyDescent="0.3">
      <c r="A1190" s="1">
        <v>39636</v>
      </c>
      <c r="B1190">
        <v>1.976402</v>
      </c>
      <c r="C1190">
        <f t="shared" si="20"/>
        <v>-3.5378303827885336E-3</v>
      </c>
      <c r="D1190">
        <f>(C1190-meanrtn)/stdevrtns</f>
        <v>-0.57833639305165352</v>
      </c>
    </row>
    <row r="1191" spans="1:4" x14ac:dyDescent="0.3">
      <c r="A1191" s="1">
        <v>39637</v>
      </c>
      <c r="B1191">
        <v>1.9686980000000001</v>
      </c>
      <c r="C1191">
        <f t="shared" si="20"/>
        <v>-3.897992412474756E-3</v>
      </c>
      <c r="D1191">
        <f>(C1191-meanrtn)/stdevrtns</f>
        <v>-0.63802973997034729</v>
      </c>
    </row>
    <row r="1192" spans="1:4" x14ac:dyDescent="0.3">
      <c r="A1192" s="1">
        <v>39638</v>
      </c>
      <c r="B1192">
        <v>1.9822</v>
      </c>
      <c r="C1192">
        <f t="shared" si="20"/>
        <v>6.8583398774214746E-3</v>
      </c>
      <c r="D1192">
        <f>(C1192-meanrtn)/stdevrtns</f>
        <v>1.1447275248998912</v>
      </c>
    </row>
    <row r="1193" spans="1:4" x14ac:dyDescent="0.3">
      <c r="A1193" s="1">
        <v>39639</v>
      </c>
      <c r="B1193">
        <v>1.9776130000000001</v>
      </c>
      <c r="C1193">
        <f t="shared" si="20"/>
        <v>-2.3140954495005027E-3</v>
      </c>
      <c r="D1193">
        <f>(C1193-meanrtn)/stdevrtns</f>
        <v>-0.37551425221429746</v>
      </c>
    </row>
    <row r="1194" spans="1:4" x14ac:dyDescent="0.3">
      <c r="A1194" s="1">
        <v>39640</v>
      </c>
      <c r="B1194">
        <v>1.9894160000000001</v>
      </c>
      <c r="C1194">
        <f t="shared" si="20"/>
        <v>5.9683062358510015E-3</v>
      </c>
      <c r="D1194">
        <f>(C1194-meanrtn)/stdevrtns</f>
        <v>0.99721312150245001</v>
      </c>
    </row>
    <row r="1195" spans="1:4" x14ac:dyDescent="0.3">
      <c r="A1195" s="1">
        <v>39643</v>
      </c>
      <c r="B1195">
        <v>1.9940180000000001</v>
      </c>
      <c r="C1195">
        <f t="shared" si="20"/>
        <v>2.3132416749437998E-3</v>
      </c>
      <c r="D1195">
        <f>(C1195-meanrtn)/stdevrtns</f>
        <v>0.39142178632327951</v>
      </c>
    </row>
    <row r="1196" spans="1:4" x14ac:dyDescent="0.3">
      <c r="A1196" s="1">
        <v>39644</v>
      </c>
      <c r="B1196">
        <v>2.0036070000000001</v>
      </c>
      <c r="C1196">
        <f t="shared" si="20"/>
        <v>4.8088833701601837E-3</v>
      </c>
      <c r="D1196">
        <f>(C1196-meanrtn)/stdevrtns</f>
        <v>0.80505007919772809</v>
      </c>
    </row>
    <row r="1197" spans="1:4" x14ac:dyDescent="0.3">
      <c r="A1197" s="1">
        <v>39645</v>
      </c>
      <c r="B1197">
        <v>1.9986010000000001</v>
      </c>
      <c r="C1197">
        <f t="shared" si="20"/>
        <v>-2.4984939661321136E-3</v>
      </c>
      <c r="D1197">
        <f>(C1197-meanrtn)/stdevrtns</f>
        <v>-0.40607650952435603</v>
      </c>
    </row>
    <row r="1198" spans="1:4" x14ac:dyDescent="0.3">
      <c r="A1198" s="1">
        <v>39646</v>
      </c>
      <c r="B1198">
        <v>1.997603</v>
      </c>
      <c r="C1198">
        <f t="shared" si="20"/>
        <v>-4.9934929483176204E-4</v>
      </c>
      <c r="D1198">
        <f>(C1198-meanrtn)/stdevrtns</f>
        <v>-7.4737760382597232E-2</v>
      </c>
    </row>
    <row r="1199" spans="1:4" x14ac:dyDescent="0.3">
      <c r="A1199" s="1">
        <v>39647</v>
      </c>
      <c r="B1199">
        <v>1.999001</v>
      </c>
      <c r="C1199">
        <f t="shared" si="20"/>
        <v>6.9983875674997002E-4</v>
      </c>
      <c r="D1199">
        <f>(C1199-meanrtn)/stdevrtns</f>
        <v>0.12401597400241067</v>
      </c>
    </row>
    <row r="1200" spans="1:4" x14ac:dyDescent="0.3">
      <c r="A1200" s="1">
        <v>39650</v>
      </c>
      <c r="B1200">
        <v>2.0017209999999999</v>
      </c>
      <c r="C1200">
        <f t="shared" si="20"/>
        <v>1.3606796594898319E-3</v>
      </c>
      <c r="D1200">
        <f>(C1200-meanrtn)/stdevrtns</f>
        <v>0.23354391424553056</v>
      </c>
    </row>
    <row r="1201" spans="1:4" x14ac:dyDescent="0.3">
      <c r="A1201" s="1">
        <v>39651</v>
      </c>
      <c r="B1201">
        <v>1.9927859999999999</v>
      </c>
      <c r="C1201">
        <f t="shared" si="20"/>
        <v>-4.4636590214120328E-3</v>
      </c>
      <c r="D1201">
        <f>(C1201-meanrtn)/stdevrtns</f>
        <v>-0.73178346841593545</v>
      </c>
    </row>
    <row r="1202" spans="1:4" x14ac:dyDescent="0.3">
      <c r="A1202" s="1">
        <v>39652</v>
      </c>
      <c r="B1202">
        <v>1.9974430000000001</v>
      </c>
      <c r="C1202">
        <f t="shared" si="20"/>
        <v>2.336929303999593E-3</v>
      </c>
      <c r="D1202">
        <f>(C1202-meanrtn)/stdevrtns</f>
        <v>0.39534778002156218</v>
      </c>
    </row>
    <row r="1203" spans="1:4" x14ac:dyDescent="0.3">
      <c r="A1203" s="1">
        <v>39653</v>
      </c>
      <c r="B1203">
        <v>1.987242</v>
      </c>
      <c r="C1203">
        <f t="shared" si="20"/>
        <v>-5.1070293370074271E-3</v>
      </c>
      <c r="D1203">
        <f>(C1203-meanrtn)/stdevrtns</f>
        <v>-0.83841582907728618</v>
      </c>
    </row>
    <row r="1204" spans="1:4" x14ac:dyDescent="0.3">
      <c r="A1204" s="1">
        <v>39654</v>
      </c>
      <c r="B1204">
        <v>1.9900100000000001</v>
      </c>
      <c r="C1204">
        <f t="shared" si="20"/>
        <v>1.3928852147851664E-3</v>
      </c>
      <c r="D1204">
        <f>(C1204-meanrtn)/stdevrtns</f>
        <v>0.23888167121738138</v>
      </c>
    </row>
    <row r="1205" spans="1:4" x14ac:dyDescent="0.3">
      <c r="A1205" s="1">
        <v>39657</v>
      </c>
      <c r="B1205">
        <v>1.9940979999999999</v>
      </c>
      <c r="C1205">
        <f t="shared" si="20"/>
        <v>2.0542610338640859E-3</v>
      </c>
      <c r="D1205">
        <f>(C1205-meanrtn)/stdevrtns</f>
        <v>0.34849826863135203</v>
      </c>
    </row>
    <row r="1206" spans="1:4" x14ac:dyDescent="0.3">
      <c r="A1206" s="1">
        <v>39658</v>
      </c>
      <c r="B1206">
        <v>1.9807859999999999</v>
      </c>
      <c r="C1206">
        <f t="shared" si="20"/>
        <v>-6.6756999906724696E-3</v>
      </c>
      <c r="D1206">
        <f>(C1206-meanrtn)/stdevrtns</f>
        <v>-1.0984077044340004</v>
      </c>
    </row>
    <row r="1207" spans="1:4" x14ac:dyDescent="0.3">
      <c r="A1207" s="1">
        <v>39659</v>
      </c>
      <c r="B1207">
        <v>1.9811000000000001</v>
      </c>
      <c r="C1207">
        <f t="shared" si="20"/>
        <v>1.5852292978653297E-4</v>
      </c>
      <c r="D1207">
        <f>(C1207-meanrtn)/stdevrtns</f>
        <v>3.429815038935656E-2</v>
      </c>
    </row>
    <row r="1208" spans="1:4" x14ac:dyDescent="0.3">
      <c r="A1208" s="1">
        <v>39660</v>
      </c>
      <c r="B1208">
        <v>1.983104</v>
      </c>
      <c r="C1208">
        <f t="shared" si="20"/>
        <v>1.0115592347685097E-3</v>
      </c>
      <c r="D1208">
        <f>(C1208-meanrtn)/stdevrtns</f>
        <v>0.17568060575782626</v>
      </c>
    </row>
    <row r="1209" spans="1:4" x14ac:dyDescent="0.3">
      <c r="A1209" s="1">
        <v>39661</v>
      </c>
      <c r="B1209">
        <v>1.9742949999999999</v>
      </c>
      <c r="C1209">
        <f t="shared" si="20"/>
        <v>-4.4420262376557492E-3</v>
      </c>
      <c r="D1209">
        <f>(C1209-meanrtn)/stdevrtns</f>
        <v>-0.72819804530316046</v>
      </c>
    </row>
    <row r="1210" spans="1:4" x14ac:dyDescent="0.3">
      <c r="A1210" s="1">
        <v>39664</v>
      </c>
      <c r="B1210">
        <v>1.9612069999999999</v>
      </c>
      <c r="C1210">
        <f t="shared" si="20"/>
        <v>-6.6292018163445626E-3</v>
      </c>
      <c r="D1210">
        <f>(C1210-meanrtn)/stdevrtns</f>
        <v>-1.0907010851280734</v>
      </c>
    </row>
    <row r="1211" spans="1:4" x14ac:dyDescent="0.3">
      <c r="A1211" s="1">
        <v>39665</v>
      </c>
      <c r="B1211">
        <v>1.955608</v>
      </c>
      <c r="C1211">
        <f t="shared" si="20"/>
        <v>-2.8548745746878887E-3</v>
      </c>
      <c r="D1211">
        <f>(C1211-meanrtn)/stdevrtns</f>
        <v>-0.46514312273771685</v>
      </c>
    </row>
    <row r="1212" spans="1:4" x14ac:dyDescent="0.3">
      <c r="A1212" s="1">
        <v>39666</v>
      </c>
      <c r="B1212">
        <v>1.9482159999999999</v>
      </c>
      <c r="C1212">
        <f t="shared" si="20"/>
        <v>-3.7798986299913198E-3</v>
      </c>
      <c r="D1212">
        <f>(C1212-meanrtn)/stdevrtns</f>
        <v>-0.61845684625674269</v>
      </c>
    </row>
    <row r="1213" spans="1:4" x14ac:dyDescent="0.3">
      <c r="A1213" s="1">
        <v>39667</v>
      </c>
      <c r="B1213">
        <v>1.943597</v>
      </c>
      <c r="C1213">
        <f t="shared" si="20"/>
        <v>-2.3708870063688671E-3</v>
      </c>
      <c r="D1213">
        <f>(C1213-meanrtn)/stdevrtns</f>
        <v>-0.38492689937521413</v>
      </c>
    </row>
    <row r="1214" spans="1:4" x14ac:dyDescent="0.3">
      <c r="A1214" s="1">
        <v>39668</v>
      </c>
      <c r="B1214">
        <v>1.9197169999999999</v>
      </c>
      <c r="C1214">
        <f t="shared" si="20"/>
        <v>-1.2286497663867624E-2</v>
      </c>
      <c r="D1214">
        <f>(C1214-meanrtn)/stdevrtns</f>
        <v>-2.0283427458608574</v>
      </c>
    </row>
    <row r="1215" spans="1:4" x14ac:dyDescent="0.3">
      <c r="A1215" s="1">
        <v>39671</v>
      </c>
      <c r="B1215">
        <v>1.9118999999999999</v>
      </c>
      <c r="C1215">
        <f t="shared" si="20"/>
        <v>-4.0719543557722121E-3</v>
      </c>
      <c r="D1215">
        <f>(C1215-meanrtn)/stdevrtns</f>
        <v>-0.66686223694664482</v>
      </c>
    </row>
    <row r="1216" spans="1:4" x14ac:dyDescent="0.3">
      <c r="A1216" s="1">
        <v>39672</v>
      </c>
      <c r="B1216">
        <v>1.8958060000000001</v>
      </c>
      <c r="C1216">
        <f t="shared" si="20"/>
        <v>-8.4178042784663586E-3</v>
      </c>
      <c r="D1216">
        <f>(C1216-meanrtn)/stdevrtns</f>
        <v>-1.3871445146702812</v>
      </c>
    </row>
    <row r="1217" spans="1:4" x14ac:dyDescent="0.3">
      <c r="A1217" s="1">
        <v>39673</v>
      </c>
      <c r="B1217">
        <v>1.8667860000000001</v>
      </c>
      <c r="C1217">
        <f t="shared" si="20"/>
        <v>-1.5307473444012754E-2</v>
      </c>
      <c r="D1217">
        <f>(C1217-meanrtn)/stdevrtns</f>
        <v>-2.5290400443358867</v>
      </c>
    </row>
    <row r="1218" spans="1:4" x14ac:dyDescent="0.3">
      <c r="A1218" s="1">
        <v>39674</v>
      </c>
      <c r="B1218">
        <v>1.8666119999999999</v>
      </c>
      <c r="C1218">
        <f t="shared" si="20"/>
        <v>-9.3208327039156341E-5</v>
      </c>
      <c r="D1218">
        <f>(C1218-meanrtn)/stdevrtns</f>
        <v>-7.4238525021367574E-3</v>
      </c>
    </row>
    <row r="1219" spans="1:4" x14ac:dyDescent="0.3">
      <c r="A1219" s="1">
        <v>39675</v>
      </c>
      <c r="B1219">
        <v>1.864906</v>
      </c>
      <c r="C1219">
        <f t="shared" si="20"/>
        <v>-9.1395533726344063E-4</v>
      </c>
      <c r="D1219">
        <f>(C1219-meanrtn)/stdevrtns</f>
        <v>-0.14345467189884642</v>
      </c>
    </row>
    <row r="1220" spans="1:4" x14ac:dyDescent="0.3">
      <c r="A1220" s="1">
        <v>39678</v>
      </c>
      <c r="B1220">
        <v>1.865011</v>
      </c>
      <c r="C1220">
        <f t="shared" ref="C1220:C1283" si="21">(B1220-B1219)/B1219</f>
        <v>5.6303105893820784E-5</v>
      </c>
      <c r="D1220">
        <f>(C1220-meanrtn)/stdevrtns</f>
        <v>1.7356210632654686E-2</v>
      </c>
    </row>
    <row r="1221" spans="1:4" x14ac:dyDescent="0.3">
      <c r="A1221" s="1">
        <v>39679</v>
      </c>
      <c r="B1221">
        <v>1.868007</v>
      </c>
      <c r="C1221">
        <f t="shared" si="21"/>
        <v>1.6064248414620604E-3</v>
      </c>
      <c r="D1221">
        <f>(C1221-meanrtn)/stdevrtns</f>
        <v>0.27427378355975529</v>
      </c>
    </row>
    <row r="1222" spans="1:4" x14ac:dyDescent="0.3">
      <c r="A1222" s="1">
        <v>39680</v>
      </c>
      <c r="B1222">
        <v>1.8634120000000001</v>
      </c>
      <c r="C1222">
        <f t="shared" si="21"/>
        <v>-2.4598408892471521E-3</v>
      </c>
      <c r="D1222">
        <f>(C1222-meanrtn)/stdevrtns</f>
        <v>-0.39967013867516038</v>
      </c>
    </row>
    <row r="1223" spans="1:4" x14ac:dyDescent="0.3">
      <c r="A1223" s="1">
        <v>39681</v>
      </c>
      <c r="B1223">
        <v>1.8766659999999999</v>
      </c>
      <c r="C1223">
        <f t="shared" si="21"/>
        <v>7.1127587457845481E-3</v>
      </c>
      <c r="D1223">
        <f>(C1223-meanrtn)/stdevrtns</f>
        <v>1.186894973215</v>
      </c>
    </row>
    <row r="1224" spans="1:4" x14ac:dyDescent="0.3">
      <c r="A1224" s="1">
        <v>39682</v>
      </c>
      <c r="B1224">
        <v>1.854015</v>
      </c>
      <c r="C1224">
        <f t="shared" si="21"/>
        <v>-1.206980890579356E-2</v>
      </c>
      <c r="D1224">
        <f>(C1224-meanrtn)/stdevrtns</f>
        <v>-1.9924286956752644</v>
      </c>
    </row>
    <row r="1225" spans="1:4" x14ac:dyDescent="0.3">
      <c r="A1225" s="1">
        <v>39685</v>
      </c>
      <c r="B1225">
        <v>1.84901</v>
      </c>
      <c r="C1225">
        <f t="shared" si="21"/>
        <v>-2.6995466595469433E-3</v>
      </c>
      <c r="D1225">
        <f>(C1225-meanrtn)/stdevrtns</f>
        <v>-0.43939903435409744</v>
      </c>
    </row>
    <row r="1226" spans="1:4" x14ac:dyDescent="0.3">
      <c r="A1226" s="1">
        <v>39686</v>
      </c>
      <c r="B1226">
        <v>1.839216</v>
      </c>
      <c r="C1226">
        <f t="shared" si="21"/>
        <v>-5.2968886052536654E-3</v>
      </c>
      <c r="D1226">
        <f>(C1226-meanrtn)/stdevrtns</f>
        <v>-0.86988315275664729</v>
      </c>
    </row>
    <row r="1227" spans="1:4" x14ac:dyDescent="0.3">
      <c r="A1227" s="1">
        <v>39687</v>
      </c>
      <c r="B1227">
        <v>1.8356030000000001</v>
      </c>
      <c r="C1227">
        <f t="shared" si="21"/>
        <v>-1.9644239719531944E-3</v>
      </c>
      <c r="D1227">
        <f>(C1227-meanrtn)/stdevrtns</f>
        <v>-0.31755961209027167</v>
      </c>
    </row>
    <row r="1228" spans="1:4" x14ac:dyDescent="0.3">
      <c r="A1228" s="1">
        <v>39688</v>
      </c>
      <c r="B1228">
        <v>1.829793</v>
      </c>
      <c r="C1228">
        <f t="shared" si="21"/>
        <v>-3.1651724256280319E-3</v>
      </c>
      <c r="D1228">
        <f>(C1228-meanrtn)/stdevrtns</f>
        <v>-0.51657196791729432</v>
      </c>
    </row>
    <row r="1229" spans="1:4" x14ac:dyDescent="0.3">
      <c r="A1229" s="1">
        <v>39689</v>
      </c>
      <c r="B1229">
        <v>1.8217920000000001</v>
      </c>
      <c r="C1229">
        <f t="shared" si="21"/>
        <v>-4.3726257560281001E-3</v>
      </c>
      <c r="D1229">
        <f>(C1229-meanrtn)/stdevrtns</f>
        <v>-0.71669559172766029</v>
      </c>
    </row>
    <row r="1230" spans="1:4" x14ac:dyDescent="0.3">
      <c r="A1230" s="1">
        <v>39692</v>
      </c>
      <c r="B1230">
        <v>1.791312</v>
      </c>
      <c r="C1230">
        <f t="shared" si="21"/>
        <v>-1.6730779364493895E-2</v>
      </c>
      <c r="D1230">
        <f>(C1230-meanrtn)/stdevrtns</f>
        <v>-2.7649391316348209</v>
      </c>
    </row>
    <row r="1231" spans="1:4" x14ac:dyDescent="0.3">
      <c r="A1231" s="1">
        <v>39693</v>
      </c>
      <c r="B1231">
        <v>1.7817050000000001</v>
      </c>
      <c r="C1231">
        <f t="shared" si="21"/>
        <v>-5.3631081575961758E-3</v>
      </c>
      <c r="D1231">
        <f>(C1231-meanrtn)/stdevrtns</f>
        <v>-0.8808583982988436</v>
      </c>
    </row>
    <row r="1232" spans="1:4" x14ac:dyDescent="0.3">
      <c r="A1232" s="1">
        <v>39694</v>
      </c>
      <c r="B1232">
        <v>1.773301</v>
      </c>
      <c r="C1232">
        <f t="shared" si="21"/>
        <v>-4.7168302272262118E-3</v>
      </c>
      <c r="D1232">
        <f>(C1232-meanrtn)/stdevrtns</f>
        <v>-0.77374412882107624</v>
      </c>
    </row>
    <row r="1233" spans="1:4" x14ac:dyDescent="0.3">
      <c r="A1233" s="1">
        <v>39695</v>
      </c>
      <c r="B1233">
        <v>1.761401</v>
      </c>
      <c r="C1233">
        <f t="shared" si="21"/>
        <v>-6.7106486716017313E-3</v>
      </c>
      <c r="D1233">
        <f>(C1233-meanrtn)/stdevrtns</f>
        <v>-1.1042001077500263</v>
      </c>
    </row>
    <row r="1234" spans="1:4" x14ac:dyDescent="0.3">
      <c r="A1234" s="1">
        <v>39696</v>
      </c>
      <c r="B1234">
        <v>1.768597</v>
      </c>
      <c r="C1234">
        <f t="shared" si="21"/>
        <v>4.0853843048800249E-3</v>
      </c>
      <c r="D1234">
        <f>(C1234-meanrtn)/stdevrtns</f>
        <v>0.68513715906912598</v>
      </c>
    </row>
    <row r="1235" spans="1:4" x14ac:dyDescent="0.3">
      <c r="A1235" s="1">
        <v>39699</v>
      </c>
      <c r="B1235">
        <v>1.7617419999999999</v>
      </c>
      <c r="C1235">
        <f t="shared" si="21"/>
        <v>-3.875953651397156E-3</v>
      </c>
      <c r="D1235">
        <f>(C1235-meanrtn)/stdevrtns</f>
        <v>-0.63437703007250068</v>
      </c>
    </row>
    <row r="1236" spans="1:4" x14ac:dyDescent="0.3">
      <c r="A1236" s="1">
        <v>39700</v>
      </c>
      <c r="B1236">
        <v>1.7623009999999999</v>
      </c>
      <c r="C1236">
        <f t="shared" si="21"/>
        <v>3.17299581891092E-4</v>
      </c>
      <c r="D1236">
        <f>(C1236-meanrtn)/stdevrtns</f>
        <v>6.0613833319407409E-2</v>
      </c>
    </row>
    <row r="1237" spans="1:4" x14ac:dyDescent="0.3">
      <c r="A1237" s="1">
        <v>39701</v>
      </c>
      <c r="B1237">
        <v>1.75291</v>
      </c>
      <c r="C1237">
        <f t="shared" si="21"/>
        <v>-5.3288286166778137E-3</v>
      </c>
      <c r="D1237">
        <f>(C1237-meanrtn)/stdevrtns</f>
        <v>-0.87517689841936963</v>
      </c>
    </row>
    <row r="1238" spans="1:4" x14ac:dyDescent="0.3">
      <c r="A1238" s="1">
        <v>39702</v>
      </c>
      <c r="B1238">
        <v>1.755587</v>
      </c>
      <c r="C1238">
        <f t="shared" si="21"/>
        <v>1.5271748121695012E-3</v>
      </c>
      <c r="D1238">
        <f>(C1238-meanrtn)/stdevrtns</f>
        <v>0.26113886343505799</v>
      </c>
    </row>
    <row r="1239" spans="1:4" x14ac:dyDescent="0.3">
      <c r="A1239" s="1">
        <v>39703</v>
      </c>
      <c r="B1239">
        <v>1.7923070000000001</v>
      </c>
      <c r="C1239">
        <f t="shared" si="21"/>
        <v>2.0916081060067138E-2</v>
      </c>
      <c r="D1239">
        <f>(C1239-meanrtn)/stdevrtns</f>
        <v>3.4746611440544619</v>
      </c>
    </row>
    <row r="1240" spans="1:4" x14ac:dyDescent="0.3">
      <c r="A1240" s="1">
        <v>39706</v>
      </c>
      <c r="B1240">
        <v>1.7958160000000001</v>
      </c>
      <c r="C1240">
        <f t="shared" si="21"/>
        <v>1.9578119150346364E-3</v>
      </c>
      <c r="D1240">
        <f>(C1240-meanrtn)/stdevrtns</f>
        <v>0.3325127670078063</v>
      </c>
    </row>
    <row r="1241" spans="1:4" x14ac:dyDescent="0.3">
      <c r="A1241" s="1">
        <v>39707</v>
      </c>
      <c r="B1241">
        <v>1.783612</v>
      </c>
      <c r="C1241">
        <f t="shared" si="21"/>
        <v>-6.7957964513068727E-3</v>
      </c>
      <c r="D1241">
        <f>(C1241-meanrtn)/stdevrtns</f>
        <v>-1.1183125225365702</v>
      </c>
    </row>
    <row r="1242" spans="1:4" x14ac:dyDescent="0.3">
      <c r="A1242" s="1">
        <v>39708</v>
      </c>
      <c r="B1242">
        <v>1.8150139999999999</v>
      </c>
      <c r="C1242">
        <f t="shared" si="21"/>
        <v>1.7605847011569743E-2</v>
      </c>
      <c r="D1242">
        <f>(C1242-meanrtn)/stdevrtns</f>
        <v>2.9260221061992557</v>
      </c>
    </row>
    <row r="1243" spans="1:4" x14ac:dyDescent="0.3">
      <c r="A1243" s="1">
        <v>39709</v>
      </c>
      <c r="B1243">
        <v>1.8154090000000001</v>
      </c>
      <c r="C1243">
        <f t="shared" si="21"/>
        <v>2.1762917531222638E-4</v>
      </c>
      <c r="D1243">
        <f>(C1243-meanrtn)/stdevrtns</f>
        <v>4.4094434640365922E-2</v>
      </c>
    </row>
    <row r="1244" spans="1:4" x14ac:dyDescent="0.3">
      <c r="A1244" s="1">
        <v>39710</v>
      </c>
      <c r="B1244">
        <v>1.8308979999999999</v>
      </c>
      <c r="C1244">
        <f t="shared" si="21"/>
        <v>8.5319616681419248E-3</v>
      </c>
      <c r="D1244">
        <f>(C1244-meanrtn)/stdevrtns</f>
        <v>1.4221140285554792</v>
      </c>
    </row>
    <row r="1245" spans="1:4" x14ac:dyDescent="0.3">
      <c r="A1245" s="1">
        <v>39713</v>
      </c>
      <c r="B1245">
        <v>1.8580110000000001</v>
      </c>
      <c r="C1245">
        <f t="shared" si="21"/>
        <v>1.4808580270446615E-2</v>
      </c>
      <c r="D1245">
        <f>(C1245-meanrtn)/stdevrtns</f>
        <v>2.4624024010697054</v>
      </c>
    </row>
    <row r="1246" spans="1:4" x14ac:dyDescent="0.3">
      <c r="A1246" s="1">
        <v>39714</v>
      </c>
      <c r="B1246">
        <v>1.855494</v>
      </c>
      <c r="C1246">
        <f t="shared" si="21"/>
        <v>-1.3546744341126626E-3</v>
      </c>
      <c r="D1246">
        <f>(C1246-meanrtn)/stdevrtns</f>
        <v>-0.21649956773318485</v>
      </c>
    </row>
    <row r="1247" spans="1:4" x14ac:dyDescent="0.3">
      <c r="A1247" s="1">
        <v>39715</v>
      </c>
      <c r="B1247">
        <v>1.8494889999999999</v>
      </c>
      <c r="C1247">
        <f t="shared" si="21"/>
        <v>-3.236334905960374E-3</v>
      </c>
      <c r="D1247">
        <f>(C1247-meanrtn)/stdevrtns</f>
        <v>-0.52836645560877604</v>
      </c>
    </row>
    <row r="1248" spans="1:4" x14ac:dyDescent="0.3">
      <c r="A1248" s="1">
        <v>39716</v>
      </c>
      <c r="B1248">
        <v>1.8404</v>
      </c>
      <c r="C1248">
        <f t="shared" si="21"/>
        <v>-4.9143303907186811E-3</v>
      </c>
      <c r="D1248">
        <f>(C1248-meanrtn)/stdevrtns</f>
        <v>-0.80647785643285641</v>
      </c>
    </row>
    <row r="1249" spans="1:4" x14ac:dyDescent="0.3">
      <c r="A1249" s="1">
        <v>39717</v>
      </c>
      <c r="B1249">
        <v>1.8402989999999999</v>
      </c>
      <c r="C1249">
        <f t="shared" si="21"/>
        <v>-5.4879374049189721E-5</v>
      </c>
      <c r="D1249">
        <f>(C1249-meanrtn)/stdevrtns</f>
        <v>-1.0712020301986082E-3</v>
      </c>
    </row>
    <row r="1250" spans="1:4" x14ac:dyDescent="0.3">
      <c r="A1250" s="1">
        <v>39720</v>
      </c>
      <c r="B1250">
        <v>1.801088</v>
      </c>
      <c r="C1250">
        <f t="shared" si="21"/>
        <v>-2.1306863721601701E-2</v>
      </c>
      <c r="D1250">
        <f>(C1250-meanrtn)/stdevrtns</f>
        <v>-3.5233805234051467</v>
      </c>
    </row>
    <row r="1251" spans="1:4" x14ac:dyDescent="0.3">
      <c r="A1251" s="1">
        <v>39721</v>
      </c>
      <c r="B1251">
        <v>1.7820860000000001</v>
      </c>
      <c r="C1251">
        <f t="shared" si="21"/>
        <v>-1.0550289602728996E-2</v>
      </c>
      <c r="D1251">
        <f>(C1251-meanrtn)/stdevrtns</f>
        <v>-1.740583177738495</v>
      </c>
    </row>
    <row r="1252" spans="1:4" x14ac:dyDescent="0.3">
      <c r="A1252" s="1">
        <v>39722</v>
      </c>
      <c r="B1252">
        <v>1.769943</v>
      </c>
      <c r="C1252">
        <f t="shared" si="21"/>
        <v>-6.81392480497575E-3</v>
      </c>
      <c r="D1252">
        <f>(C1252-meanrtn)/stdevrtns</f>
        <v>-1.1213171205103318</v>
      </c>
    </row>
    <row r="1253" spans="1:4" x14ac:dyDescent="0.3">
      <c r="A1253" s="1">
        <v>39723</v>
      </c>
      <c r="B1253">
        <v>1.7645090000000001</v>
      </c>
      <c r="C1253">
        <f t="shared" si="21"/>
        <v>-3.0701553665852168E-3</v>
      </c>
      <c r="D1253">
        <f>(C1253-meanrtn)/stdevrtns</f>
        <v>-0.50082381624906269</v>
      </c>
    </row>
    <row r="1254" spans="1:4" x14ac:dyDescent="0.3">
      <c r="A1254" s="1">
        <v>39724</v>
      </c>
      <c r="B1254">
        <v>1.7720130000000001</v>
      </c>
      <c r="C1254">
        <f t="shared" si="21"/>
        <v>4.2527411308188028E-3</v>
      </c>
      <c r="D1254">
        <f>(C1254-meanrtn)/stdevrtns</f>
        <v>0.71287492220500792</v>
      </c>
    </row>
    <row r="1255" spans="1:4" x14ac:dyDescent="0.3">
      <c r="A1255" s="1">
        <v>39727</v>
      </c>
      <c r="B1255">
        <v>1.7431019999999999</v>
      </c>
      <c r="C1255">
        <f t="shared" si="21"/>
        <v>-1.631534305899569E-2</v>
      </c>
      <c r="D1255">
        <f>(C1255-meanrtn)/stdevrtns</f>
        <v>-2.6960846121055693</v>
      </c>
    </row>
    <row r="1256" spans="1:4" x14ac:dyDescent="0.3">
      <c r="A1256" s="1">
        <v>39728</v>
      </c>
      <c r="B1256">
        <v>1.7455050000000001</v>
      </c>
      <c r="C1256">
        <f t="shared" si="21"/>
        <v>1.3785768130609426E-3</v>
      </c>
      <c r="D1256">
        <f>(C1256-meanrtn)/stdevrtns</f>
        <v>0.2365101930559543</v>
      </c>
    </row>
    <row r="1257" spans="1:4" x14ac:dyDescent="0.3">
      <c r="A1257" s="1">
        <v>39729</v>
      </c>
      <c r="B1257">
        <v>1.7275039999999999</v>
      </c>
      <c r="C1257">
        <f t="shared" si="21"/>
        <v>-1.0312774813019817E-2</v>
      </c>
      <c r="D1257">
        <f>(C1257-meanrtn)/stdevrtns</f>
        <v>-1.7012174157430322</v>
      </c>
    </row>
    <row r="1258" spans="1:4" x14ac:dyDescent="0.3">
      <c r="A1258" s="1">
        <v>39730</v>
      </c>
      <c r="B1258">
        <v>1.708642</v>
      </c>
      <c r="C1258">
        <f t="shared" si="21"/>
        <v>-1.0918643314284618E-2</v>
      </c>
      <c r="D1258">
        <f>(C1258-meanrtn)/stdevrtns</f>
        <v>-1.8016342161054062</v>
      </c>
    </row>
    <row r="1259" spans="1:4" x14ac:dyDescent="0.3">
      <c r="A1259" s="1">
        <v>39731</v>
      </c>
      <c r="B1259">
        <v>1.704013</v>
      </c>
      <c r="C1259">
        <f t="shared" si="21"/>
        <v>-2.7091690359946638E-3</v>
      </c>
      <c r="D1259">
        <f>(C1259-meanrtn)/stdevrtns</f>
        <v>-0.44099384948765402</v>
      </c>
    </row>
    <row r="1260" spans="1:4" x14ac:dyDescent="0.3">
      <c r="A1260" s="1">
        <v>39734</v>
      </c>
      <c r="B1260">
        <v>1.7442869999999999</v>
      </c>
      <c r="C1260">
        <f t="shared" si="21"/>
        <v>2.3634796213409123E-2</v>
      </c>
      <c r="D1260">
        <f>(C1260-meanrtn)/stdevrtns</f>
        <v>3.9252616889340572</v>
      </c>
    </row>
    <row r="1261" spans="1:4" x14ac:dyDescent="0.3">
      <c r="A1261" s="1">
        <v>39735</v>
      </c>
      <c r="B1261">
        <v>1.7417959999999999</v>
      </c>
      <c r="C1261">
        <f t="shared" si="21"/>
        <v>-1.4280906754450507E-3</v>
      </c>
      <c r="D1261">
        <f>(C1261-meanrtn)/stdevrtns</f>
        <v>-0.22866759434925774</v>
      </c>
    </row>
    <row r="1262" spans="1:4" x14ac:dyDescent="0.3">
      <c r="A1262" s="1">
        <v>39736</v>
      </c>
      <c r="B1262">
        <v>1.7183900000000001</v>
      </c>
      <c r="C1262">
        <f t="shared" si="21"/>
        <v>-1.3437853801478369E-2</v>
      </c>
      <c r="D1262">
        <f>(C1262-meanrtn)/stdevrtns</f>
        <v>-2.2191688065903645</v>
      </c>
    </row>
    <row r="1263" spans="1:4" x14ac:dyDescent="0.3">
      <c r="A1263" s="1">
        <v>39737</v>
      </c>
      <c r="B1263">
        <v>1.734305</v>
      </c>
      <c r="C1263">
        <f t="shared" si="21"/>
        <v>9.2615762428784505E-3</v>
      </c>
      <c r="D1263">
        <f>(C1263-meanrtn)/stdevrtns</f>
        <v>1.5430405347855409</v>
      </c>
    </row>
    <row r="1264" spans="1:4" x14ac:dyDescent="0.3">
      <c r="A1264" s="1">
        <v>39738</v>
      </c>
      <c r="B1264">
        <v>1.7301930000000001</v>
      </c>
      <c r="C1264">
        <f t="shared" si="21"/>
        <v>-2.3709785764325728E-3</v>
      </c>
      <c r="D1264">
        <f>(C1264-meanrtn)/stdevrtns</f>
        <v>-0.38494207622099358</v>
      </c>
    </row>
    <row r="1265" spans="1:4" x14ac:dyDescent="0.3">
      <c r="A1265" s="1">
        <v>39741</v>
      </c>
      <c r="B1265">
        <v>1.7130909999999999</v>
      </c>
      <c r="C1265">
        <f t="shared" si="21"/>
        <v>-9.8844464172495039E-3</v>
      </c>
      <c r="D1265">
        <f>(C1265-meanrtn)/stdevrtns</f>
        <v>-1.6302261578746768</v>
      </c>
    </row>
    <row r="1266" spans="1:4" x14ac:dyDescent="0.3">
      <c r="A1266" s="1">
        <v>39742</v>
      </c>
      <c r="B1266">
        <v>1.667389</v>
      </c>
      <c r="C1266">
        <f t="shared" si="21"/>
        <v>-2.6678092407233425E-2</v>
      </c>
      <c r="D1266">
        <f>(C1266-meanrtn)/stdevrtns</f>
        <v>-4.4136093395587759</v>
      </c>
    </row>
    <row r="1267" spans="1:4" x14ac:dyDescent="0.3">
      <c r="A1267" s="1">
        <v>39743</v>
      </c>
      <c r="B1267">
        <v>1.6200889999999999</v>
      </c>
      <c r="C1267">
        <f t="shared" si="21"/>
        <v>-2.8367705436463907E-2</v>
      </c>
      <c r="D1267">
        <f>(C1267-meanrtn)/stdevrtns</f>
        <v>-4.6936462351750894</v>
      </c>
    </row>
    <row r="1268" spans="1:4" x14ac:dyDescent="0.3">
      <c r="A1268" s="1">
        <v>39744</v>
      </c>
      <c r="B1268">
        <v>1.622692</v>
      </c>
      <c r="C1268">
        <f t="shared" si="21"/>
        <v>1.6067018540340272E-3</v>
      </c>
      <c r="D1268">
        <f>(C1268-meanrtn)/stdevrtns</f>
        <v>0.27431969569428444</v>
      </c>
    </row>
    <row r="1269" spans="1:4" x14ac:dyDescent="0.3">
      <c r="A1269" s="1">
        <v>39745</v>
      </c>
      <c r="B1269">
        <v>1.5914950000000001</v>
      </c>
      <c r="C1269">
        <f t="shared" si="21"/>
        <v>-1.922545991475888E-2</v>
      </c>
      <c r="D1269">
        <f>(C1269-meanrtn)/stdevrtns</f>
        <v>-3.1784081240991928</v>
      </c>
    </row>
    <row r="1270" spans="1:4" x14ac:dyDescent="0.3">
      <c r="A1270" s="1">
        <v>39748</v>
      </c>
      <c r="B1270">
        <v>1.5539050000000001</v>
      </c>
      <c r="C1270">
        <f t="shared" si="21"/>
        <v>-2.3619301348731858E-2</v>
      </c>
      <c r="D1270">
        <f>(C1270-meanrtn)/stdevrtns</f>
        <v>-3.9066445271769523</v>
      </c>
    </row>
    <row r="1271" spans="1:4" x14ac:dyDescent="0.3">
      <c r="A1271" s="1">
        <v>39749</v>
      </c>
      <c r="B1271">
        <v>1.6090100000000001</v>
      </c>
      <c r="C1271">
        <f t="shared" si="21"/>
        <v>3.5462270859544155E-2</v>
      </c>
      <c r="D1271">
        <f>(C1271-meanrtn)/stdevrtns</f>
        <v>5.8855503618929701</v>
      </c>
    </row>
    <row r="1272" spans="1:4" x14ac:dyDescent="0.3">
      <c r="A1272" s="1">
        <v>39750</v>
      </c>
      <c r="B1272">
        <v>1.637197</v>
      </c>
      <c r="C1272">
        <f t="shared" si="21"/>
        <v>1.7518225492694241E-2</v>
      </c>
      <c r="D1272">
        <f>(C1272-meanrtn)/stdevrtns</f>
        <v>2.9114996932499091</v>
      </c>
    </row>
    <row r="1273" spans="1:4" x14ac:dyDescent="0.3">
      <c r="A1273" s="1">
        <v>39751</v>
      </c>
      <c r="B1273">
        <v>1.6371169999999999</v>
      </c>
      <c r="C1273">
        <f t="shared" si="21"/>
        <v>-4.8864003537802726E-5</v>
      </c>
      <c r="D1273">
        <f>(C1273-meanrtn)/stdevrtns</f>
        <v>-7.4212983092401363E-5</v>
      </c>
    </row>
    <row r="1274" spans="1:4" x14ac:dyDescent="0.3">
      <c r="A1274" s="1">
        <v>39752</v>
      </c>
      <c r="B1274">
        <v>1.6073040000000001</v>
      </c>
      <c r="C1274">
        <f t="shared" si="21"/>
        <v>-1.8210671564707879E-2</v>
      </c>
      <c r="D1274">
        <f>(C1274-meanrtn)/stdevrtns</f>
        <v>-3.0102168434097267</v>
      </c>
    </row>
    <row r="1275" spans="1:4" x14ac:dyDescent="0.3">
      <c r="A1275" s="1">
        <v>39755</v>
      </c>
      <c r="B1275">
        <v>1.5770630000000001</v>
      </c>
      <c r="C1275">
        <f t="shared" si="21"/>
        <v>-1.8814735731386197E-2</v>
      </c>
      <c r="D1275">
        <f>(C1275-meanrtn)/stdevrtns</f>
        <v>-3.1103345928962431</v>
      </c>
    </row>
    <row r="1276" spans="1:4" x14ac:dyDescent="0.3">
      <c r="A1276" s="1">
        <v>39756</v>
      </c>
      <c r="B1276">
        <v>1.593702</v>
      </c>
      <c r="C1276">
        <f t="shared" si="21"/>
        <v>1.0550624800657835E-2</v>
      </c>
      <c r="D1276">
        <f>(C1276-meanrtn)/stdevrtns</f>
        <v>1.7566877724513339</v>
      </c>
    </row>
    <row r="1277" spans="1:4" x14ac:dyDescent="0.3">
      <c r="A1277" s="1">
        <v>39757</v>
      </c>
      <c r="B1277">
        <v>1.5845100000000001</v>
      </c>
      <c r="C1277">
        <f t="shared" si="21"/>
        <v>-5.7677031214115734E-3</v>
      </c>
      <c r="D1277">
        <f>(C1277-meanrtn)/stdevrtns</f>
        <v>-0.94791607108470077</v>
      </c>
    </row>
    <row r="1278" spans="1:4" x14ac:dyDescent="0.3">
      <c r="A1278" s="1">
        <v>39758</v>
      </c>
      <c r="B1278">
        <v>1.5583119999999999</v>
      </c>
      <c r="C1278">
        <f t="shared" si="21"/>
        <v>-1.6533818025762013E-2</v>
      </c>
      <c r="D1278">
        <f>(C1278-meanrtn)/stdevrtns</f>
        <v>-2.7322947089766751</v>
      </c>
    </row>
    <row r="1279" spans="1:4" x14ac:dyDescent="0.3">
      <c r="A1279" s="1">
        <v>39759</v>
      </c>
      <c r="B1279">
        <v>1.5650919999999999</v>
      </c>
      <c r="C1279">
        <f t="shared" si="21"/>
        <v>4.3508617016361347E-3</v>
      </c>
      <c r="D1279">
        <f>(C1279-meanrtn)/stdevrtns</f>
        <v>0.72913745070853198</v>
      </c>
    </row>
    <row r="1280" spans="1:4" x14ac:dyDescent="0.3">
      <c r="A1280" s="1">
        <v>39762</v>
      </c>
      <c r="B1280">
        <v>1.5636239999999999</v>
      </c>
      <c r="C1280">
        <f t="shared" si="21"/>
        <v>-9.379640302295488E-4</v>
      </c>
      <c r="D1280">
        <f>(C1280-meanrtn)/stdevrtns</f>
        <v>-0.14743387881174305</v>
      </c>
    </row>
    <row r="1281" spans="1:4" x14ac:dyDescent="0.3">
      <c r="A1281" s="1">
        <v>39763</v>
      </c>
      <c r="B1281">
        <v>1.5383910000000001</v>
      </c>
      <c r="C1281">
        <f t="shared" si="21"/>
        <v>-1.6137511319856846E-2</v>
      </c>
      <c r="D1281">
        <f>(C1281-meanrtn)/stdevrtns</f>
        <v>-2.6666107341767442</v>
      </c>
    </row>
    <row r="1282" spans="1:4" x14ac:dyDescent="0.3">
      <c r="A1282" s="1">
        <v>39764</v>
      </c>
      <c r="B1282">
        <v>1.4914909999999999</v>
      </c>
      <c r="C1282">
        <f t="shared" si="21"/>
        <v>-3.0486397801339295E-2</v>
      </c>
      <c r="D1282">
        <f>(C1282-meanrtn)/stdevrtns</f>
        <v>-5.0447988496266412</v>
      </c>
    </row>
    <row r="1283" spans="1:4" x14ac:dyDescent="0.3">
      <c r="A1283" s="1">
        <v>39765</v>
      </c>
      <c r="B1283">
        <v>1.4906680000000001</v>
      </c>
      <c r="C1283">
        <f t="shared" si="21"/>
        <v>-5.5179682612888461E-4</v>
      </c>
      <c r="D1283">
        <f>(C1283-meanrtn)/stdevrtns</f>
        <v>-8.3430427634266571E-2</v>
      </c>
    </row>
    <row r="1284" spans="1:4" x14ac:dyDescent="0.3">
      <c r="A1284" s="1">
        <v>39766</v>
      </c>
      <c r="B1284">
        <v>1.4752959999999999</v>
      </c>
      <c r="C1284">
        <f t="shared" ref="C1284:C1347" si="22">(B1284-B1283)/B1283</f>
        <v>-1.0312155355853994E-2</v>
      </c>
      <c r="D1284">
        <f>(C1284-meanrtn)/stdevrtns</f>
        <v>-1.7011147467539305</v>
      </c>
    </row>
    <row r="1285" spans="1:4" x14ac:dyDescent="0.3">
      <c r="A1285" s="1">
        <v>39769</v>
      </c>
      <c r="B1285">
        <v>1.499498</v>
      </c>
      <c r="C1285">
        <f t="shared" si="22"/>
        <v>1.6404843502592061E-2</v>
      </c>
      <c r="D1285">
        <f>(C1285-meanrtn)/stdevrtns</f>
        <v>2.7269674774411046</v>
      </c>
    </row>
    <row r="1286" spans="1:4" x14ac:dyDescent="0.3">
      <c r="A1286" s="1">
        <v>39770</v>
      </c>
      <c r="B1286">
        <v>1.4959530000000001</v>
      </c>
      <c r="C1286">
        <f t="shared" si="22"/>
        <v>-2.3641245270083116E-3</v>
      </c>
      <c r="D1286">
        <f>(C1286-meanrtn)/stdevrtns</f>
        <v>-0.38380608431635899</v>
      </c>
    </row>
    <row r="1287" spans="1:4" x14ac:dyDescent="0.3">
      <c r="A1287" s="1">
        <v>39771</v>
      </c>
      <c r="B1287">
        <v>1.4970060000000001</v>
      </c>
      <c r="C1287">
        <f t="shared" si="22"/>
        <v>7.0389911982526897E-4</v>
      </c>
      <c r="D1287">
        <f>(C1287-meanrtn)/stdevrtns</f>
        <v>0.12468893961702816</v>
      </c>
    </row>
    <row r="1288" spans="1:4" x14ac:dyDescent="0.3">
      <c r="A1288" s="1">
        <v>39772</v>
      </c>
      <c r="B1288">
        <v>1.4737960000000001</v>
      </c>
      <c r="C1288">
        <f t="shared" si="22"/>
        <v>-1.5504279875965728E-2</v>
      </c>
      <c r="D1288">
        <f>(C1288-meanrtn)/stdevrtns</f>
        <v>-2.5616587927048755</v>
      </c>
    </row>
    <row r="1289" spans="1:4" x14ac:dyDescent="0.3">
      <c r="A1289" s="1">
        <v>39773</v>
      </c>
      <c r="B1289">
        <v>1.492693</v>
      </c>
      <c r="C1289">
        <f t="shared" si="22"/>
        <v>1.2821991646062236E-2</v>
      </c>
      <c r="D1289">
        <f>(C1289-meanrtn)/stdevrtns</f>
        <v>2.1331446943552552</v>
      </c>
    </row>
    <row r="1290" spans="1:4" x14ac:dyDescent="0.3">
      <c r="A1290" s="1">
        <v>39776</v>
      </c>
      <c r="B1290">
        <v>1.514899</v>
      </c>
      <c r="C1290">
        <f t="shared" si="22"/>
        <v>1.487646823559831E-2</v>
      </c>
      <c r="D1290">
        <f>(C1290-meanrtn)/stdevrtns</f>
        <v>2.4736541697776251</v>
      </c>
    </row>
    <row r="1291" spans="1:4" x14ac:dyDescent="0.3">
      <c r="A1291" s="1">
        <v>39777</v>
      </c>
      <c r="B1291">
        <v>1.542805</v>
      </c>
      <c r="C1291">
        <f t="shared" si="22"/>
        <v>1.8421030048867935E-2</v>
      </c>
      <c r="D1291">
        <f>(C1291-meanrtn)/stdevrtns</f>
        <v>3.0611307513000998</v>
      </c>
    </row>
    <row r="1292" spans="1:4" x14ac:dyDescent="0.3">
      <c r="A1292" s="1">
        <v>39778</v>
      </c>
      <c r="B1292">
        <v>1.533366</v>
      </c>
      <c r="C1292">
        <f t="shared" si="22"/>
        <v>-6.1180771387180982E-3</v>
      </c>
      <c r="D1292">
        <f>(C1292-meanrtn)/stdevrtns</f>
        <v>-1.0059871503281075</v>
      </c>
    </row>
    <row r="1293" spans="1:4" x14ac:dyDescent="0.3">
      <c r="A1293" s="1">
        <v>39779</v>
      </c>
      <c r="B1293">
        <v>1.5403100000000001</v>
      </c>
      <c r="C1293">
        <f t="shared" si="22"/>
        <v>4.5285991733219995E-3</v>
      </c>
      <c r="D1293">
        <f>(C1293-meanrtn)/stdevrtns</f>
        <v>0.75859570472558968</v>
      </c>
    </row>
    <row r="1294" spans="1:4" x14ac:dyDescent="0.3">
      <c r="A1294" s="1">
        <v>39780</v>
      </c>
      <c r="B1294">
        <v>1.5385089999999999</v>
      </c>
      <c r="C1294">
        <f t="shared" si="22"/>
        <v>-1.1692451519500382E-3</v>
      </c>
      <c r="D1294">
        <f>(C1294-meanrtn)/stdevrtns</f>
        <v>-0.18576647108037764</v>
      </c>
    </row>
    <row r="1295" spans="1:4" x14ac:dyDescent="0.3">
      <c r="A1295" s="1">
        <v>39783</v>
      </c>
      <c r="B1295">
        <v>1.4865029999999999</v>
      </c>
      <c r="C1295">
        <f t="shared" si="22"/>
        <v>-3.3802857181855939E-2</v>
      </c>
      <c r="D1295">
        <f>(C1295-meanrtn)/stdevrtns</f>
        <v>-5.5944696756029675</v>
      </c>
    </row>
    <row r="1296" spans="1:4" x14ac:dyDescent="0.3">
      <c r="A1296" s="1">
        <v>39784</v>
      </c>
      <c r="B1296">
        <v>1.490713</v>
      </c>
      <c r="C1296">
        <f t="shared" si="22"/>
        <v>2.8321503555660816E-3</v>
      </c>
      <c r="D1296">
        <f>(C1296-meanrtn)/stdevrtns</f>
        <v>0.47742584377068364</v>
      </c>
    </row>
    <row r="1297" spans="1:4" x14ac:dyDescent="0.3">
      <c r="A1297" s="1">
        <v>39785</v>
      </c>
      <c r="B1297">
        <v>1.478197</v>
      </c>
      <c r="C1297">
        <f t="shared" si="22"/>
        <v>-8.3959823252362942E-3</v>
      </c>
      <c r="D1297">
        <f>(C1297-meanrtn)/stdevrtns</f>
        <v>-1.383527738560538</v>
      </c>
    </row>
    <row r="1298" spans="1:4" x14ac:dyDescent="0.3">
      <c r="A1298" s="1">
        <v>39786</v>
      </c>
      <c r="B1298">
        <v>1.468407</v>
      </c>
      <c r="C1298">
        <f t="shared" si="22"/>
        <v>-6.6229332084965439E-3</v>
      </c>
      <c r="D1298">
        <f>(C1298-meanrtn)/stdevrtns</f>
        <v>-1.0896621244600235</v>
      </c>
    </row>
    <row r="1299" spans="1:4" x14ac:dyDescent="0.3">
      <c r="A1299" s="1">
        <v>39787</v>
      </c>
      <c r="B1299">
        <v>1.470502</v>
      </c>
      <c r="C1299">
        <f t="shared" si="22"/>
        <v>1.4267161624808094E-3</v>
      </c>
      <c r="D1299">
        <f>(C1299-meanrtn)/stdevrtns</f>
        <v>0.24448882114138532</v>
      </c>
    </row>
    <row r="1300" spans="1:4" x14ac:dyDescent="0.3">
      <c r="A1300" s="1">
        <v>39790</v>
      </c>
      <c r="B1300">
        <v>1.487498</v>
      </c>
      <c r="C1300">
        <f t="shared" si="22"/>
        <v>1.1557957758642974E-2</v>
      </c>
      <c r="D1300">
        <f>(C1300-meanrtn)/stdevrtns</f>
        <v>1.9236433945529412</v>
      </c>
    </row>
    <row r="1301" spans="1:4" x14ac:dyDescent="0.3">
      <c r="A1301" s="1">
        <v>39791</v>
      </c>
      <c r="B1301">
        <v>1.4759059999999999</v>
      </c>
      <c r="C1301">
        <f t="shared" si="22"/>
        <v>-7.7929516543888107E-3</v>
      </c>
      <c r="D1301">
        <f>(C1301-meanrtn)/stdevrtns</f>
        <v>-1.283581280937361</v>
      </c>
    </row>
    <row r="1302" spans="1:4" x14ac:dyDescent="0.3">
      <c r="A1302" s="1">
        <v>39792</v>
      </c>
      <c r="B1302">
        <v>1.4797929999999999</v>
      </c>
      <c r="C1302">
        <f t="shared" si="22"/>
        <v>2.6336365595098698E-3</v>
      </c>
      <c r="D1302">
        <f>(C1302-meanrtn)/stdevrtns</f>
        <v>0.44452411643853235</v>
      </c>
    </row>
    <row r="1303" spans="1:4" x14ac:dyDescent="0.3">
      <c r="A1303" s="1">
        <v>39793</v>
      </c>
      <c r="B1303">
        <v>1.502901</v>
      </c>
      <c r="C1303">
        <f t="shared" si="22"/>
        <v>1.5615697600948329E-2</v>
      </c>
      <c r="D1303">
        <f>(C1303-meanrtn)/stdevrtns</f>
        <v>2.5961742338631386</v>
      </c>
    </row>
    <row r="1304" spans="1:4" x14ac:dyDescent="0.3">
      <c r="A1304" s="1">
        <v>39794</v>
      </c>
      <c r="B1304">
        <v>1.4949920000000001</v>
      </c>
      <c r="C1304">
        <f t="shared" si="22"/>
        <v>-5.2624890129156499E-3</v>
      </c>
      <c r="D1304">
        <f>(C1304-meanrtn)/stdevrtns</f>
        <v>-0.86418175552417453</v>
      </c>
    </row>
    <row r="1305" spans="1:4" x14ac:dyDescent="0.3">
      <c r="A1305" s="1">
        <v>39797</v>
      </c>
      <c r="B1305">
        <v>1.5298940000000001</v>
      </c>
      <c r="C1305">
        <f t="shared" si="22"/>
        <v>2.3345944326123476E-2</v>
      </c>
      <c r="D1305">
        <f>(C1305-meanrtn)/stdevrtns</f>
        <v>3.8773873032558019</v>
      </c>
    </row>
    <row r="1306" spans="1:4" x14ac:dyDescent="0.3">
      <c r="A1306" s="1">
        <v>39798</v>
      </c>
      <c r="B1306">
        <v>1.558603</v>
      </c>
      <c r="C1306">
        <f t="shared" si="22"/>
        <v>1.8765352370817764E-2</v>
      </c>
      <c r="D1306">
        <f>(C1306-meanrtn)/stdevrtns</f>
        <v>3.118198821007248</v>
      </c>
    </row>
    <row r="1307" spans="1:4" x14ac:dyDescent="0.3">
      <c r="A1307" s="1">
        <v>39799</v>
      </c>
      <c r="B1307">
        <v>1.5507</v>
      </c>
      <c r="C1307">
        <f t="shared" si="22"/>
        <v>-5.0705663982425243E-3</v>
      </c>
      <c r="D1307">
        <f>(C1307-meanrtn)/stdevrtns</f>
        <v>-0.83237245228027978</v>
      </c>
    </row>
    <row r="1308" spans="1:4" x14ac:dyDescent="0.3">
      <c r="A1308" s="1">
        <v>39800</v>
      </c>
      <c r="B1308">
        <v>1.505503</v>
      </c>
      <c r="C1308">
        <f t="shared" si="22"/>
        <v>-2.9146192042303433E-2</v>
      </c>
      <c r="D1308">
        <f>(C1308-meanrtn)/stdevrtns</f>
        <v>-4.8226728043401428</v>
      </c>
    </row>
    <row r="1309" spans="1:4" x14ac:dyDescent="0.3">
      <c r="A1309" s="1">
        <v>39801</v>
      </c>
      <c r="B1309">
        <v>1.499498</v>
      </c>
      <c r="C1309">
        <f t="shared" si="22"/>
        <v>-3.9887001221518906E-3</v>
      </c>
      <c r="D1309">
        <f>(C1309-meanrtn)/stdevrtns</f>
        <v>-0.6530636589725104</v>
      </c>
    </row>
    <row r="1310" spans="1:4" x14ac:dyDescent="0.3">
      <c r="A1310" s="1">
        <v>39804</v>
      </c>
      <c r="B1310">
        <v>1.4827999999999999</v>
      </c>
      <c r="C1310">
        <f t="shared" si="22"/>
        <v>-1.1135726756554595E-2</v>
      </c>
      <c r="D1310">
        <f>(C1310-meanrtn)/stdevrtns</f>
        <v>-1.8376136813505781</v>
      </c>
    </row>
    <row r="1311" spans="1:4" x14ac:dyDescent="0.3">
      <c r="A1311" s="1">
        <v>39805</v>
      </c>
      <c r="B1311">
        <v>1.474491</v>
      </c>
      <c r="C1311">
        <f t="shared" si="22"/>
        <v>-5.6035878068518346E-3</v>
      </c>
      <c r="D1311">
        <f>(C1311-meanrtn)/stdevrtns</f>
        <v>-0.92071555687386086</v>
      </c>
    </row>
    <row r="1312" spans="1:4" x14ac:dyDescent="0.3">
      <c r="A1312" s="1">
        <v>39806</v>
      </c>
      <c r="B1312">
        <v>1.4732099999999999</v>
      </c>
      <c r="C1312">
        <f t="shared" si="22"/>
        <v>-8.6877437705627748E-4</v>
      </c>
      <c r="D1312">
        <f>(C1312-meanrtn)/stdevrtns</f>
        <v>-0.13596636799819495</v>
      </c>
    </row>
    <row r="1313" spans="1:4" x14ac:dyDescent="0.3">
      <c r="A1313" s="1">
        <v>39807</v>
      </c>
      <c r="B1313">
        <v>1.4749920000000001</v>
      </c>
      <c r="C1313">
        <f t="shared" si="22"/>
        <v>1.2096035188467174E-3</v>
      </c>
      <c r="D1313">
        <f>(C1313-meanrtn)/stdevrtns</f>
        <v>0.20850451605465628</v>
      </c>
    </row>
    <row r="1314" spans="1:4" x14ac:dyDescent="0.3">
      <c r="A1314" s="1">
        <v>39808</v>
      </c>
      <c r="B1314">
        <v>1.458491</v>
      </c>
      <c r="C1314">
        <f t="shared" si="22"/>
        <v>-1.1187179320294685E-2</v>
      </c>
      <c r="D1314">
        <f>(C1314-meanrtn)/stdevrtns</f>
        <v>-1.8461414424248623</v>
      </c>
    </row>
    <row r="1315" spans="1:4" x14ac:dyDescent="0.3">
      <c r="A1315" s="1">
        <v>39811</v>
      </c>
      <c r="B1315">
        <v>1.446906</v>
      </c>
      <c r="C1315">
        <f t="shared" si="22"/>
        <v>-7.9431412329592412E-3</v>
      </c>
      <c r="D1315">
        <f>(C1315-meanrtn)/stdevrtns</f>
        <v>-1.3084737401035529</v>
      </c>
    </row>
    <row r="1316" spans="1:4" x14ac:dyDescent="0.3">
      <c r="A1316" s="1">
        <v>39812</v>
      </c>
      <c r="B1316">
        <v>1.446801</v>
      </c>
      <c r="C1316">
        <f t="shared" si="22"/>
        <v>-7.2568639566096034E-5</v>
      </c>
      <c r="D1316">
        <f>(C1316-meanrtn)/stdevrtns</f>
        <v>-4.0030254213470756E-3</v>
      </c>
    </row>
    <row r="1317" spans="1:4" x14ac:dyDescent="0.3">
      <c r="A1317" s="1">
        <v>39813</v>
      </c>
      <c r="B1317">
        <v>1.4656100000000001</v>
      </c>
      <c r="C1317">
        <f t="shared" si="22"/>
        <v>1.3000405722694466E-2</v>
      </c>
      <c r="D1317">
        <f>(C1317-meanrtn)/stdevrtns</f>
        <v>2.1627150890491786</v>
      </c>
    </row>
    <row r="1318" spans="1:4" x14ac:dyDescent="0.3">
      <c r="A1318" s="1">
        <v>39814</v>
      </c>
      <c r="B1318">
        <v>1.4741</v>
      </c>
      <c r="C1318">
        <f t="shared" si="22"/>
        <v>5.7928098198019159E-3</v>
      </c>
      <c r="D1318">
        <f>(C1318-meanrtn)/stdevrtns</f>
        <v>0.96812630061982596</v>
      </c>
    </row>
    <row r="1319" spans="1:4" x14ac:dyDescent="0.3">
      <c r="A1319" s="1">
        <v>39815</v>
      </c>
      <c r="B1319">
        <v>1.452391</v>
      </c>
      <c r="C1319">
        <f t="shared" si="22"/>
        <v>-1.4726952038531971E-2</v>
      </c>
      <c r="D1319">
        <f>(C1319-meanrtn)/stdevrtns</f>
        <v>-2.4328242781117724</v>
      </c>
    </row>
    <row r="1320" spans="1:4" x14ac:dyDescent="0.3">
      <c r="A1320" s="1">
        <v>39818</v>
      </c>
      <c r="B1320">
        <v>1.4716050000000001</v>
      </c>
      <c r="C1320">
        <f t="shared" si="22"/>
        <v>1.3229219955232486E-2</v>
      </c>
      <c r="D1320">
        <f>(C1320-meanrtn)/stdevrtns</f>
        <v>2.2006388184737551</v>
      </c>
    </row>
    <row r="1321" spans="1:4" x14ac:dyDescent="0.3">
      <c r="A1321" s="1">
        <v>39819</v>
      </c>
      <c r="B1321">
        <v>1.4912019999999999</v>
      </c>
      <c r="C1321">
        <f t="shared" si="22"/>
        <v>1.3316752797115982E-2</v>
      </c>
      <c r="D1321">
        <f>(C1321-meanrtn)/stdevrtns</f>
        <v>2.2151465340757661</v>
      </c>
    </row>
    <row r="1322" spans="1:4" x14ac:dyDescent="0.3">
      <c r="A1322" s="1">
        <v>39820</v>
      </c>
      <c r="B1322">
        <v>1.5079089999999999</v>
      </c>
      <c r="C1322">
        <f t="shared" si="22"/>
        <v>1.1203713514332752E-2</v>
      </c>
      <c r="D1322">
        <f>(C1322-meanrtn)/stdevrtns</f>
        <v>1.8649308628960555</v>
      </c>
    </row>
    <row r="1323" spans="1:4" x14ac:dyDescent="0.3">
      <c r="A1323" s="1">
        <v>39821</v>
      </c>
      <c r="B1323">
        <v>1.522696</v>
      </c>
      <c r="C1323">
        <f t="shared" si="22"/>
        <v>9.806294676933492E-3</v>
      </c>
      <c r="D1323">
        <f>(C1323-meanrtn)/stdevrtns</f>
        <v>1.633322307368241</v>
      </c>
    </row>
    <row r="1324" spans="1:4" x14ac:dyDescent="0.3">
      <c r="A1324" s="1">
        <v>39822</v>
      </c>
      <c r="B1324">
        <v>1.517911</v>
      </c>
      <c r="C1324">
        <f t="shared" si="22"/>
        <v>-3.1424525972354555E-3</v>
      </c>
      <c r="D1324">
        <f>(C1324-meanrtn)/stdevrtns</f>
        <v>-0.51280637774846716</v>
      </c>
    </row>
    <row r="1325" spans="1:4" x14ac:dyDescent="0.3">
      <c r="A1325" s="1">
        <v>39825</v>
      </c>
      <c r="B1325">
        <v>1.4818990000000001</v>
      </c>
      <c r="C1325">
        <f t="shared" si="22"/>
        <v>-2.3724711132602591E-2</v>
      </c>
      <c r="D1325">
        <f>(C1325-meanrtn)/stdevrtns</f>
        <v>-3.9241151717163065</v>
      </c>
    </row>
    <row r="1326" spans="1:4" x14ac:dyDescent="0.3">
      <c r="A1326" s="1">
        <v>39826</v>
      </c>
      <c r="B1326">
        <v>1.451695</v>
      </c>
      <c r="C1326">
        <f t="shared" si="22"/>
        <v>-2.0381955855291161E-2</v>
      </c>
      <c r="D1326">
        <f>(C1326-meanrtn)/stdevrtns</f>
        <v>-3.3700860570795204</v>
      </c>
    </row>
    <row r="1327" spans="1:4" x14ac:dyDescent="0.3">
      <c r="A1327" s="1">
        <v>39827</v>
      </c>
      <c r="B1327">
        <v>1.4620949999999999</v>
      </c>
      <c r="C1327">
        <f t="shared" si="22"/>
        <v>7.1640392782230189E-3</v>
      </c>
      <c r="D1327">
        <f>(C1327-meanrtn)/stdevrtns</f>
        <v>1.1953942217773534</v>
      </c>
    </row>
    <row r="1328" spans="1:4" x14ac:dyDescent="0.3">
      <c r="A1328" s="1">
        <v>39828</v>
      </c>
      <c r="B1328">
        <v>1.467201</v>
      </c>
      <c r="C1328">
        <f t="shared" si="22"/>
        <v>3.4922491356581173E-3</v>
      </c>
      <c r="D1328">
        <f>(C1328-meanrtn)/stdevrtns</f>
        <v>0.5868307844163404</v>
      </c>
    </row>
    <row r="1329" spans="1:4" x14ac:dyDescent="0.3">
      <c r="A1329" s="1">
        <v>39829</v>
      </c>
      <c r="B1329">
        <v>1.4734050000000001</v>
      </c>
      <c r="C1329">
        <f t="shared" si="22"/>
        <v>4.2284594953248388E-3</v>
      </c>
      <c r="D1329">
        <f>(C1329-meanrtn)/stdevrtns</f>
        <v>0.70885047772773413</v>
      </c>
    </row>
    <row r="1330" spans="1:4" x14ac:dyDescent="0.3">
      <c r="A1330" s="1">
        <v>39832</v>
      </c>
      <c r="B1330">
        <v>1.442544</v>
      </c>
      <c r="C1330">
        <f t="shared" si="22"/>
        <v>-2.094536125505209E-2</v>
      </c>
      <c r="D1330">
        <f>(C1330-meanrtn)/stdevrtns</f>
        <v>-3.4634650121378723</v>
      </c>
    </row>
    <row r="1331" spans="1:4" x14ac:dyDescent="0.3">
      <c r="A1331" s="1">
        <v>39833</v>
      </c>
      <c r="B1331">
        <v>1.3877520000000001</v>
      </c>
      <c r="C1331">
        <f t="shared" si="22"/>
        <v>-3.7982896882174787E-2</v>
      </c>
      <c r="D1331">
        <f>(C1331-meanrtn)/stdevrtns</f>
        <v>-6.2872705246609071</v>
      </c>
    </row>
    <row r="1332" spans="1:4" x14ac:dyDescent="0.3">
      <c r="A1332" s="1">
        <v>39834</v>
      </c>
      <c r="B1332">
        <v>1.3875980000000001</v>
      </c>
      <c r="C1332">
        <f t="shared" si="22"/>
        <v>-1.1097083628774267E-4</v>
      </c>
      <c r="D1332">
        <f>(C1332-meanrtn)/stdevrtns</f>
        <v>-1.0367815328107389E-2</v>
      </c>
    </row>
    <row r="1333" spans="1:4" x14ac:dyDescent="0.3">
      <c r="A1333" s="1">
        <v>39835</v>
      </c>
      <c r="B1333">
        <v>1.3880410000000001</v>
      </c>
      <c r="C1333">
        <f t="shared" si="22"/>
        <v>3.1925672997508729E-4</v>
      </c>
      <c r="D1333">
        <f>(C1333-meanrtn)/stdevrtns</f>
        <v>6.0938211543427774E-2</v>
      </c>
    </row>
    <row r="1334" spans="1:4" x14ac:dyDescent="0.3">
      <c r="A1334" s="1">
        <v>39836</v>
      </c>
      <c r="B1334">
        <v>1.3783030000000001</v>
      </c>
      <c r="C1334">
        <f t="shared" si="22"/>
        <v>-7.0156429096835211E-3</v>
      </c>
      <c r="D1334">
        <f>(C1334-meanrtn)/stdevrtns</f>
        <v>-1.1547499307779574</v>
      </c>
    </row>
    <row r="1335" spans="1:4" x14ac:dyDescent="0.3">
      <c r="A1335" s="1">
        <v>39839</v>
      </c>
      <c r="B1335">
        <v>1.397097</v>
      </c>
      <c r="C1335">
        <f t="shared" si="22"/>
        <v>1.36356084257235E-2</v>
      </c>
      <c r="D1335">
        <f>(C1335-meanrtn)/stdevrtns</f>
        <v>2.2679937475147538</v>
      </c>
    </row>
    <row r="1336" spans="1:4" x14ac:dyDescent="0.3">
      <c r="A1336" s="1">
        <v>39840</v>
      </c>
      <c r="B1336">
        <v>1.418641</v>
      </c>
      <c r="C1336">
        <f t="shared" si="22"/>
        <v>1.5420547034314731E-2</v>
      </c>
      <c r="D1336">
        <f>(C1336-meanrtn)/stdevrtns</f>
        <v>2.5638299290357032</v>
      </c>
    </row>
    <row r="1337" spans="1:4" x14ac:dyDescent="0.3">
      <c r="A1337" s="1">
        <v>39841</v>
      </c>
      <c r="B1337">
        <v>1.4229810000000001</v>
      </c>
      <c r="C1337">
        <f t="shared" si="22"/>
        <v>3.059265874876033E-3</v>
      </c>
      <c r="D1337">
        <f>(C1337-meanrtn)/stdevrtns</f>
        <v>0.51506802803036111</v>
      </c>
    </row>
    <row r="1338" spans="1:4" x14ac:dyDescent="0.3">
      <c r="A1338" s="1">
        <v>39842</v>
      </c>
      <c r="B1338">
        <v>1.4278979999999999</v>
      </c>
      <c r="C1338">
        <f t="shared" si="22"/>
        <v>3.4554221033167962E-3</v>
      </c>
      <c r="D1338">
        <f>(C1338-meanrtn)/stdevrtns</f>
        <v>0.58072706265685448</v>
      </c>
    </row>
    <row r="1339" spans="1:4" x14ac:dyDescent="0.3">
      <c r="A1339" s="1">
        <v>39843</v>
      </c>
      <c r="B1339">
        <v>1.456304</v>
      </c>
      <c r="C1339">
        <f t="shared" si="22"/>
        <v>1.9893577832590392E-2</v>
      </c>
      <c r="D1339">
        <f>(C1339-meanrtn)/stdevrtns</f>
        <v>3.3051911976072215</v>
      </c>
    </row>
    <row r="1340" spans="1:4" x14ac:dyDescent="0.3">
      <c r="A1340" s="1">
        <v>39846</v>
      </c>
      <c r="B1340">
        <v>1.4212020000000001</v>
      </c>
      <c r="C1340">
        <f t="shared" si="22"/>
        <v>-2.4103483887979411E-2</v>
      </c>
      <c r="D1340">
        <f>(C1340-meanrtn)/stdevrtns</f>
        <v>-3.9868930650710177</v>
      </c>
    </row>
    <row r="1341" spans="1:4" x14ac:dyDescent="0.3">
      <c r="A1341" s="1">
        <v>39847</v>
      </c>
      <c r="B1341">
        <v>1.44371</v>
      </c>
      <c r="C1341">
        <f t="shared" si="22"/>
        <v>1.5837298286943004E-2</v>
      </c>
      <c r="D1341">
        <f>(C1341-meanrtn)/stdevrtns</f>
        <v>2.6329023882386156</v>
      </c>
    </row>
    <row r="1342" spans="1:4" x14ac:dyDescent="0.3">
      <c r="A1342" s="1">
        <v>39848</v>
      </c>
      <c r="B1342">
        <v>1.445902</v>
      </c>
      <c r="C1342">
        <f t="shared" si="22"/>
        <v>1.5183104640128361E-3</v>
      </c>
      <c r="D1342">
        <f>(C1342-meanrtn)/stdevrtns</f>
        <v>0.25966968410434155</v>
      </c>
    </row>
    <row r="1343" spans="1:4" x14ac:dyDescent="0.3">
      <c r="A1343" s="1">
        <v>39849</v>
      </c>
      <c r="B1343">
        <v>1.4632080000000001</v>
      </c>
      <c r="C1343">
        <f t="shared" si="22"/>
        <v>1.1968999282109052E-2</v>
      </c>
      <c r="D1343">
        <f>(C1343-meanrtn)/stdevrtns</f>
        <v>1.9917695217841362</v>
      </c>
    </row>
    <row r="1344" spans="1:4" x14ac:dyDescent="0.3">
      <c r="A1344" s="1">
        <v>39850</v>
      </c>
      <c r="B1344">
        <v>1.477498</v>
      </c>
      <c r="C1344">
        <f t="shared" si="22"/>
        <v>9.7662123225132121E-3</v>
      </c>
      <c r="D1344">
        <f>(C1344-meanrtn)/stdevrtns</f>
        <v>1.6266790476947761</v>
      </c>
    </row>
    <row r="1345" spans="1:4" x14ac:dyDescent="0.3">
      <c r="A1345" s="1">
        <v>39853</v>
      </c>
      <c r="B1345">
        <v>1.4855529999999999</v>
      </c>
      <c r="C1345">
        <f t="shared" si="22"/>
        <v>5.4517840294876357E-3</v>
      </c>
      <c r="D1345">
        <f>(C1345-meanrtn)/stdevrtns</f>
        <v>0.91160459890910628</v>
      </c>
    </row>
    <row r="1346" spans="1:4" x14ac:dyDescent="0.3">
      <c r="A1346" s="1">
        <v>39854</v>
      </c>
      <c r="B1346">
        <v>1.4558800000000001</v>
      </c>
      <c r="C1346">
        <f t="shared" si="22"/>
        <v>-1.9974379911049851E-2</v>
      </c>
      <c r="D1346">
        <f>(C1346-meanrtn)/stdevrtns</f>
        <v>-3.3025343158354281</v>
      </c>
    </row>
    <row r="1347" spans="1:4" x14ac:dyDescent="0.3">
      <c r="A1347" s="1">
        <v>39855</v>
      </c>
      <c r="B1347">
        <v>1.4350080000000001</v>
      </c>
      <c r="C1347">
        <f t="shared" si="22"/>
        <v>-1.4336346402176004E-2</v>
      </c>
      <c r="D1347">
        <f>(C1347-meanrtn)/stdevrtns</f>
        <v>-2.3680852000370858</v>
      </c>
    </row>
    <row r="1348" spans="1:4" x14ac:dyDescent="0.3">
      <c r="A1348" s="1">
        <v>39856</v>
      </c>
      <c r="B1348">
        <v>1.4291020000000001</v>
      </c>
      <c r="C1348">
        <f t="shared" ref="C1348:C1411" si="23">(B1348-B1347)/B1347</f>
        <v>-4.1156564980822175E-3</v>
      </c>
      <c r="D1348">
        <f>(C1348-meanrtn)/stdevrtns</f>
        <v>-0.67410544119078464</v>
      </c>
    </row>
    <row r="1349" spans="1:4" x14ac:dyDescent="0.3">
      <c r="A1349" s="1">
        <v>39857</v>
      </c>
      <c r="B1349">
        <v>1.4359980000000001</v>
      </c>
      <c r="C1349">
        <f t="shared" si="23"/>
        <v>4.8254078435269231E-3</v>
      </c>
      <c r="D1349">
        <f>(C1349-meanrtn)/stdevrtns</f>
        <v>0.80778884963998943</v>
      </c>
    </row>
    <row r="1350" spans="1:4" x14ac:dyDescent="0.3">
      <c r="A1350" s="1">
        <v>39860</v>
      </c>
      <c r="B1350">
        <v>1.4298169999999999</v>
      </c>
      <c r="C1350">
        <f t="shared" si="23"/>
        <v>-4.3043235436262539E-3</v>
      </c>
      <c r="D1350">
        <f>(C1350-meanrtn)/stdevrtns</f>
        <v>-0.7053751655745486</v>
      </c>
    </row>
    <row r="1351" spans="1:4" x14ac:dyDescent="0.3">
      <c r="A1351" s="1">
        <v>39861</v>
      </c>
      <c r="B1351">
        <v>1.423994</v>
      </c>
      <c r="C1351">
        <f t="shared" si="23"/>
        <v>-4.0725491444009356E-3</v>
      </c>
      <c r="D1351">
        <f>(C1351-meanrtn)/stdevrtns</f>
        <v>-0.66696081736609825</v>
      </c>
    </row>
    <row r="1352" spans="1:4" x14ac:dyDescent="0.3">
      <c r="A1352" s="1">
        <v>39862</v>
      </c>
      <c r="B1352">
        <v>1.42509</v>
      </c>
      <c r="C1352">
        <f t="shared" si="23"/>
        <v>7.6966616432371621E-4</v>
      </c>
      <c r="D1352">
        <f>(C1352-meanrtn)/stdevrtns</f>
        <v>0.13558918639341166</v>
      </c>
    </row>
    <row r="1353" spans="1:4" x14ac:dyDescent="0.3">
      <c r="A1353" s="1">
        <v>39863</v>
      </c>
      <c r="B1353">
        <v>1.426696</v>
      </c>
      <c r="C1353">
        <f t="shared" si="23"/>
        <v>1.1269463682995434E-3</v>
      </c>
      <c r="D1353">
        <f>(C1353-meanrtn)/stdevrtns</f>
        <v>0.19480489878178109</v>
      </c>
    </row>
    <row r="1354" spans="1:4" x14ac:dyDescent="0.3">
      <c r="A1354" s="1">
        <v>39864</v>
      </c>
      <c r="B1354">
        <v>1.443897</v>
      </c>
      <c r="C1354">
        <f t="shared" si="23"/>
        <v>1.2056527809708601E-2</v>
      </c>
      <c r="D1354">
        <f>(C1354-meanrtn)/stdevrtns</f>
        <v>2.0062765223356225</v>
      </c>
    </row>
    <row r="1355" spans="1:4" x14ac:dyDescent="0.3">
      <c r="A1355" s="1">
        <v>39867</v>
      </c>
      <c r="B1355">
        <v>1.4470940000000001</v>
      </c>
      <c r="C1355">
        <f t="shared" si="23"/>
        <v>2.2141468539654259E-3</v>
      </c>
      <c r="D1355">
        <f>(C1355-meanrtn)/stdevrtns</f>
        <v>0.37499778534888084</v>
      </c>
    </row>
    <row r="1356" spans="1:4" x14ac:dyDescent="0.3">
      <c r="A1356" s="1">
        <v>39868</v>
      </c>
      <c r="B1356">
        <v>1.452855</v>
      </c>
      <c r="C1356">
        <f t="shared" si="23"/>
        <v>3.9810820858906916E-3</v>
      </c>
      <c r="D1356">
        <f>(C1356-meanrtn)/stdevrtns</f>
        <v>0.66785008261649681</v>
      </c>
    </row>
    <row r="1357" spans="1:4" x14ac:dyDescent="0.3">
      <c r="A1357" s="1">
        <v>39869</v>
      </c>
      <c r="B1357">
        <v>1.422091</v>
      </c>
      <c r="C1357">
        <f t="shared" si="23"/>
        <v>-2.1174859156626102E-2</v>
      </c>
      <c r="D1357">
        <f>(C1357-meanrtn)/stdevrtns</f>
        <v>-3.5015020530433358</v>
      </c>
    </row>
    <row r="1358" spans="1:4" x14ac:dyDescent="0.3">
      <c r="A1358" s="1">
        <v>39870</v>
      </c>
      <c r="B1358">
        <v>1.429797</v>
      </c>
      <c r="C1358">
        <f t="shared" si="23"/>
        <v>5.4187812172357399E-3</v>
      </c>
      <c r="D1358">
        <f>(C1358-meanrtn)/stdevrtns</f>
        <v>0.90613470436536081</v>
      </c>
    </row>
    <row r="1359" spans="1:4" x14ac:dyDescent="0.3">
      <c r="A1359" s="1">
        <v>39871</v>
      </c>
      <c r="B1359">
        <v>1.4272050000000001</v>
      </c>
      <c r="C1359">
        <f t="shared" si="23"/>
        <v>-1.8128447604799337E-3</v>
      </c>
      <c r="D1359">
        <f>(C1359-meanrtn)/stdevrtns</f>
        <v>-0.29243683481133875</v>
      </c>
    </row>
    <row r="1360" spans="1:4" x14ac:dyDescent="0.3">
      <c r="A1360" s="1">
        <v>39874</v>
      </c>
      <c r="B1360">
        <v>1.4035089999999999</v>
      </c>
      <c r="C1360">
        <f t="shared" si="23"/>
        <v>-1.6603080846830105E-2</v>
      </c>
      <c r="D1360">
        <f>(C1360-meanrtn)/stdevrtns</f>
        <v>-2.7437743466558251</v>
      </c>
    </row>
    <row r="1361" spans="1:4" x14ac:dyDescent="0.3">
      <c r="A1361" s="1">
        <v>39875</v>
      </c>
      <c r="B1361">
        <v>1.4028</v>
      </c>
      <c r="C1361">
        <f t="shared" si="23"/>
        <v>-5.0516241791099929E-4</v>
      </c>
      <c r="D1361">
        <f>(C1361-meanrtn)/stdevrtns</f>
        <v>-7.5701228888570199E-2</v>
      </c>
    </row>
    <row r="1362" spans="1:4" x14ac:dyDescent="0.3">
      <c r="A1362" s="1">
        <v>39876</v>
      </c>
      <c r="B1362">
        <v>1.4177759999999999</v>
      </c>
      <c r="C1362">
        <f t="shared" si="23"/>
        <v>1.0675791274593583E-2</v>
      </c>
      <c r="D1362">
        <f>(C1362-meanrtn)/stdevrtns</f>
        <v>1.7774328958552239</v>
      </c>
    </row>
    <row r="1363" spans="1:4" x14ac:dyDescent="0.3">
      <c r="A1363" s="1">
        <v>39877</v>
      </c>
      <c r="B1363">
        <v>1.413108</v>
      </c>
      <c r="C1363">
        <f t="shared" si="23"/>
        <v>-3.2924806175304807E-3</v>
      </c>
      <c r="D1363">
        <f>(C1363-meanrtn)/stdevrtns</f>
        <v>-0.53767206020477187</v>
      </c>
    </row>
    <row r="1364" spans="1:4" x14ac:dyDescent="0.3">
      <c r="A1364" s="1">
        <v>39878</v>
      </c>
      <c r="B1364">
        <v>1.4070039999999999</v>
      </c>
      <c r="C1364">
        <f t="shared" si="23"/>
        <v>-4.3195566085537053E-3</v>
      </c>
      <c r="D1364">
        <f>(C1364-meanrtn)/stdevrtns</f>
        <v>-0.7078998976517793</v>
      </c>
    </row>
    <row r="1365" spans="1:4" x14ac:dyDescent="0.3">
      <c r="A1365" s="1">
        <v>39881</v>
      </c>
      <c r="B1365">
        <v>1.379405</v>
      </c>
      <c r="C1365">
        <f t="shared" si="23"/>
        <v>-1.9615438193494782E-2</v>
      </c>
      <c r="D1365">
        <f>(C1365-meanrtn)/stdevrtns</f>
        <v>-3.2430432237614708</v>
      </c>
    </row>
    <row r="1366" spans="1:4" x14ac:dyDescent="0.3">
      <c r="A1366" s="1">
        <v>39882</v>
      </c>
      <c r="B1366">
        <v>1.3791960000000001</v>
      </c>
      <c r="C1366">
        <f t="shared" si="23"/>
        <v>-1.5151460231034664E-4</v>
      </c>
      <c r="D1366">
        <f>(C1366-meanrtn)/stdevrtns</f>
        <v>-1.7087549478556705E-2</v>
      </c>
    </row>
    <row r="1367" spans="1:4" x14ac:dyDescent="0.3">
      <c r="A1367" s="1">
        <v>39883</v>
      </c>
      <c r="B1367">
        <v>1.384198</v>
      </c>
      <c r="C1367">
        <f t="shared" si="23"/>
        <v>3.6267506576294819E-3</v>
      </c>
      <c r="D1367">
        <f>(C1367-meanrtn)/stdevrtns</f>
        <v>0.60912310106927525</v>
      </c>
    </row>
    <row r="1368" spans="1:4" x14ac:dyDescent="0.3">
      <c r="A1368" s="1">
        <v>39884</v>
      </c>
      <c r="B1368">
        <v>1.3931070000000001</v>
      </c>
      <c r="C1368">
        <f t="shared" si="23"/>
        <v>6.4362179399190403E-3</v>
      </c>
      <c r="D1368">
        <f>(C1368-meanrtn)/stdevrtns</f>
        <v>1.0747649270122774</v>
      </c>
    </row>
    <row r="1369" spans="1:4" x14ac:dyDescent="0.3">
      <c r="A1369" s="1">
        <v>39885</v>
      </c>
      <c r="B1369">
        <v>1.4006970000000001</v>
      </c>
      <c r="C1369">
        <f t="shared" si="23"/>
        <v>5.4482534363835553E-3</v>
      </c>
      <c r="D1369">
        <f>(C1369-meanrtn)/stdevrtns</f>
        <v>0.91101943750501757</v>
      </c>
    </row>
    <row r="1370" spans="1:4" x14ac:dyDescent="0.3">
      <c r="A1370" s="1">
        <v>39888</v>
      </c>
      <c r="B1370">
        <v>1.4075979999999999</v>
      </c>
      <c r="C1370">
        <f t="shared" si="23"/>
        <v>4.9268328553568859E-3</v>
      </c>
      <c r="D1370">
        <f>(C1370-meanrtn)/stdevrtns</f>
        <v>0.82459905704212244</v>
      </c>
    </row>
    <row r="1371" spans="1:4" x14ac:dyDescent="0.3">
      <c r="A1371" s="1">
        <v>39889</v>
      </c>
      <c r="B1371">
        <v>1.405402</v>
      </c>
      <c r="C1371">
        <f t="shared" si="23"/>
        <v>-1.5601045184774807E-3</v>
      </c>
      <c r="D1371">
        <f>(C1371-meanrtn)/stdevrtns</f>
        <v>-0.25054760245858088</v>
      </c>
    </row>
    <row r="1372" spans="1:4" x14ac:dyDescent="0.3">
      <c r="A1372" s="1">
        <v>39890</v>
      </c>
      <c r="B1372">
        <v>1.4284079999999999</v>
      </c>
      <c r="C1372">
        <f t="shared" si="23"/>
        <v>1.6369693511180332E-2</v>
      </c>
      <c r="D1372">
        <f>(C1372-meanrtn)/stdevrtns</f>
        <v>2.7211417088742254</v>
      </c>
    </row>
    <row r="1373" spans="1:4" x14ac:dyDescent="0.3">
      <c r="A1373" s="1">
        <v>39891</v>
      </c>
      <c r="B1373">
        <v>1.4495910000000001</v>
      </c>
      <c r="C1373">
        <f t="shared" si="23"/>
        <v>1.4829796528723009E-2</v>
      </c>
      <c r="D1373">
        <f>(C1373-meanrtn)/stdevrtns</f>
        <v>2.4659187891429091</v>
      </c>
    </row>
    <row r="1374" spans="1:4" x14ac:dyDescent="0.3">
      <c r="A1374" s="1">
        <v>39892</v>
      </c>
      <c r="B1374">
        <v>1.4427099999999999</v>
      </c>
      <c r="C1374">
        <f t="shared" si="23"/>
        <v>-4.7468561821921744E-3</v>
      </c>
      <c r="D1374">
        <f>(C1374-meanrtn)/stdevrtns</f>
        <v>-0.77872063827686144</v>
      </c>
    </row>
    <row r="1375" spans="1:4" x14ac:dyDescent="0.3">
      <c r="A1375" s="1">
        <v>39895</v>
      </c>
      <c r="B1375">
        <v>1.457195</v>
      </c>
      <c r="C1375">
        <f t="shared" si="23"/>
        <v>1.0040132805622808E-2</v>
      </c>
      <c r="D1375">
        <f>(C1375-meanrtn)/stdevrtns</f>
        <v>1.6720786986258938</v>
      </c>
    </row>
    <row r="1376" spans="1:4" x14ac:dyDescent="0.3">
      <c r="A1376" s="1">
        <v>39896</v>
      </c>
      <c r="B1376">
        <v>1.470005</v>
      </c>
      <c r="C1376">
        <f t="shared" si="23"/>
        <v>8.790861895628237E-3</v>
      </c>
      <c r="D1376">
        <f>(C1376-meanrtn)/stdevrtns</f>
        <v>1.465024218477869</v>
      </c>
    </row>
    <row r="1377" spans="1:4" x14ac:dyDescent="0.3">
      <c r="A1377" s="1">
        <v>39897</v>
      </c>
      <c r="B1377">
        <v>1.4550959999999999</v>
      </c>
      <c r="C1377">
        <f t="shared" si="23"/>
        <v>-1.0142142373665437E-2</v>
      </c>
      <c r="D1377">
        <f>(C1377-meanrtn)/stdevrtns</f>
        <v>-1.6729367516018461</v>
      </c>
    </row>
    <row r="1378" spans="1:4" x14ac:dyDescent="0.3">
      <c r="A1378" s="1">
        <v>39898</v>
      </c>
      <c r="B1378">
        <v>1.4465079999999999</v>
      </c>
      <c r="C1378">
        <f t="shared" si="23"/>
        <v>-5.9020160869111323E-3</v>
      </c>
      <c r="D1378">
        <f>(C1378-meanrtn)/stdevrtns</f>
        <v>-0.97017713633977154</v>
      </c>
    </row>
    <row r="1379" spans="1:4" x14ac:dyDescent="0.3">
      <c r="A1379" s="1">
        <v>39899</v>
      </c>
      <c r="B1379">
        <v>1.432501</v>
      </c>
      <c r="C1379">
        <f t="shared" si="23"/>
        <v>-9.6833201060760685E-3</v>
      </c>
      <c r="D1379">
        <f>(C1379-meanrtn)/stdevrtns</f>
        <v>-1.596891431618795</v>
      </c>
    </row>
    <row r="1380" spans="1:4" x14ac:dyDescent="0.3">
      <c r="A1380" s="1">
        <v>39902</v>
      </c>
      <c r="B1380">
        <v>1.424704</v>
      </c>
      <c r="C1380">
        <f t="shared" si="23"/>
        <v>-5.4429281375720185E-3</v>
      </c>
      <c r="D1380">
        <f>(C1380-meanrtn)/stdevrtns</f>
        <v>-0.89408778219556428</v>
      </c>
    </row>
    <row r="1381" spans="1:4" x14ac:dyDescent="0.3">
      <c r="A1381" s="1">
        <v>39903</v>
      </c>
      <c r="B1381">
        <v>1.4344939999999999</v>
      </c>
      <c r="C1381">
        <f t="shared" si="23"/>
        <v>6.8716028031085511E-3</v>
      </c>
      <c r="D1381">
        <f>(C1381-meanrtn)/stdevrtns</f>
        <v>1.1469257255955205</v>
      </c>
    </row>
    <row r="1382" spans="1:4" x14ac:dyDescent="0.3">
      <c r="A1382" s="1">
        <v>39904</v>
      </c>
      <c r="B1382">
        <v>1.4460900000000001</v>
      </c>
      <c r="C1382">
        <f t="shared" si="23"/>
        <v>8.0836866518787555E-3</v>
      </c>
      <c r="D1382">
        <f>(C1382-meanrtn)/stdevrtns</f>
        <v>1.3478168127048988</v>
      </c>
    </row>
    <row r="1383" spans="1:4" x14ac:dyDescent="0.3">
      <c r="A1383" s="1">
        <v>39905</v>
      </c>
      <c r="B1383">
        <v>1.473492</v>
      </c>
      <c r="C1383">
        <f t="shared" si="23"/>
        <v>1.8949028068792347E-2</v>
      </c>
      <c r="D1383">
        <f>(C1383-meanrtn)/stdevrtns</f>
        <v>3.1486412781682156</v>
      </c>
    </row>
    <row r="1384" spans="1:4" x14ac:dyDescent="0.3">
      <c r="A1384" s="1">
        <v>39906</v>
      </c>
      <c r="B1384">
        <v>1.4833050000000001</v>
      </c>
      <c r="C1384">
        <f t="shared" si="23"/>
        <v>6.659690042429868E-3</v>
      </c>
      <c r="D1384">
        <f>(C1384-meanrtn)/stdevrtns</f>
        <v>1.111803250439793</v>
      </c>
    </row>
    <row r="1385" spans="1:4" x14ac:dyDescent="0.3">
      <c r="A1385" s="1">
        <v>39909</v>
      </c>
      <c r="B1385">
        <v>1.4741</v>
      </c>
      <c r="C1385">
        <f t="shared" si="23"/>
        <v>-6.2057365140683329E-3</v>
      </c>
      <c r="D1385">
        <f>(C1385-meanrtn)/stdevrtns</f>
        <v>-1.0205158376192589</v>
      </c>
    </row>
    <row r="1386" spans="1:4" x14ac:dyDescent="0.3">
      <c r="A1386" s="1">
        <v>39910</v>
      </c>
      <c r="B1386">
        <v>1.4741</v>
      </c>
      <c r="C1386">
        <f t="shared" si="23"/>
        <v>0</v>
      </c>
      <c r="D1386">
        <f>(C1386-meanrtn)/stdevrtns</f>
        <v>8.0245194611897972E-3</v>
      </c>
    </row>
    <row r="1387" spans="1:4" x14ac:dyDescent="0.3">
      <c r="A1387" s="1">
        <v>39911</v>
      </c>
      <c r="B1387">
        <v>1.469508</v>
      </c>
      <c r="C1387">
        <f t="shared" si="23"/>
        <v>-3.1151210908350381E-3</v>
      </c>
      <c r="D1387">
        <f>(C1387-meanrtn)/stdevrtns</f>
        <v>-0.5082764468870935</v>
      </c>
    </row>
    <row r="1388" spans="1:4" x14ac:dyDescent="0.3">
      <c r="A1388" s="1">
        <v>39912</v>
      </c>
      <c r="B1388">
        <v>1.4675020000000001</v>
      </c>
      <c r="C1388">
        <f t="shared" si="23"/>
        <v>-1.3650827351739169E-3</v>
      </c>
      <c r="D1388">
        <f>(C1388-meanrtn)/stdevrtns</f>
        <v>-0.21822464221320415</v>
      </c>
    </row>
    <row r="1389" spans="1:4" x14ac:dyDescent="0.3">
      <c r="A1389" s="1">
        <v>39913</v>
      </c>
      <c r="B1389">
        <v>1.4659960000000001</v>
      </c>
      <c r="C1389">
        <f t="shared" si="23"/>
        <v>-1.0262336950818515E-3</v>
      </c>
      <c r="D1389">
        <f>(C1389-meanrtn)/stdevrtns</f>
        <v>-0.16206371564106084</v>
      </c>
    </row>
    <row r="1390" spans="1:4" x14ac:dyDescent="0.3">
      <c r="A1390" s="1">
        <v>39916</v>
      </c>
      <c r="B1390">
        <v>1.4849349999999999</v>
      </c>
      <c r="C1390">
        <f t="shared" si="23"/>
        <v>1.2918861988709257E-2</v>
      </c>
      <c r="D1390">
        <f>(C1390-meanrtn)/stdevrtns</f>
        <v>2.1492000097220614</v>
      </c>
    </row>
    <row r="1391" spans="1:4" x14ac:dyDescent="0.3">
      <c r="A1391" s="1">
        <v>39917</v>
      </c>
      <c r="B1391">
        <v>1.490491</v>
      </c>
      <c r="C1391">
        <f t="shared" si="23"/>
        <v>3.7415779141848748E-3</v>
      </c>
      <c r="D1391">
        <f>(C1391-meanrtn)/stdevrtns</f>
        <v>0.62815459994008782</v>
      </c>
    </row>
    <row r="1392" spans="1:4" x14ac:dyDescent="0.3">
      <c r="A1392" s="1">
        <v>39918</v>
      </c>
      <c r="B1392">
        <v>1.5000150000000001</v>
      </c>
      <c r="C1392">
        <f t="shared" si="23"/>
        <v>6.3898406632445868E-3</v>
      </c>
      <c r="D1392">
        <f>(C1392-meanrtn)/stdevrtns</f>
        <v>1.067078345314356</v>
      </c>
    </row>
    <row r="1393" spans="1:4" x14ac:dyDescent="0.3">
      <c r="A1393" s="1">
        <v>39919</v>
      </c>
      <c r="B1393">
        <v>1.491892</v>
      </c>
      <c r="C1393">
        <f t="shared" si="23"/>
        <v>-5.4152791805415958E-3</v>
      </c>
      <c r="D1393">
        <f>(C1393-meanrtn)/stdevrtns</f>
        <v>-0.88950523698557926</v>
      </c>
    </row>
    <row r="1394" spans="1:4" x14ac:dyDescent="0.3">
      <c r="A1394" s="1">
        <v>39920</v>
      </c>
      <c r="B1394">
        <v>1.4799910000000001</v>
      </c>
      <c r="C1394">
        <f t="shared" si="23"/>
        <v>-7.9771189871652506E-3</v>
      </c>
      <c r="D1394">
        <f>(C1394-meanrtn)/stdevrtns</f>
        <v>-1.3141052217761335</v>
      </c>
    </row>
    <row r="1395" spans="1:4" x14ac:dyDescent="0.3">
      <c r="A1395" s="1">
        <v>39923</v>
      </c>
      <c r="B1395">
        <v>1.454313</v>
      </c>
      <c r="C1395">
        <f t="shared" si="23"/>
        <v>-1.7350105507398416E-2</v>
      </c>
      <c r="D1395">
        <f>(C1395-meanrtn)/stdevrtns</f>
        <v>-2.8675864049646176</v>
      </c>
    </row>
    <row r="1396" spans="1:4" x14ac:dyDescent="0.3">
      <c r="A1396" s="1">
        <v>39924</v>
      </c>
      <c r="B1396">
        <v>1.466491</v>
      </c>
      <c r="C1396">
        <f t="shared" si="23"/>
        <v>8.3737132240446332E-3</v>
      </c>
      <c r="D1396">
        <f>(C1396-meanrtn)/stdevrtns</f>
        <v>1.3958858909556524</v>
      </c>
    </row>
    <row r="1397" spans="1:4" x14ac:dyDescent="0.3">
      <c r="A1397" s="1">
        <v>39925</v>
      </c>
      <c r="B1397">
        <v>1.4488970000000001</v>
      </c>
      <c r="C1397">
        <f t="shared" si="23"/>
        <v>-1.199734604576495E-2</v>
      </c>
      <c r="D1397">
        <f>(C1397-meanrtn)/stdevrtns</f>
        <v>-1.9804186827203256</v>
      </c>
    </row>
    <row r="1398" spans="1:4" x14ac:dyDescent="0.3">
      <c r="A1398" s="1">
        <v>39926</v>
      </c>
      <c r="B1398">
        <v>1.471692</v>
      </c>
      <c r="C1398">
        <f t="shared" si="23"/>
        <v>1.5732657324847726E-2</v>
      </c>
      <c r="D1398">
        <f>(C1398-meanrtn)/stdevrtns</f>
        <v>2.6155591684169668</v>
      </c>
    </row>
    <row r="1399" spans="1:4" x14ac:dyDescent="0.3">
      <c r="A1399" s="1">
        <v>39927</v>
      </c>
      <c r="B1399">
        <v>1.4714970000000001</v>
      </c>
      <c r="C1399">
        <f t="shared" si="23"/>
        <v>-1.3250055038686439E-4</v>
      </c>
      <c r="D1399">
        <f>(C1399-meanrtn)/stdevrtns</f>
        <v>-1.3936155649542247E-2</v>
      </c>
    </row>
    <row r="1400" spans="1:4" x14ac:dyDescent="0.3">
      <c r="A1400" s="1">
        <v>39930</v>
      </c>
      <c r="B1400">
        <v>1.461497</v>
      </c>
      <c r="C1400">
        <f t="shared" si="23"/>
        <v>-6.7958004671433295E-3</v>
      </c>
      <c r="D1400">
        <f>(C1400-meanrtn)/stdevrtns</f>
        <v>-1.1183131881223318</v>
      </c>
    </row>
    <row r="1401" spans="1:4" x14ac:dyDescent="0.3">
      <c r="A1401" s="1">
        <v>39931</v>
      </c>
      <c r="B1401">
        <v>1.4628650000000001</v>
      </c>
      <c r="C1401">
        <f t="shared" si="23"/>
        <v>9.3602655359541339E-4</v>
      </c>
      <c r="D1401">
        <f>(C1401-meanrtn)/stdevrtns</f>
        <v>0.16316179986123341</v>
      </c>
    </row>
    <row r="1402" spans="1:4" x14ac:dyDescent="0.3">
      <c r="A1402" s="1">
        <v>39932</v>
      </c>
      <c r="B1402">
        <v>1.476734</v>
      </c>
      <c r="C1402">
        <f t="shared" si="23"/>
        <v>9.4807107969634308E-3</v>
      </c>
      <c r="D1402">
        <f>(C1402-meanrtn)/stdevrtns</f>
        <v>1.5793599518275436</v>
      </c>
    </row>
    <row r="1403" spans="1:4" x14ac:dyDescent="0.3">
      <c r="A1403" s="1">
        <v>39933</v>
      </c>
      <c r="B1403">
        <v>1.478809</v>
      </c>
      <c r="C1403">
        <f t="shared" si="23"/>
        <v>1.40512780229889E-3</v>
      </c>
      <c r="D1403">
        <f>(C1403-meanrtn)/stdevrtns</f>
        <v>0.24091076080318768</v>
      </c>
    </row>
    <row r="1404" spans="1:4" x14ac:dyDescent="0.3">
      <c r="A1404" s="1">
        <v>39934</v>
      </c>
      <c r="B1404">
        <v>1.4910909999999999</v>
      </c>
      <c r="C1404">
        <f t="shared" si="23"/>
        <v>8.3053321963822944E-3</v>
      </c>
      <c r="D1404">
        <f>(C1404-meanrtn)/stdevrtns</f>
        <v>1.3845524019411082</v>
      </c>
    </row>
    <row r="1405" spans="1:4" x14ac:dyDescent="0.3">
      <c r="A1405" s="1">
        <v>39937</v>
      </c>
      <c r="B1405">
        <v>1.503511</v>
      </c>
      <c r="C1405">
        <f t="shared" si="23"/>
        <v>8.3294715077752452E-3</v>
      </c>
      <c r="D1405">
        <f>(C1405-meanrtn)/stdevrtns</f>
        <v>1.388553257585478</v>
      </c>
    </row>
    <row r="1406" spans="1:4" x14ac:dyDescent="0.3">
      <c r="A1406" s="1">
        <v>39938</v>
      </c>
      <c r="B1406">
        <v>1.507091</v>
      </c>
      <c r="C1406">
        <f t="shared" si="23"/>
        <v>2.3810933209001575E-3</v>
      </c>
      <c r="D1406">
        <f>(C1406-meanrtn)/stdevrtns</f>
        <v>0.40266753547847478</v>
      </c>
    </row>
    <row r="1407" spans="1:4" x14ac:dyDescent="0.3">
      <c r="A1407" s="1">
        <v>39939</v>
      </c>
      <c r="B1407">
        <v>1.5150140000000001</v>
      </c>
      <c r="C1407">
        <f t="shared" si="23"/>
        <v>5.2571477103904966E-3</v>
      </c>
      <c r="D1407">
        <f>(C1407-meanrtn)/stdevrtns</f>
        <v>0.87934552559989243</v>
      </c>
    </row>
    <row r="1408" spans="1:4" x14ac:dyDescent="0.3">
      <c r="A1408" s="1">
        <v>39940</v>
      </c>
      <c r="B1408">
        <v>1.503398</v>
      </c>
      <c r="C1408">
        <f t="shared" si="23"/>
        <v>-7.6672558801437283E-3</v>
      </c>
      <c r="D1408">
        <f>(C1408-meanrtn)/stdevrtns</f>
        <v>-1.2627484311648227</v>
      </c>
    </row>
    <row r="1409" spans="1:4" x14ac:dyDescent="0.3">
      <c r="A1409" s="1">
        <v>39941</v>
      </c>
      <c r="B1409">
        <v>1.524297</v>
      </c>
      <c r="C1409">
        <f t="shared" si="23"/>
        <v>1.390117586959674E-2</v>
      </c>
      <c r="D1409">
        <f>(C1409-meanrtn)/stdevrtns</f>
        <v>2.3120089635863841</v>
      </c>
    </row>
    <row r="1410" spans="1:4" x14ac:dyDescent="0.3">
      <c r="A1410" s="1">
        <v>39944</v>
      </c>
      <c r="B1410">
        <v>1.5137069999999999</v>
      </c>
      <c r="C1410">
        <f t="shared" si="23"/>
        <v>-6.9474649625368935E-3</v>
      </c>
      <c r="D1410">
        <f>(C1410-meanrtn)/stdevrtns</f>
        <v>-1.1434501003800288</v>
      </c>
    </row>
    <row r="1411" spans="1:4" x14ac:dyDescent="0.3">
      <c r="A1411" s="1">
        <v>39945</v>
      </c>
      <c r="B1411">
        <v>1.5270440000000001</v>
      </c>
      <c r="C1411">
        <f t="shared" si="23"/>
        <v>8.8108200596285508E-3</v>
      </c>
      <c r="D1411">
        <f>(C1411-meanrtn)/stdevrtns</f>
        <v>1.4683320896839727</v>
      </c>
    </row>
    <row r="1412" spans="1:4" x14ac:dyDescent="0.3">
      <c r="A1412" s="1">
        <v>39946</v>
      </c>
      <c r="B1412">
        <v>1.5152890000000001</v>
      </c>
      <c r="C1412">
        <f t="shared" ref="C1412:C1475" si="24">(B1412-B1411)/B1411</f>
        <v>-7.697879039503747E-3</v>
      </c>
      <c r="D1412">
        <f>(C1412-meanrtn)/stdevrtns</f>
        <v>-1.2678239214296254</v>
      </c>
    </row>
    <row r="1413" spans="1:4" x14ac:dyDescent="0.3">
      <c r="A1413" s="1">
        <v>39947</v>
      </c>
      <c r="B1413">
        <v>1.5229509999999999</v>
      </c>
      <c r="C1413">
        <f t="shared" si="24"/>
        <v>5.0564611767127165E-3</v>
      </c>
      <c r="D1413">
        <f>(C1413-meanrtn)/stdevrtns</f>
        <v>0.84608368817862212</v>
      </c>
    </row>
    <row r="1414" spans="1:4" x14ac:dyDescent="0.3">
      <c r="A1414" s="1">
        <v>39948</v>
      </c>
      <c r="B1414">
        <v>1.5160929999999999</v>
      </c>
      <c r="C1414">
        <f t="shared" si="24"/>
        <v>-4.5030995744446351E-3</v>
      </c>
      <c r="D1414">
        <f>(C1414-meanrtn)/stdevrtns</f>
        <v>-0.7383203557632535</v>
      </c>
    </row>
    <row r="1415" spans="1:4" x14ac:dyDescent="0.3">
      <c r="A1415" s="1">
        <v>39951</v>
      </c>
      <c r="B1415">
        <v>1.534378</v>
      </c>
      <c r="C1415">
        <f t="shared" si="24"/>
        <v>1.206060578078001E-2</v>
      </c>
      <c r="D1415">
        <f>(C1415-meanrtn)/stdevrtns</f>
        <v>2.0069524063040185</v>
      </c>
    </row>
    <row r="1416" spans="1:4" x14ac:dyDescent="0.3">
      <c r="A1416" s="1">
        <v>39952</v>
      </c>
      <c r="B1416">
        <v>1.548395</v>
      </c>
      <c r="C1416">
        <f t="shared" si="24"/>
        <v>9.1352978210062618E-3</v>
      </c>
      <c r="D1416">
        <f>(C1416-meanrtn)/stdevrtns</f>
        <v>1.5221111168462627</v>
      </c>
    </row>
    <row r="1417" spans="1:4" x14ac:dyDescent="0.3">
      <c r="A1417" s="1">
        <v>39953</v>
      </c>
      <c r="B1417">
        <v>1.575399</v>
      </c>
      <c r="C1417">
        <f t="shared" si="24"/>
        <v>1.7439994316695694E-2</v>
      </c>
      <c r="D1417">
        <f>(C1417-meanrtn)/stdevrtns</f>
        <v>2.8985336381307532</v>
      </c>
    </row>
    <row r="1418" spans="1:4" x14ac:dyDescent="0.3">
      <c r="A1418" s="1">
        <v>39954</v>
      </c>
      <c r="B1418">
        <v>1.5850880000000001</v>
      </c>
      <c r="C1418">
        <f t="shared" si="24"/>
        <v>6.1501879841234248E-3</v>
      </c>
      <c r="D1418">
        <f>(C1418-meanrtn)/stdevrtns</f>
        <v>1.0273582489809441</v>
      </c>
    </row>
    <row r="1419" spans="1:4" x14ac:dyDescent="0.3">
      <c r="A1419" s="1">
        <v>39955</v>
      </c>
      <c r="B1419">
        <v>1.5920019999999999</v>
      </c>
      <c r="C1419">
        <f t="shared" si="24"/>
        <v>4.3619029353574468E-3</v>
      </c>
      <c r="D1419">
        <f>(C1419-meanrtn)/stdevrtns</f>
        <v>0.73096742760951416</v>
      </c>
    </row>
    <row r="1420" spans="1:4" x14ac:dyDescent="0.3">
      <c r="A1420" s="1">
        <v>39958</v>
      </c>
      <c r="B1420">
        <v>1.5910899999999999</v>
      </c>
      <c r="C1420">
        <f t="shared" si="24"/>
        <v>-5.7286360193016333E-4</v>
      </c>
      <c r="D1420">
        <f>(C1420-meanrtn)/stdevrtns</f>
        <v>-8.6922040443811383E-2</v>
      </c>
    </row>
    <row r="1421" spans="1:4" x14ac:dyDescent="0.3">
      <c r="A1421" s="1">
        <v>39959</v>
      </c>
      <c r="B1421">
        <v>1.593702</v>
      </c>
      <c r="C1421">
        <f t="shared" si="24"/>
        <v>1.641641893293314E-3</v>
      </c>
      <c r="D1421">
        <f>(C1421-meanrtn)/stdevrtns</f>
        <v>0.28011066673771862</v>
      </c>
    </row>
    <row r="1422" spans="1:4" x14ac:dyDescent="0.3">
      <c r="A1422" s="1">
        <v>39960</v>
      </c>
      <c r="B1422">
        <v>1.596093</v>
      </c>
      <c r="C1422">
        <f t="shared" si="24"/>
        <v>1.500280479035624E-3</v>
      </c>
      <c r="D1422">
        <f>(C1422-meanrtn)/stdevrtns</f>
        <v>0.25668138978269628</v>
      </c>
    </row>
    <row r="1423" spans="1:4" x14ac:dyDescent="0.3">
      <c r="A1423" s="1">
        <v>39961</v>
      </c>
      <c r="B1423">
        <v>1.593372</v>
      </c>
      <c r="C1423">
        <f t="shared" si="24"/>
        <v>-1.7047878789017766E-3</v>
      </c>
      <c r="D1423">
        <f>(C1423-meanrtn)/stdevrtns</f>
        <v>-0.2745274596209093</v>
      </c>
    </row>
    <row r="1424" spans="1:4" x14ac:dyDescent="0.3">
      <c r="A1424" s="1">
        <v>39962</v>
      </c>
      <c r="B1424">
        <v>1.6186990000000001</v>
      </c>
      <c r="C1424">
        <f t="shared" si="24"/>
        <v>1.5895220952797023E-2</v>
      </c>
      <c r="D1424">
        <f>(C1424-meanrtn)/stdevrtns</f>
        <v>2.6425025056921179</v>
      </c>
    </row>
    <row r="1425" spans="1:4" x14ac:dyDescent="0.3">
      <c r="A1425" s="1">
        <v>39965</v>
      </c>
      <c r="B1425">
        <v>1.6447099999999999</v>
      </c>
      <c r="C1425">
        <f t="shared" si="24"/>
        <v>1.6069077697582923E-2</v>
      </c>
      <c r="D1425">
        <f>(C1425-meanrtn)/stdevrtns</f>
        <v>2.6713175670402034</v>
      </c>
    </row>
    <row r="1426" spans="1:4" x14ac:dyDescent="0.3">
      <c r="A1426" s="1">
        <v>39966</v>
      </c>
      <c r="B1426">
        <v>1.657907</v>
      </c>
      <c r="C1426">
        <f t="shared" si="24"/>
        <v>8.0239069501615041E-3</v>
      </c>
      <c r="D1426">
        <f>(C1426-meanrtn)/stdevrtns</f>
        <v>1.337908909652451</v>
      </c>
    </row>
    <row r="1427" spans="1:4" x14ac:dyDescent="0.3">
      <c r="A1427" s="1">
        <v>39967</v>
      </c>
      <c r="B1427">
        <v>1.6312949999999999</v>
      </c>
      <c r="C1427">
        <f t="shared" si="24"/>
        <v>-1.6051563809067745E-2</v>
      </c>
      <c r="D1427">
        <f>(C1427-meanrtn)/stdevrtns</f>
        <v>-2.652365771755798</v>
      </c>
    </row>
    <row r="1428" spans="1:4" x14ac:dyDescent="0.3">
      <c r="A1428" s="1">
        <v>39968</v>
      </c>
      <c r="B1428">
        <v>1.6112660000000001</v>
      </c>
      <c r="C1428">
        <f t="shared" si="24"/>
        <v>-1.2277975473473439E-2</v>
      </c>
      <c r="D1428">
        <f>(C1428-meanrtn)/stdevrtns</f>
        <v>-2.0269302758452081</v>
      </c>
    </row>
    <row r="1429" spans="1:4" x14ac:dyDescent="0.3">
      <c r="A1429" s="1">
        <v>39969</v>
      </c>
      <c r="B1429">
        <v>1.599591</v>
      </c>
      <c r="C1429">
        <f t="shared" si="24"/>
        <v>-7.2458551226179295E-3</v>
      </c>
      <c r="D1429">
        <f>(C1429-meanrtn)/stdevrtns</f>
        <v>-1.1929053618309924</v>
      </c>
    </row>
    <row r="1430" spans="1:4" x14ac:dyDescent="0.3">
      <c r="A1430" s="1">
        <v>39972</v>
      </c>
      <c r="B1430">
        <v>1.6038239999999999</v>
      </c>
      <c r="C1430">
        <f t="shared" si="24"/>
        <v>2.6463014608108766E-3</v>
      </c>
      <c r="D1430">
        <f>(C1430-meanrtn)/stdevrtns</f>
        <v>0.44662320041945797</v>
      </c>
    </row>
    <row r="1431" spans="1:4" x14ac:dyDescent="0.3">
      <c r="A1431" s="1">
        <v>39973</v>
      </c>
      <c r="B1431">
        <v>1.631108</v>
      </c>
      <c r="C1431">
        <f t="shared" si="24"/>
        <v>1.701184169834102E-2</v>
      </c>
      <c r="D1431">
        <f>(C1431-meanrtn)/stdevrtns</f>
        <v>2.8275715136562245</v>
      </c>
    </row>
    <row r="1432" spans="1:4" x14ac:dyDescent="0.3">
      <c r="A1432" s="1">
        <v>39974</v>
      </c>
      <c r="B1432">
        <v>1.6354029999999999</v>
      </c>
      <c r="C1432">
        <f t="shared" si="24"/>
        <v>2.6331794093339849E-3</v>
      </c>
      <c r="D1432">
        <f>(C1432-meanrtn)/stdevrtns</f>
        <v>0.44444834825145607</v>
      </c>
    </row>
    <row r="1433" spans="1:4" x14ac:dyDescent="0.3">
      <c r="A1433" s="1">
        <v>39975</v>
      </c>
      <c r="B1433">
        <v>1.6584019999999999</v>
      </c>
      <c r="C1433">
        <f t="shared" si="24"/>
        <v>1.4063200324323726E-2</v>
      </c>
      <c r="D1433">
        <f>(C1433-meanrtn)/stdevrtns</f>
        <v>2.3388629381537651</v>
      </c>
    </row>
    <row r="1434" spans="1:4" x14ac:dyDescent="0.3">
      <c r="A1434" s="1">
        <v>39976</v>
      </c>
      <c r="B1434">
        <v>1.6430880000000001</v>
      </c>
      <c r="C1434">
        <f t="shared" si="24"/>
        <v>-9.2341905038704902E-3</v>
      </c>
      <c r="D1434">
        <f>(C1434-meanrtn)/stdevrtns</f>
        <v>-1.5224525764755426</v>
      </c>
    </row>
    <row r="1435" spans="1:4" x14ac:dyDescent="0.3">
      <c r="A1435" s="1">
        <v>39979</v>
      </c>
      <c r="B1435">
        <v>1.6294869999999999</v>
      </c>
      <c r="C1435">
        <f t="shared" si="24"/>
        <v>-8.2777063675227355E-3</v>
      </c>
      <c r="D1435">
        <f>(C1435-meanrtn)/stdevrtns</f>
        <v>-1.3639246510776981</v>
      </c>
    </row>
    <row r="1436" spans="1:4" x14ac:dyDescent="0.3">
      <c r="A1436" s="1">
        <v>39980</v>
      </c>
      <c r="B1436">
        <v>1.639694</v>
      </c>
      <c r="C1436">
        <f t="shared" si="24"/>
        <v>6.2639346002760854E-3</v>
      </c>
      <c r="D1436">
        <f>(C1436-meanrtn)/stdevrtns</f>
        <v>1.0462106422350128</v>
      </c>
    </row>
    <row r="1437" spans="1:4" x14ac:dyDescent="0.3">
      <c r="A1437" s="1">
        <v>39981</v>
      </c>
      <c r="B1437">
        <v>1.6388069999999999</v>
      </c>
      <c r="C1437">
        <f t="shared" si="24"/>
        <v>-5.4095459274723342E-4</v>
      </c>
      <c r="D1437">
        <f>(C1437-meanrtn)/stdevrtns</f>
        <v>-8.1633433100477978E-2</v>
      </c>
    </row>
    <row r="1438" spans="1:4" x14ac:dyDescent="0.3">
      <c r="A1438" s="1">
        <v>39982</v>
      </c>
      <c r="B1438">
        <v>1.6366080000000001</v>
      </c>
      <c r="C1438">
        <f t="shared" si="24"/>
        <v>-1.3418297578664481E-3</v>
      </c>
      <c r="D1438">
        <f>(C1438-meanrtn)/stdevrtns</f>
        <v>-0.2143706878068595</v>
      </c>
    </row>
    <row r="1439" spans="1:4" x14ac:dyDescent="0.3">
      <c r="A1439" s="1">
        <v>39983</v>
      </c>
      <c r="B1439">
        <v>1.65221</v>
      </c>
      <c r="C1439">
        <f t="shared" si="24"/>
        <v>9.5331319411856071E-3</v>
      </c>
      <c r="D1439">
        <f>(C1439-meanrtn)/stdevrtns</f>
        <v>1.5880482456786622</v>
      </c>
    </row>
    <row r="1440" spans="1:4" x14ac:dyDescent="0.3">
      <c r="A1440" s="1">
        <v>39986</v>
      </c>
      <c r="B1440">
        <v>1.6347879999999999</v>
      </c>
      <c r="C1440">
        <f t="shared" si="24"/>
        <v>-1.0544664419171927E-2</v>
      </c>
      <c r="D1440">
        <f>(C1440-meanrtn)/stdevrtns</f>
        <v>-1.7396508583769954</v>
      </c>
    </row>
    <row r="1441" spans="1:4" x14ac:dyDescent="0.3">
      <c r="A1441" s="1">
        <v>39987</v>
      </c>
      <c r="B1441">
        <v>1.6433580000000001</v>
      </c>
      <c r="C1441">
        <f t="shared" si="24"/>
        <v>5.2422699457056136E-3</v>
      </c>
      <c r="D1441">
        <f>(C1441-meanrtn)/stdevrtns</f>
        <v>0.87687968107573988</v>
      </c>
    </row>
    <row r="1442" spans="1:4" x14ac:dyDescent="0.3">
      <c r="A1442" s="1">
        <v>39988</v>
      </c>
      <c r="B1442">
        <v>1.6427909999999999</v>
      </c>
      <c r="C1442">
        <f t="shared" si="24"/>
        <v>-3.4502524708566616E-4</v>
      </c>
      <c r="D1442">
        <f>(C1442-meanrtn)/stdevrtns</f>
        <v>-4.9160053237758912E-2</v>
      </c>
    </row>
    <row r="1443" spans="1:4" x14ac:dyDescent="0.3">
      <c r="A1443" s="1">
        <v>39989</v>
      </c>
      <c r="B1443">
        <v>1.6373310000000001</v>
      </c>
      <c r="C1443">
        <f t="shared" si="24"/>
        <v>-3.3236120723815744E-3</v>
      </c>
      <c r="D1443">
        <f>(C1443-meanrtn)/stdevrtns</f>
        <v>-0.54283179549427196</v>
      </c>
    </row>
    <row r="1444" spans="1:4" x14ac:dyDescent="0.3">
      <c r="A1444" s="1">
        <v>39990</v>
      </c>
      <c r="B1444">
        <v>1.652892</v>
      </c>
      <c r="C1444">
        <f t="shared" si="24"/>
        <v>9.5038816219810991E-3</v>
      </c>
      <c r="D1444">
        <f>(C1444-meanrtn)/stdevrtns</f>
        <v>1.5832002902923645</v>
      </c>
    </row>
    <row r="1445" spans="1:4" x14ac:dyDescent="0.3">
      <c r="A1445" s="1">
        <v>39993</v>
      </c>
      <c r="B1445">
        <v>1.6570009999999999</v>
      </c>
      <c r="C1445">
        <f t="shared" si="24"/>
        <v>2.485945845221538E-3</v>
      </c>
      <c r="D1445">
        <f>(C1445-meanrtn)/stdevrtns</f>
        <v>0.42004581967758886</v>
      </c>
    </row>
    <row r="1446" spans="1:4" x14ac:dyDescent="0.3">
      <c r="A1446" s="1">
        <v>39994</v>
      </c>
      <c r="B1446">
        <v>1.646687</v>
      </c>
      <c r="C1446">
        <f t="shared" si="24"/>
        <v>-6.2244983557643808E-3</v>
      </c>
      <c r="D1446">
        <f>(C1446-meanrtn)/stdevrtns</f>
        <v>-1.0236254300606706</v>
      </c>
    </row>
    <row r="1447" spans="1:4" x14ac:dyDescent="0.3">
      <c r="A1447" s="1">
        <v>39995</v>
      </c>
      <c r="B1447">
        <v>1.647799</v>
      </c>
      <c r="C1447">
        <f t="shared" si="24"/>
        <v>6.752953050579751E-4</v>
      </c>
      <c r="D1447">
        <f>(C1447-meanrtn)/stdevrtns</f>
        <v>0.11994813604151054</v>
      </c>
    </row>
    <row r="1448" spans="1:4" x14ac:dyDescent="0.3">
      <c r="A1448" s="1">
        <v>39996</v>
      </c>
      <c r="B1448">
        <v>1.634735</v>
      </c>
      <c r="C1448">
        <f t="shared" si="24"/>
        <v>-7.9281514310907842E-3</v>
      </c>
      <c r="D1448">
        <f>(C1448-meanrtn)/stdevrtns</f>
        <v>-1.3059893265079392</v>
      </c>
    </row>
    <row r="1449" spans="1:4" x14ac:dyDescent="0.3">
      <c r="A1449" s="1">
        <v>39997</v>
      </c>
      <c r="B1449">
        <v>1.629408</v>
      </c>
      <c r="C1449">
        <f t="shared" si="24"/>
        <v>-3.2586321330369031E-3</v>
      </c>
      <c r="D1449">
        <f>(C1449-meanrtn)/stdevrtns</f>
        <v>-0.53206200372739287</v>
      </c>
    </row>
    <row r="1450" spans="1:4" x14ac:dyDescent="0.3">
      <c r="A1450" s="1">
        <v>40000</v>
      </c>
      <c r="B1450">
        <v>1.6273919999999999</v>
      </c>
      <c r="C1450">
        <f t="shared" si="24"/>
        <v>-1.2372591763389021E-3</v>
      </c>
      <c r="D1450">
        <f>(C1450-meanrtn)/stdevrtns</f>
        <v>-0.19703913287850794</v>
      </c>
    </row>
    <row r="1451" spans="1:4" x14ac:dyDescent="0.3">
      <c r="A1451" s="1">
        <v>40001</v>
      </c>
      <c r="B1451">
        <v>1.611629</v>
      </c>
      <c r="C1451">
        <f t="shared" si="24"/>
        <v>-9.6860498269623861E-3</v>
      </c>
      <c r="D1451">
        <f>(C1451-meanrtn)/stdevrtns</f>
        <v>-1.5973438562566729</v>
      </c>
    </row>
    <row r="1452" spans="1:4" x14ac:dyDescent="0.3">
      <c r="A1452" s="1">
        <v>40002</v>
      </c>
      <c r="B1452">
        <v>1.6059099999999999</v>
      </c>
      <c r="C1452">
        <f t="shared" si="24"/>
        <v>-3.5485834518986874E-3</v>
      </c>
      <c r="D1452">
        <f>(C1452-meanrtn)/stdevrtns</f>
        <v>-0.58011860947627858</v>
      </c>
    </row>
    <row r="1453" spans="1:4" x14ac:dyDescent="0.3">
      <c r="A1453" s="1">
        <v>40003</v>
      </c>
      <c r="B1453">
        <v>1.634307</v>
      </c>
      <c r="C1453">
        <f t="shared" si="24"/>
        <v>1.7682809123798972E-2</v>
      </c>
      <c r="D1453">
        <f>(C1453-meanrtn)/stdevrtns</f>
        <v>2.9387778263646971</v>
      </c>
    </row>
    <row r="1454" spans="1:4" x14ac:dyDescent="0.3">
      <c r="A1454" s="1">
        <v>40004</v>
      </c>
      <c r="B1454">
        <v>1.6217969999999999</v>
      </c>
      <c r="C1454">
        <f t="shared" si="24"/>
        <v>-7.6546205823018699E-3</v>
      </c>
      <c r="D1454">
        <f>(C1454-meanrtn)/stdevrtns</f>
        <v>-1.2606542536687879</v>
      </c>
    </row>
    <row r="1455" spans="1:4" x14ac:dyDescent="0.3">
      <c r="A1455" s="1">
        <v>40007</v>
      </c>
      <c r="B1455">
        <v>1.625408</v>
      </c>
      <c r="C1455">
        <f t="shared" si="24"/>
        <v>2.2265425327584348E-3</v>
      </c>
      <c r="D1455">
        <f>(C1455-meanrtn)/stdevrtns</f>
        <v>0.37705224832247197</v>
      </c>
    </row>
    <row r="1456" spans="1:4" x14ac:dyDescent="0.3">
      <c r="A1456" s="1">
        <v>40008</v>
      </c>
      <c r="B1456">
        <v>1.6319870000000001</v>
      </c>
      <c r="C1456">
        <f t="shared" si="24"/>
        <v>4.0475991258810788E-3</v>
      </c>
      <c r="D1456">
        <f>(C1456-meanrtn)/stdevrtns</f>
        <v>0.67887463383754043</v>
      </c>
    </row>
    <row r="1457" spans="1:4" x14ac:dyDescent="0.3">
      <c r="A1457" s="1">
        <v>40009</v>
      </c>
      <c r="B1457">
        <v>1.6431960000000001</v>
      </c>
      <c r="C1457">
        <f t="shared" si="24"/>
        <v>6.8683145147602426E-3</v>
      </c>
      <c r="D1457">
        <f>(C1457-meanrtn)/stdevrtns</f>
        <v>1.1463807238436277</v>
      </c>
    </row>
    <row r="1458" spans="1:4" x14ac:dyDescent="0.3">
      <c r="A1458" s="1">
        <v>40010</v>
      </c>
      <c r="B1458">
        <v>1.641605</v>
      </c>
      <c r="C1458">
        <f t="shared" si="24"/>
        <v>-9.6823507360054429E-4</v>
      </c>
      <c r="D1458">
        <f>(C1458-meanrtn)/stdevrtns</f>
        <v>-0.15245100928246458</v>
      </c>
    </row>
    <row r="1459" spans="1:4" x14ac:dyDescent="0.3">
      <c r="A1459" s="1">
        <v>40011</v>
      </c>
      <c r="B1459">
        <v>1.633213</v>
      </c>
      <c r="C1459">
        <f t="shared" si="24"/>
        <v>-5.1120701995912262E-3</v>
      </c>
      <c r="D1459">
        <f>(C1459-meanrtn)/stdevrtns</f>
        <v>-0.83925130293122441</v>
      </c>
    </row>
    <row r="1460" spans="1:4" x14ac:dyDescent="0.3">
      <c r="A1460" s="1">
        <v>40014</v>
      </c>
      <c r="B1460">
        <v>1.6524559999999999</v>
      </c>
      <c r="C1460">
        <f t="shared" si="24"/>
        <v>1.1782296614097425E-2</v>
      </c>
      <c r="D1460">
        <f>(C1460-meanrtn)/stdevrtns</f>
        <v>1.9608253738350219</v>
      </c>
    </row>
    <row r="1461" spans="1:4" x14ac:dyDescent="0.3">
      <c r="A1461" s="1">
        <v>40015</v>
      </c>
      <c r="B1461">
        <v>1.6420090000000001</v>
      </c>
      <c r="C1461">
        <f t="shared" si="24"/>
        <v>-6.3221047943181992E-3</v>
      </c>
      <c r="D1461">
        <f>(C1461-meanrtn)/stdevrtns</f>
        <v>-1.0398027461513406</v>
      </c>
    </row>
    <row r="1462" spans="1:4" x14ac:dyDescent="0.3">
      <c r="A1462" s="1">
        <v>40016</v>
      </c>
      <c r="B1462">
        <v>1.6450070000000001</v>
      </c>
      <c r="C1462">
        <f t="shared" si="24"/>
        <v>1.8258121605911148E-3</v>
      </c>
      <c r="D1462">
        <f>(C1462-meanrtn)/stdevrtns</f>
        <v>0.31063509394481226</v>
      </c>
    </row>
    <row r="1463" spans="1:4" x14ac:dyDescent="0.3">
      <c r="A1463" s="1">
        <v>40017</v>
      </c>
      <c r="B1463">
        <v>1.6512</v>
      </c>
      <c r="C1463">
        <f t="shared" si="24"/>
        <v>3.7647256212282941E-3</v>
      </c>
      <c r="D1463">
        <f>(C1463-meanrtn)/stdevrtns</f>
        <v>0.63199110682594395</v>
      </c>
    </row>
    <row r="1464" spans="1:4" x14ac:dyDescent="0.3">
      <c r="A1464" s="1">
        <v>40018</v>
      </c>
      <c r="B1464">
        <v>1.6447099999999999</v>
      </c>
      <c r="C1464">
        <f t="shared" si="24"/>
        <v>-3.9304748062016148E-3</v>
      </c>
      <c r="D1464">
        <f>(C1464-meanrtn)/stdevrtns</f>
        <v>-0.64341338021464578</v>
      </c>
    </row>
    <row r="1465" spans="1:4" x14ac:dyDescent="0.3">
      <c r="A1465" s="1">
        <v>40021</v>
      </c>
      <c r="B1465">
        <v>1.648533</v>
      </c>
      <c r="C1465">
        <f t="shared" si="24"/>
        <v>2.3244219345660523E-3</v>
      </c>
      <c r="D1465">
        <f>(C1465-meanrtn)/stdevrtns</f>
        <v>0.3932748054126422</v>
      </c>
    </row>
    <row r="1466" spans="1:4" x14ac:dyDescent="0.3">
      <c r="A1466" s="1">
        <v>40022</v>
      </c>
      <c r="B1466">
        <v>1.6410929999999999</v>
      </c>
      <c r="C1466">
        <f t="shared" si="24"/>
        <v>-4.5131034683564804E-3</v>
      </c>
      <c r="D1466">
        <f>(C1466-meanrtn)/stdevrtns</f>
        <v>-0.73997840369889478</v>
      </c>
    </row>
    <row r="1467" spans="1:4" x14ac:dyDescent="0.3">
      <c r="A1467" s="1">
        <v>40023</v>
      </c>
      <c r="B1467">
        <v>1.6351089999999999</v>
      </c>
      <c r="C1467">
        <f t="shared" si="24"/>
        <v>-3.6463503287138448E-3</v>
      </c>
      <c r="D1467">
        <f>(C1467-meanrtn)/stdevrtns</f>
        <v>-0.59632251664541802</v>
      </c>
    </row>
    <row r="1468" spans="1:4" x14ac:dyDescent="0.3">
      <c r="A1468" s="1">
        <v>40024</v>
      </c>
      <c r="B1468">
        <v>1.650792</v>
      </c>
      <c r="C1468">
        <f t="shared" si="24"/>
        <v>9.591409502363521E-3</v>
      </c>
      <c r="D1468">
        <f>(C1468-meanrtn)/stdevrtns</f>
        <v>1.5977071835739183</v>
      </c>
    </row>
    <row r="1469" spans="1:4" x14ac:dyDescent="0.3">
      <c r="A1469" s="1">
        <v>40025</v>
      </c>
      <c r="B1469">
        <v>1.670509</v>
      </c>
      <c r="C1469">
        <f t="shared" si="24"/>
        <v>1.1943963867040781E-2</v>
      </c>
      <c r="D1469">
        <f>(C1469-meanrtn)/stdevrtns</f>
        <v>1.987620145687423</v>
      </c>
    </row>
    <row r="1470" spans="1:4" x14ac:dyDescent="0.3">
      <c r="A1470" s="1">
        <v>40028</v>
      </c>
      <c r="B1470">
        <v>1.6941109999999999</v>
      </c>
      <c r="C1470">
        <f t="shared" si="24"/>
        <v>1.4128627861328433E-2</v>
      </c>
      <c r="D1470">
        <f>(C1470-meanrtn)/stdevrtns</f>
        <v>2.3497069148713003</v>
      </c>
    </row>
    <row r="1471" spans="1:4" x14ac:dyDescent="0.3">
      <c r="A1471" s="1">
        <v>40029</v>
      </c>
      <c r="B1471">
        <v>1.6954039999999999</v>
      </c>
      <c r="C1471">
        <f t="shared" si="24"/>
        <v>7.6323216129284841E-4</v>
      </c>
      <c r="D1471">
        <f>(C1471-meanrtn)/stdevrtns</f>
        <v>0.13452281308545322</v>
      </c>
    </row>
    <row r="1472" spans="1:4" x14ac:dyDescent="0.3">
      <c r="A1472" s="1">
        <v>40030</v>
      </c>
      <c r="B1472">
        <v>1.699611</v>
      </c>
      <c r="C1472">
        <f t="shared" si="24"/>
        <v>2.4814144593265511E-3</v>
      </c>
      <c r="D1472">
        <f>(C1472-meanrtn)/stdevrtns</f>
        <v>0.41929478662036301</v>
      </c>
    </row>
    <row r="1473" spans="1:4" x14ac:dyDescent="0.3">
      <c r="A1473" s="1">
        <v>40031</v>
      </c>
      <c r="B1473">
        <v>1.681011</v>
      </c>
      <c r="C1473">
        <f t="shared" si="24"/>
        <v>-1.0943680642217513E-2</v>
      </c>
      <c r="D1473">
        <f>(C1473-meanrtn)/stdevrtns</f>
        <v>-1.8057839092407917</v>
      </c>
    </row>
    <row r="1474" spans="1:4" x14ac:dyDescent="0.3">
      <c r="A1474" s="1">
        <v>40032</v>
      </c>
      <c r="B1474">
        <v>1.6685019999999999</v>
      </c>
      <c r="C1474">
        <f t="shared" si="24"/>
        <v>-7.441355232059816E-3</v>
      </c>
      <c r="D1474">
        <f>(C1474-meanrtn)/stdevrtns</f>
        <v>-1.225307599972876</v>
      </c>
    </row>
    <row r="1475" spans="1:4" x14ac:dyDescent="0.3">
      <c r="A1475" s="1">
        <v>40035</v>
      </c>
      <c r="B1475">
        <v>1.6478809999999999</v>
      </c>
      <c r="C1475">
        <f t="shared" si="24"/>
        <v>-1.2358990279903771E-2</v>
      </c>
      <c r="D1475">
        <f>(C1475-meanrtn)/stdevrtns</f>
        <v>-2.0403576905840959</v>
      </c>
    </row>
    <row r="1476" spans="1:4" x14ac:dyDescent="0.3">
      <c r="A1476" s="1">
        <v>40036</v>
      </c>
      <c r="B1476">
        <v>1.648995</v>
      </c>
      <c r="C1476">
        <f t="shared" ref="C1476:C1539" si="25">(B1476-B1475)/B1475</f>
        <v>6.7601968831490836E-4</v>
      </c>
      <c r="D1476">
        <f>(C1476-meanrtn)/stdevrtns</f>
        <v>0.12006819550778987</v>
      </c>
    </row>
    <row r="1477" spans="1:4" x14ac:dyDescent="0.3">
      <c r="A1477" s="1">
        <v>40037</v>
      </c>
      <c r="B1477">
        <v>1.6510100000000001</v>
      </c>
      <c r="C1477">
        <f t="shared" si="25"/>
        <v>1.2219564037490107E-3</v>
      </c>
      <c r="D1477">
        <f>(C1477-meanrtn)/stdevrtns</f>
        <v>0.21055188635785485</v>
      </c>
    </row>
    <row r="1478" spans="1:4" x14ac:dyDescent="0.3">
      <c r="A1478" s="1">
        <v>40038</v>
      </c>
      <c r="B1478">
        <v>1.6570009999999999</v>
      </c>
      <c r="C1478">
        <f t="shared" si="25"/>
        <v>3.6286878940768727E-3</v>
      </c>
      <c r="D1478">
        <f>(C1478-meanrtn)/stdevrtns</f>
        <v>0.60944417913355198</v>
      </c>
    </row>
    <row r="1479" spans="1:4" x14ac:dyDescent="0.3">
      <c r="A1479" s="1">
        <v>40039</v>
      </c>
      <c r="B1479">
        <v>1.6543969999999999</v>
      </c>
      <c r="C1479">
        <f t="shared" si="25"/>
        <v>-1.5715138373483485E-3</v>
      </c>
      <c r="D1479">
        <f>(C1479-meanrtn)/stdevrtns</f>
        <v>-0.25243858588639545</v>
      </c>
    </row>
    <row r="1480" spans="1:4" x14ac:dyDescent="0.3">
      <c r="A1480" s="1">
        <v>40042</v>
      </c>
      <c r="B1480">
        <v>1.635189</v>
      </c>
      <c r="C1480">
        <f t="shared" si="25"/>
        <v>-1.1610272504120773E-2</v>
      </c>
      <c r="D1480">
        <f>(C1480-meanrtn)/stdevrtns</f>
        <v>-1.9162650149265736</v>
      </c>
    </row>
    <row r="1481" spans="1:4" x14ac:dyDescent="0.3">
      <c r="A1481" s="1">
        <v>40043</v>
      </c>
      <c r="B1481">
        <v>1.6588970000000001</v>
      </c>
      <c r="C1481">
        <f t="shared" si="25"/>
        <v>1.4498629821996151E-2</v>
      </c>
      <c r="D1481">
        <f>(C1481-meanrtn)/stdevrtns</f>
        <v>2.4110311344676223</v>
      </c>
    </row>
    <row r="1482" spans="1:4" x14ac:dyDescent="0.3">
      <c r="A1482" s="1">
        <v>40044</v>
      </c>
      <c r="B1482">
        <v>1.6559029999999999</v>
      </c>
      <c r="C1482">
        <f t="shared" si="25"/>
        <v>-1.8048136804154587E-3</v>
      </c>
      <c r="D1482">
        <f>(C1482-meanrtn)/stdevrtns</f>
        <v>-0.29110576154734652</v>
      </c>
    </row>
    <row r="1483" spans="1:4" x14ac:dyDescent="0.3">
      <c r="A1483" s="1">
        <v>40045</v>
      </c>
      <c r="B1483">
        <v>1.6510910000000001</v>
      </c>
      <c r="C1483">
        <f t="shared" si="25"/>
        <v>-2.9059673181338623E-3</v>
      </c>
      <c r="D1483">
        <f>(C1483-meanrtn)/stdevrtns</f>
        <v>-0.47361124710442326</v>
      </c>
    </row>
    <row r="1484" spans="1:4" x14ac:dyDescent="0.3">
      <c r="A1484" s="1">
        <v>40046</v>
      </c>
      <c r="B1484">
        <v>1.6501110000000001</v>
      </c>
      <c r="C1484">
        <f t="shared" si="25"/>
        <v>-5.9354693351243556E-4</v>
      </c>
      <c r="D1484">
        <f>(C1484-meanrtn)/stdevrtns</f>
        <v>-9.0350101110424685E-2</v>
      </c>
    </row>
    <row r="1485" spans="1:4" x14ac:dyDescent="0.3">
      <c r="A1485" s="1">
        <v>40049</v>
      </c>
      <c r="B1485">
        <v>1.6407970000000001</v>
      </c>
      <c r="C1485">
        <f t="shared" si="25"/>
        <v>-5.6444687660406143E-3</v>
      </c>
      <c r="D1485">
        <f>(C1485-meanrtn)/stdevrtns</f>
        <v>-0.92749117750591592</v>
      </c>
    </row>
    <row r="1486" spans="1:4" x14ac:dyDescent="0.3">
      <c r="A1486" s="1">
        <v>40050</v>
      </c>
      <c r="B1486">
        <v>1.631588</v>
      </c>
      <c r="C1486">
        <f t="shared" si="25"/>
        <v>-5.6125163563804804E-3</v>
      </c>
      <c r="D1486">
        <f>(C1486-meanrtn)/stdevrtns</f>
        <v>-0.9221953769563902</v>
      </c>
    </row>
    <row r="1487" spans="1:4" x14ac:dyDescent="0.3">
      <c r="A1487" s="1">
        <v>40051</v>
      </c>
      <c r="B1487">
        <v>1.6229020000000001</v>
      </c>
      <c r="C1487">
        <f t="shared" si="25"/>
        <v>-5.3236478816956062E-3</v>
      </c>
      <c r="D1487">
        <f>(C1487-meanrtn)/stdevrtns</f>
        <v>-0.87431824207834408</v>
      </c>
    </row>
    <row r="1488" spans="1:4" x14ac:dyDescent="0.3">
      <c r="A1488" s="1">
        <v>40052</v>
      </c>
      <c r="B1488">
        <v>1.629275</v>
      </c>
      <c r="C1488">
        <f t="shared" si="25"/>
        <v>3.926916104607648E-3</v>
      </c>
      <c r="D1488">
        <f>(C1488-meanrtn)/stdevrtns</f>
        <v>0.65887259902463358</v>
      </c>
    </row>
    <row r="1489" spans="1:4" x14ac:dyDescent="0.3">
      <c r="A1489" s="1">
        <v>40053</v>
      </c>
      <c r="B1489">
        <v>1.626201</v>
      </c>
      <c r="C1489">
        <f t="shared" si="25"/>
        <v>-1.8867287597244303E-3</v>
      </c>
      <c r="D1489">
        <f>(C1489-meanrtn)/stdevrtns</f>
        <v>-0.30468238774340273</v>
      </c>
    </row>
    <row r="1490" spans="1:4" x14ac:dyDescent="0.3">
      <c r="A1490" s="1">
        <v>40056</v>
      </c>
      <c r="B1490">
        <v>1.6291949999999999</v>
      </c>
      <c r="C1490">
        <f t="shared" si="25"/>
        <v>1.8411008233299212E-3</v>
      </c>
      <c r="D1490">
        <f>(C1490-meanrtn)/stdevrtns</f>
        <v>0.31316904081751723</v>
      </c>
    </row>
    <row r="1491" spans="1:4" x14ac:dyDescent="0.3">
      <c r="A1491" s="1">
        <v>40057</v>
      </c>
      <c r="B1491">
        <v>1.612903</v>
      </c>
      <c r="C1491">
        <f t="shared" si="25"/>
        <v>-1.0000030690003329E-2</v>
      </c>
      <c r="D1491">
        <f>(C1491-meanrtn)/stdevrtns</f>
        <v>-1.6493831248038393</v>
      </c>
    </row>
    <row r="1492" spans="1:4" x14ac:dyDescent="0.3">
      <c r="A1492" s="1">
        <v>40058</v>
      </c>
      <c r="B1492">
        <v>1.6276040000000001</v>
      </c>
      <c r="C1492">
        <f t="shared" si="25"/>
        <v>9.1146212760470253E-3</v>
      </c>
      <c r="D1492">
        <f>(C1492-meanrtn)/stdevrtns</f>
        <v>1.5186841809962872</v>
      </c>
    </row>
    <row r="1493" spans="1:4" x14ac:dyDescent="0.3">
      <c r="A1493" s="1">
        <v>40059</v>
      </c>
      <c r="B1493">
        <v>1.63276</v>
      </c>
      <c r="C1493">
        <f t="shared" si="25"/>
        <v>3.1678467243874664E-3</v>
      </c>
      <c r="D1493">
        <f>(C1493-meanrtn)/stdevrtns</f>
        <v>0.53306424580006684</v>
      </c>
    </row>
    <row r="1494" spans="1:4" x14ac:dyDescent="0.3">
      <c r="A1494" s="1">
        <v>40060</v>
      </c>
      <c r="B1494">
        <v>1.6392100000000001</v>
      </c>
      <c r="C1494">
        <f t="shared" si="25"/>
        <v>3.9503662510105998E-3</v>
      </c>
      <c r="D1494">
        <f>(C1494-meanrtn)/stdevrtns</f>
        <v>0.6627592322872935</v>
      </c>
    </row>
    <row r="1495" spans="1:4" x14ac:dyDescent="0.3">
      <c r="A1495" s="1">
        <v>40063</v>
      </c>
      <c r="B1495">
        <v>1.6339870000000001</v>
      </c>
      <c r="C1495">
        <f t="shared" si="25"/>
        <v>-3.1862909572293835E-3</v>
      </c>
      <c r="D1495">
        <f>(C1495-meanrtn)/stdevrtns</f>
        <v>-0.52007215874638069</v>
      </c>
    </row>
    <row r="1496" spans="1:4" x14ac:dyDescent="0.3">
      <c r="A1496" s="1">
        <v>40064</v>
      </c>
      <c r="B1496">
        <v>1.651937</v>
      </c>
      <c r="C1496">
        <f t="shared" si="25"/>
        <v>1.0985399516642366E-2</v>
      </c>
      <c r="D1496">
        <f>(C1496-meanrtn)/stdevrtns</f>
        <v>1.8287474450807664</v>
      </c>
    </row>
    <row r="1497" spans="1:4" x14ac:dyDescent="0.3">
      <c r="A1497" s="1">
        <v>40065</v>
      </c>
      <c r="B1497">
        <v>1.6534120000000001</v>
      </c>
      <c r="C1497">
        <f t="shared" si="25"/>
        <v>8.9289119379256906E-4</v>
      </c>
      <c r="D1497">
        <f>(C1497-meanrtn)/stdevrtns</f>
        <v>0.15601253429479617</v>
      </c>
    </row>
    <row r="1498" spans="1:4" x14ac:dyDescent="0.3">
      <c r="A1498" s="1">
        <v>40066</v>
      </c>
      <c r="B1498">
        <v>1.6656120000000001</v>
      </c>
      <c r="C1498">
        <f t="shared" si="25"/>
        <v>7.3786811756537318E-3</v>
      </c>
      <c r="D1498">
        <f>(C1498-meanrtn)/stdevrtns</f>
        <v>1.2309690247563927</v>
      </c>
    </row>
    <row r="1499" spans="1:4" x14ac:dyDescent="0.3">
      <c r="A1499" s="1">
        <v>40067</v>
      </c>
      <c r="B1499">
        <v>1.668112</v>
      </c>
      <c r="C1499">
        <f t="shared" si="25"/>
        <v>1.5009498010340623E-3</v>
      </c>
      <c r="D1499">
        <f>(C1499-meanrtn)/stdevrtns</f>
        <v>0.25679232338190972</v>
      </c>
    </row>
    <row r="1500" spans="1:4" x14ac:dyDescent="0.3">
      <c r="A1500" s="1">
        <v>40070</v>
      </c>
      <c r="B1500">
        <v>1.660992</v>
      </c>
      <c r="C1500">
        <f t="shared" si="25"/>
        <v>-4.2682985315134802E-3</v>
      </c>
      <c r="D1500">
        <f>(C1500-meanrtn)/stdevrtns</f>
        <v>-0.69940437085287444</v>
      </c>
    </row>
    <row r="1501" spans="1:4" x14ac:dyDescent="0.3">
      <c r="A1501" s="1">
        <v>40071</v>
      </c>
      <c r="B1501">
        <v>1.649648</v>
      </c>
      <c r="C1501">
        <f t="shared" si="25"/>
        <v>-6.8296536045929302E-3</v>
      </c>
      <c r="D1501">
        <f>(C1501-meanrtn)/stdevrtns</f>
        <v>-1.1239240157818322</v>
      </c>
    </row>
    <row r="1502" spans="1:4" x14ac:dyDescent="0.3">
      <c r="A1502" s="1">
        <v>40072</v>
      </c>
      <c r="B1502">
        <v>1.6479889999999999</v>
      </c>
      <c r="C1502">
        <f t="shared" si="25"/>
        <v>-1.0056690881934068E-3</v>
      </c>
      <c r="D1502">
        <f>(C1502-meanrtn)/stdevrtns</f>
        <v>-0.15865533243556867</v>
      </c>
    </row>
    <row r="1503" spans="1:4" x14ac:dyDescent="0.3">
      <c r="A1503" s="1">
        <v>40073</v>
      </c>
      <c r="B1503">
        <v>1.643818</v>
      </c>
      <c r="C1503">
        <f t="shared" si="25"/>
        <v>-2.5309634955087228E-3</v>
      </c>
      <c r="D1503">
        <f>(C1503-meanrtn)/stdevrtns</f>
        <v>-0.41145801762795386</v>
      </c>
    </row>
    <row r="1504" spans="1:4" x14ac:dyDescent="0.3">
      <c r="A1504" s="1">
        <v>40074</v>
      </c>
      <c r="B1504">
        <v>1.6271009999999999</v>
      </c>
      <c r="C1504">
        <f t="shared" si="25"/>
        <v>-1.0169617317732312E-2</v>
      </c>
      <c r="D1504">
        <f>(C1504-meanrtn)/stdevrtns</f>
        <v>-1.6774904558587453</v>
      </c>
    </row>
    <row r="1505" spans="1:4" x14ac:dyDescent="0.3">
      <c r="A1505" s="1">
        <v>40077</v>
      </c>
      <c r="B1505">
        <v>1.622007</v>
      </c>
      <c r="C1505">
        <f t="shared" si="25"/>
        <v>-3.1307214487606683E-3</v>
      </c>
      <c r="D1505">
        <f>(C1505-meanrtn)/stdevrtns</f>
        <v>-0.51086205419978481</v>
      </c>
    </row>
    <row r="1506" spans="1:4" x14ac:dyDescent="0.3">
      <c r="A1506" s="1">
        <v>40078</v>
      </c>
      <c r="B1506">
        <v>1.638404</v>
      </c>
      <c r="C1506">
        <f t="shared" si="25"/>
        <v>1.0109080910255008E-2</v>
      </c>
      <c r="D1506">
        <f>(C1506-meanrtn)/stdevrtns</f>
        <v>1.6835061751224638</v>
      </c>
    </row>
    <row r="1507" spans="1:4" x14ac:dyDescent="0.3">
      <c r="A1507" s="1">
        <v>40079</v>
      </c>
      <c r="B1507">
        <v>1.6351089999999999</v>
      </c>
      <c r="C1507">
        <f t="shared" si="25"/>
        <v>-2.0111034885169029E-3</v>
      </c>
      <c r="D1507">
        <f>(C1507-meanrtn)/stdevrtns</f>
        <v>-0.32529628710474212</v>
      </c>
    </row>
    <row r="1508" spans="1:4" x14ac:dyDescent="0.3">
      <c r="A1508" s="1">
        <v>40080</v>
      </c>
      <c r="B1508">
        <v>1.593702</v>
      </c>
      <c r="C1508">
        <f t="shared" si="25"/>
        <v>-2.5323694016729143E-2</v>
      </c>
      <c r="D1508">
        <f>(C1508-meanrtn)/stdevrtns</f>
        <v>-4.1891310039026584</v>
      </c>
    </row>
    <row r="1509" spans="1:4" x14ac:dyDescent="0.3">
      <c r="A1509" s="1">
        <v>40081</v>
      </c>
      <c r="B1509">
        <v>1.597699</v>
      </c>
      <c r="C1509">
        <f t="shared" si="25"/>
        <v>2.5079971035990595E-3</v>
      </c>
      <c r="D1509">
        <f>(C1509-meanrtn)/stdevrtns</f>
        <v>0.42370060088112088</v>
      </c>
    </row>
    <row r="1510" spans="1:4" x14ac:dyDescent="0.3">
      <c r="A1510" s="1">
        <v>40084</v>
      </c>
      <c r="B1510">
        <v>1.5887389999999999</v>
      </c>
      <c r="C1510">
        <f t="shared" si="25"/>
        <v>-5.6080650986200025E-3</v>
      </c>
      <c r="D1510">
        <f>(C1510-meanrtn)/stdevrtns</f>
        <v>-0.92145762435667211</v>
      </c>
    </row>
    <row r="1511" spans="1:4" x14ac:dyDescent="0.3">
      <c r="A1511" s="1">
        <v>40085</v>
      </c>
      <c r="B1511">
        <v>1.5971120000000001</v>
      </c>
      <c r="C1511">
        <f t="shared" si="25"/>
        <v>5.2702174491846589E-3</v>
      </c>
      <c r="D1511">
        <f>(C1511-meanrtn)/stdevrtns</f>
        <v>0.8815117074504788</v>
      </c>
    </row>
    <row r="1512" spans="1:4" x14ac:dyDescent="0.3">
      <c r="A1512" s="1">
        <v>40086</v>
      </c>
      <c r="B1512">
        <v>1.6002050000000001</v>
      </c>
      <c r="C1512">
        <f t="shared" si="25"/>
        <v>1.9366206001833386E-3</v>
      </c>
      <c r="D1512">
        <f>(C1512-meanrtn)/stdevrtns</f>
        <v>0.32900051306425804</v>
      </c>
    </row>
    <row r="1513" spans="1:4" x14ac:dyDescent="0.3">
      <c r="A1513" s="1">
        <v>40087</v>
      </c>
      <c r="B1513">
        <v>1.590204</v>
      </c>
      <c r="C1513">
        <f t="shared" si="25"/>
        <v>-6.2498242412691802E-3</v>
      </c>
      <c r="D1513">
        <f>(C1513-meanrtn)/stdevrtns</f>
        <v>-1.0278229488018278</v>
      </c>
    </row>
    <row r="1514" spans="1:4" x14ac:dyDescent="0.3">
      <c r="A1514" s="1">
        <v>40088</v>
      </c>
      <c r="B1514">
        <v>1.587906</v>
      </c>
      <c r="C1514">
        <f t="shared" si="25"/>
        <v>-1.4450976101178913E-3</v>
      </c>
      <c r="D1514">
        <f>(C1514-meanrtn)/stdevrtns</f>
        <v>-0.23148632805179126</v>
      </c>
    </row>
    <row r="1515" spans="1:4" x14ac:dyDescent="0.3">
      <c r="A1515" s="1">
        <v>40091</v>
      </c>
      <c r="B1515">
        <v>1.5949469999999999</v>
      </c>
      <c r="C1515">
        <f t="shared" si="25"/>
        <v>4.4341415675738065E-3</v>
      </c>
      <c r="D1515">
        <f>(C1515-meanrtn)/stdevrtns</f>
        <v>0.74294027698949994</v>
      </c>
    </row>
    <row r="1516" spans="1:4" x14ac:dyDescent="0.3">
      <c r="A1516" s="1">
        <v>40092</v>
      </c>
      <c r="B1516">
        <v>1.592179</v>
      </c>
      <c r="C1516">
        <f t="shared" si="25"/>
        <v>-1.7354808655083095E-3</v>
      </c>
      <c r="D1516">
        <f>(C1516-meanrtn)/stdevrtns</f>
        <v>-0.27961452307140905</v>
      </c>
    </row>
    <row r="1517" spans="1:4" x14ac:dyDescent="0.3">
      <c r="A1517" s="1">
        <v>40093</v>
      </c>
      <c r="B1517">
        <v>1.596398</v>
      </c>
      <c r="C1517">
        <f t="shared" si="25"/>
        <v>2.6498276889721398E-3</v>
      </c>
      <c r="D1517">
        <f>(C1517-meanrtn)/stdevrtns</f>
        <v>0.44720763837680771</v>
      </c>
    </row>
    <row r="1518" spans="1:4" x14ac:dyDescent="0.3">
      <c r="A1518" s="1">
        <v>40094</v>
      </c>
      <c r="B1518">
        <v>1.6058319999999999</v>
      </c>
      <c r="C1518">
        <f t="shared" si="25"/>
        <v>5.9095538831794719E-3</v>
      </c>
      <c r="D1518">
        <f>(C1518-meanrtn)/stdevrtns</f>
        <v>0.98747549154360481</v>
      </c>
    </row>
    <row r="1519" spans="1:4" x14ac:dyDescent="0.3">
      <c r="A1519" s="1">
        <v>40095</v>
      </c>
      <c r="B1519">
        <v>1.5840080000000001</v>
      </c>
      <c r="C1519">
        <f t="shared" si="25"/>
        <v>-1.3590462763227937E-2</v>
      </c>
      <c r="D1519">
        <f>(C1519-meanrtn)/stdevrtns</f>
        <v>-2.2444622549434712</v>
      </c>
    </row>
    <row r="1520" spans="1:4" x14ac:dyDescent="0.3">
      <c r="A1520" s="1">
        <v>40098</v>
      </c>
      <c r="B1520">
        <v>1.5814029999999999</v>
      </c>
      <c r="C1520">
        <f t="shared" si="25"/>
        <v>-1.6445624012001142E-3</v>
      </c>
      <c r="D1520">
        <f>(C1520-meanrtn)/stdevrtns</f>
        <v>-0.26454567354278924</v>
      </c>
    </row>
    <row r="1521" spans="1:4" x14ac:dyDescent="0.3">
      <c r="A1521" s="1">
        <v>40099</v>
      </c>
      <c r="B1521">
        <v>1.5931679999999999</v>
      </c>
      <c r="C1521">
        <f t="shared" si="25"/>
        <v>7.439596358423518E-3</v>
      </c>
      <c r="D1521">
        <f>(C1521-meanrtn)/stdevrtns</f>
        <v>1.2410651227289091</v>
      </c>
    </row>
    <row r="1522" spans="1:4" x14ac:dyDescent="0.3">
      <c r="A1522" s="1">
        <v>40100</v>
      </c>
      <c r="B1522">
        <v>1.600589</v>
      </c>
      <c r="C1522">
        <f t="shared" si="25"/>
        <v>4.6580147228667173E-3</v>
      </c>
      <c r="D1522">
        <f>(C1522-meanrtn)/stdevrtns</f>
        <v>0.78004507100769493</v>
      </c>
    </row>
    <row r="1523" spans="1:4" x14ac:dyDescent="0.3">
      <c r="A1523" s="1">
        <v>40101</v>
      </c>
      <c r="B1523">
        <v>1.633907</v>
      </c>
      <c r="C1523">
        <f t="shared" si="25"/>
        <v>2.0816087077944405E-2</v>
      </c>
      <c r="D1523">
        <f>(C1523-meanrtn)/stdevrtns</f>
        <v>3.4580881158820191</v>
      </c>
    </row>
    <row r="1524" spans="1:4" x14ac:dyDescent="0.3">
      <c r="A1524" s="1">
        <v>40102</v>
      </c>
      <c r="B1524">
        <v>1.6359109999999999</v>
      </c>
      <c r="C1524">
        <f t="shared" si="25"/>
        <v>1.2265079958650614E-3</v>
      </c>
      <c r="D1524">
        <f>(C1524-meanrtn)/stdevrtns</f>
        <v>0.21130626839932798</v>
      </c>
    </row>
    <row r="1525" spans="1:4" x14ac:dyDescent="0.3">
      <c r="A1525" s="1">
        <v>40105</v>
      </c>
      <c r="B1525">
        <v>1.6406080000000001</v>
      </c>
      <c r="C1525">
        <f t="shared" si="25"/>
        <v>2.8711830900337324E-3</v>
      </c>
      <c r="D1525">
        <f>(C1525-meanrtn)/stdevrtns</f>
        <v>0.48389513916473909</v>
      </c>
    </row>
    <row r="1526" spans="1:4" x14ac:dyDescent="0.3">
      <c r="A1526" s="1">
        <v>40106</v>
      </c>
      <c r="B1526">
        <v>1.638002</v>
      </c>
      <c r="C1526">
        <f t="shared" si="25"/>
        <v>-1.5884355068365558E-3</v>
      </c>
      <c r="D1526">
        <f>(C1526-meanrtn)/stdevrtns</f>
        <v>-0.25524318771541959</v>
      </c>
    </row>
    <row r="1527" spans="1:4" x14ac:dyDescent="0.3">
      <c r="A1527" s="1">
        <v>40107</v>
      </c>
      <c r="B1527">
        <v>1.6608810000000001</v>
      </c>
      <c r="C1527">
        <f t="shared" si="25"/>
        <v>1.396762641315462E-2</v>
      </c>
      <c r="D1527">
        <f>(C1527-meanrtn)/stdevrtns</f>
        <v>2.3230224936716963</v>
      </c>
    </row>
    <row r="1528" spans="1:4" x14ac:dyDescent="0.3">
      <c r="A1528" s="1">
        <v>40108</v>
      </c>
      <c r="B1528">
        <v>1.663395</v>
      </c>
      <c r="C1528">
        <f t="shared" si="25"/>
        <v>1.5136545002320486E-3</v>
      </c>
      <c r="D1528">
        <f>(C1528-meanrtn)/stdevrtns</f>
        <v>0.2588980034764598</v>
      </c>
    </row>
    <row r="1529" spans="1:4" x14ac:dyDescent="0.3">
      <c r="A1529" s="1">
        <v>40109</v>
      </c>
      <c r="B1529">
        <v>1.631108</v>
      </c>
      <c r="C1529">
        <f t="shared" si="25"/>
        <v>-1.9410302423657613E-2</v>
      </c>
      <c r="D1529">
        <f>(C1529-meanrtn)/stdevrtns</f>
        <v>-3.209043968801164</v>
      </c>
    </row>
    <row r="1530" spans="1:4" x14ac:dyDescent="0.3">
      <c r="A1530" s="1">
        <v>40112</v>
      </c>
      <c r="B1530">
        <v>1.6299920000000001</v>
      </c>
      <c r="C1530">
        <f t="shared" si="25"/>
        <v>-6.841974902948762E-4</v>
      </c>
      <c r="D1530">
        <f>(C1530-meanrtn)/stdevrtns</f>
        <v>-0.1053745475772033</v>
      </c>
    </row>
    <row r="1531" spans="1:4" x14ac:dyDescent="0.3">
      <c r="A1531" s="1">
        <v>40113</v>
      </c>
      <c r="B1531">
        <v>1.6399889999999999</v>
      </c>
      <c r="C1531">
        <f t="shared" si="25"/>
        <v>6.1331589357492616E-3</v>
      </c>
      <c r="D1531">
        <f>(C1531-meanrtn)/stdevrtns</f>
        <v>1.0245358501478972</v>
      </c>
    </row>
    <row r="1532" spans="1:4" x14ac:dyDescent="0.3">
      <c r="A1532" s="1">
        <v>40114</v>
      </c>
      <c r="B1532">
        <v>1.637599</v>
      </c>
      <c r="C1532">
        <f t="shared" si="25"/>
        <v>-1.4573268479239143E-3</v>
      </c>
      <c r="D1532">
        <f>(C1532-meanrtn)/stdevrtns</f>
        <v>-0.2335132050536288</v>
      </c>
    </row>
    <row r="1533" spans="1:4" x14ac:dyDescent="0.3">
      <c r="A1533" s="1">
        <v>40115</v>
      </c>
      <c r="B1533">
        <v>1.6562870000000001</v>
      </c>
      <c r="C1533">
        <f t="shared" si="25"/>
        <v>1.1411829147428667E-2</v>
      </c>
      <c r="D1533">
        <f>(C1533-meanrtn)/stdevrtns</f>
        <v>1.8994240011550252</v>
      </c>
    </row>
    <row r="1534" spans="1:4" x14ac:dyDescent="0.3">
      <c r="A1534" s="1">
        <v>40116</v>
      </c>
      <c r="B1534">
        <v>1.6447909999999999</v>
      </c>
      <c r="C1534">
        <f t="shared" si="25"/>
        <v>-6.9408260766402035E-3</v>
      </c>
      <c r="D1534">
        <f>(C1534-meanrtn)/stdevrtns</f>
        <v>-1.1423497697334861</v>
      </c>
    </row>
    <row r="1535" spans="1:4" x14ac:dyDescent="0.3">
      <c r="A1535" s="1">
        <v>40119</v>
      </c>
      <c r="B1535">
        <v>1.639532</v>
      </c>
      <c r="C1535">
        <f t="shared" si="25"/>
        <v>-3.1973667171086803E-3</v>
      </c>
      <c r="D1535">
        <f>(C1535-meanrtn)/stdevrtns</f>
        <v>-0.5219078580216181</v>
      </c>
    </row>
    <row r="1536" spans="1:4" x14ac:dyDescent="0.3">
      <c r="A1536" s="1">
        <v>40120</v>
      </c>
      <c r="B1536">
        <v>1.642603</v>
      </c>
      <c r="C1536">
        <f t="shared" si="25"/>
        <v>1.8730954931041577E-3</v>
      </c>
      <c r="D1536">
        <f>(C1536-meanrtn)/stdevrtns</f>
        <v>0.31847184556916314</v>
      </c>
    </row>
    <row r="1537" spans="1:4" x14ac:dyDescent="0.3">
      <c r="A1537" s="1">
        <v>40121</v>
      </c>
      <c r="B1537">
        <v>1.655794</v>
      </c>
      <c r="C1537">
        <f t="shared" si="25"/>
        <v>8.0305466384756104E-3</v>
      </c>
      <c r="D1537">
        <f>(C1537-meanrtn)/stdevrtns</f>
        <v>1.3390093732918613</v>
      </c>
    </row>
    <row r="1538" spans="1:4" x14ac:dyDescent="0.3">
      <c r="A1538" s="1">
        <v>40122</v>
      </c>
      <c r="B1538">
        <v>1.6574949999999999</v>
      </c>
      <c r="C1538">
        <f t="shared" si="25"/>
        <v>1.0273017054053539E-3</v>
      </c>
      <c r="D1538">
        <f>(C1538-meanrtn)/stdevrtns</f>
        <v>0.17828976686762227</v>
      </c>
    </row>
    <row r="1539" spans="1:4" x14ac:dyDescent="0.3">
      <c r="A1539" s="1">
        <v>40123</v>
      </c>
      <c r="B1539">
        <v>1.662013</v>
      </c>
      <c r="C1539">
        <f t="shared" si="25"/>
        <v>2.7258000778283024E-3</v>
      </c>
      <c r="D1539">
        <f>(C1539-meanrtn)/stdevrtns</f>
        <v>0.45979932153725583</v>
      </c>
    </row>
    <row r="1540" spans="1:4" x14ac:dyDescent="0.3">
      <c r="A1540" s="1">
        <v>40126</v>
      </c>
      <c r="B1540">
        <v>1.6779930000000001</v>
      </c>
      <c r="C1540">
        <f t="shared" ref="C1540:C1603" si="26">(B1540-B1539)/B1539</f>
        <v>9.6148465746056771E-3</v>
      </c>
      <c r="D1540">
        <f>(C1540-meanrtn)/stdevrtns</f>
        <v>1.6015916499218239</v>
      </c>
    </row>
    <row r="1541" spans="1:4" x14ac:dyDescent="0.3">
      <c r="A1541" s="1">
        <v>40127</v>
      </c>
      <c r="B1541">
        <v>1.6736120000000001</v>
      </c>
      <c r="C1541">
        <f t="shared" si="26"/>
        <v>-2.6108571370678946E-3</v>
      </c>
      <c r="D1541">
        <f>(C1541-meanrtn)/stdevrtns</f>
        <v>-0.42469961021433594</v>
      </c>
    </row>
    <row r="1542" spans="1:4" x14ac:dyDescent="0.3">
      <c r="A1542" s="1">
        <v>40128</v>
      </c>
      <c r="B1542">
        <v>1.6574949999999999</v>
      </c>
      <c r="C1542">
        <f t="shared" si="26"/>
        <v>-9.6300695740710266E-3</v>
      </c>
      <c r="D1542">
        <f>(C1542-meanrtn)/stdevrtns</f>
        <v>-1.588065674824412</v>
      </c>
    </row>
    <row r="1543" spans="1:4" x14ac:dyDescent="0.3">
      <c r="A1543" s="1">
        <v>40129</v>
      </c>
      <c r="B1543">
        <v>1.6587050000000001</v>
      </c>
      <c r="C1543">
        <f t="shared" si="26"/>
        <v>7.3001728512010918E-4</v>
      </c>
      <c r="D1543">
        <f>(C1543-meanrtn)/stdevrtns</f>
        <v>0.12901777101322776</v>
      </c>
    </row>
    <row r="1544" spans="1:4" x14ac:dyDescent="0.3">
      <c r="A1544" s="1">
        <v>40130</v>
      </c>
      <c r="B1544">
        <v>1.6675</v>
      </c>
      <c r="C1544">
        <f t="shared" si="26"/>
        <v>5.3023292267159539E-3</v>
      </c>
      <c r="D1544">
        <f>(C1544-meanrtn)/stdevrtns</f>
        <v>0.88683392167173214</v>
      </c>
    </row>
    <row r="1545" spans="1:4" x14ac:dyDescent="0.3">
      <c r="A1545" s="1">
        <v>40133</v>
      </c>
      <c r="B1545">
        <v>1.683899</v>
      </c>
      <c r="C1545">
        <f t="shared" si="26"/>
        <v>9.8344827586207204E-3</v>
      </c>
      <c r="D1545">
        <f>(C1545-meanrtn)/stdevrtns</f>
        <v>1.6379942072367368</v>
      </c>
    </row>
    <row r="1546" spans="1:4" x14ac:dyDescent="0.3">
      <c r="A1546" s="1">
        <v>40134</v>
      </c>
      <c r="B1546">
        <v>1.6823969999999999</v>
      </c>
      <c r="C1546">
        <f t="shared" si="26"/>
        <v>-8.9197748796104414E-4</v>
      </c>
      <c r="D1546">
        <f>(C1546-meanrtn)/stdevrtns</f>
        <v>-0.13981205753420145</v>
      </c>
    </row>
    <row r="1547" spans="1:4" x14ac:dyDescent="0.3">
      <c r="A1547" s="1">
        <v>40135</v>
      </c>
      <c r="B1547">
        <v>1.6740600000000001</v>
      </c>
      <c r="C1547">
        <f t="shared" si="26"/>
        <v>-4.9554296637475083E-3</v>
      </c>
      <c r="D1547">
        <f>(C1547-meanrtn)/stdevrtns</f>
        <v>-0.81328966045659901</v>
      </c>
    </row>
    <row r="1548" spans="1:4" x14ac:dyDescent="0.3">
      <c r="A1548" s="1">
        <v>40136</v>
      </c>
      <c r="B1548">
        <v>1.6656120000000001</v>
      </c>
      <c r="C1548">
        <f t="shared" si="26"/>
        <v>-5.0464141070212598E-3</v>
      </c>
      <c r="D1548">
        <f>(C1548-meanrtn)/stdevrtns</f>
        <v>-0.82836944535584545</v>
      </c>
    </row>
    <row r="1549" spans="1:4" x14ac:dyDescent="0.3">
      <c r="A1549" s="1">
        <v>40137</v>
      </c>
      <c r="B1549">
        <v>1.652101</v>
      </c>
      <c r="C1549">
        <f t="shared" si="26"/>
        <v>-8.1117331047086891E-3</v>
      </c>
      <c r="D1549">
        <f>(C1549-meanrtn)/stdevrtns</f>
        <v>-1.3364162000479824</v>
      </c>
    </row>
    <row r="1550" spans="1:4" x14ac:dyDescent="0.3">
      <c r="A1550" s="1">
        <v>40140</v>
      </c>
      <c r="B1550">
        <v>1.660909</v>
      </c>
      <c r="C1550">
        <f t="shared" si="26"/>
        <v>5.3313931775357121E-3</v>
      </c>
      <c r="D1550">
        <f>(C1550-meanrtn)/stdevrtns</f>
        <v>0.89165098831427403</v>
      </c>
    </row>
    <row r="1551" spans="1:4" x14ac:dyDescent="0.3">
      <c r="A1551" s="1">
        <v>40141</v>
      </c>
      <c r="B1551">
        <v>1.6584300000000001</v>
      </c>
      <c r="C1551">
        <f t="shared" si="26"/>
        <v>-1.4925561845952416E-3</v>
      </c>
      <c r="D1551">
        <f>(C1551-meanrtn)/stdevrtns</f>
        <v>-0.23935212432412803</v>
      </c>
    </row>
    <row r="1552" spans="1:4" x14ac:dyDescent="0.3">
      <c r="A1552" s="1">
        <v>40142</v>
      </c>
      <c r="B1552">
        <v>1.670509</v>
      </c>
      <c r="C1552">
        <f t="shared" si="26"/>
        <v>7.2833945357958733E-3</v>
      </c>
      <c r="D1552">
        <f>(C1552-meanrtn)/stdevrtns</f>
        <v>1.2151761926949252</v>
      </c>
    </row>
    <row r="1553" spans="1:4" x14ac:dyDescent="0.3">
      <c r="A1553" s="1">
        <v>40143</v>
      </c>
      <c r="B1553">
        <v>1.6436010000000001</v>
      </c>
      <c r="C1553">
        <f t="shared" si="26"/>
        <v>-1.6107665388213972E-2</v>
      </c>
      <c r="D1553">
        <f>(C1553-meanrtn)/stdevrtns</f>
        <v>-2.661664061832572</v>
      </c>
    </row>
    <row r="1554" spans="1:4" x14ac:dyDescent="0.3">
      <c r="A1554" s="1">
        <v>40144</v>
      </c>
      <c r="B1554">
        <v>1.650792</v>
      </c>
      <c r="C1554">
        <f t="shared" si="26"/>
        <v>4.3751494432042494E-3</v>
      </c>
      <c r="D1554">
        <f>(C1554-meanrtn)/stdevrtns</f>
        <v>0.73316290720809729</v>
      </c>
    </row>
    <row r="1555" spans="1:4" x14ac:dyDescent="0.3">
      <c r="A1555" s="1">
        <v>40147</v>
      </c>
      <c r="B1555">
        <v>1.6457930000000001</v>
      </c>
      <c r="C1555">
        <f t="shared" si="26"/>
        <v>-3.0282434128587827E-3</v>
      </c>
      <c r="D1555">
        <f>(C1555-meanrtn)/stdevrtns</f>
        <v>-0.49387731831863974</v>
      </c>
    </row>
    <row r="1556" spans="1:4" x14ac:dyDescent="0.3">
      <c r="A1556" s="1">
        <v>40148</v>
      </c>
      <c r="B1556">
        <v>1.662593</v>
      </c>
      <c r="C1556">
        <f t="shared" si="26"/>
        <v>1.0207845093520221E-2</v>
      </c>
      <c r="D1556">
        <f>(C1556-meanrtn)/stdevrtns</f>
        <v>1.6998753761177161</v>
      </c>
    </row>
    <row r="1557" spans="1:4" x14ac:dyDescent="0.3">
      <c r="A1557" s="1">
        <v>40149</v>
      </c>
      <c r="B1557">
        <v>1.666056</v>
      </c>
      <c r="C1557">
        <f t="shared" si="26"/>
        <v>2.082891002187543E-3</v>
      </c>
      <c r="D1557">
        <f>(C1557-meanrtn)/stdevrtns</f>
        <v>0.35324340690395745</v>
      </c>
    </row>
    <row r="1558" spans="1:4" x14ac:dyDescent="0.3">
      <c r="A1558" s="1">
        <v>40150</v>
      </c>
      <c r="B1558">
        <v>1.655931</v>
      </c>
      <c r="C1558">
        <f t="shared" si="26"/>
        <v>-6.0772266958613276E-3</v>
      </c>
      <c r="D1558">
        <f>(C1558-meanrtn)/stdevrtns</f>
        <v>-0.99921658748072473</v>
      </c>
    </row>
    <row r="1559" spans="1:4" x14ac:dyDescent="0.3">
      <c r="A1559" s="1">
        <v>40151</v>
      </c>
      <c r="B1559">
        <v>1.648288</v>
      </c>
      <c r="C1559">
        <f t="shared" si="26"/>
        <v>-4.6155304780211657E-3</v>
      </c>
      <c r="D1559">
        <f>(C1559-meanrtn)/stdevrtns</f>
        <v>-0.75695468247843523</v>
      </c>
    </row>
    <row r="1560" spans="1:4" x14ac:dyDescent="0.3">
      <c r="A1560" s="1">
        <v>40154</v>
      </c>
      <c r="B1560">
        <v>1.6465780000000001</v>
      </c>
      <c r="C1560">
        <f t="shared" si="26"/>
        <v>-1.0374400590187384E-3</v>
      </c>
      <c r="D1560">
        <f>(C1560-meanrtn)/stdevrtns</f>
        <v>-0.16392106126620773</v>
      </c>
    </row>
    <row r="1561" spans="1:4" x14ac:dyDescent="0.3">
      <c r="A1561" s="1">
        <v>40155</v>
      </c>
      <c r="B1561">
        <v>1.6249070000000001</v>
      </c>
      <c r="C1561">
        <f t="shared" si="26"/>
        <v>-1.316123499767396E-2</v>
      </c>
      <c r="D1561">
        <f>(C1561-meanrtn)/stdevrtns</f>
        <v>-2.1733219352971398</v>
      </c>
    </row>
    <row r="1562" spans="1:4" x14ac:dyDescent="0.3">
      <c r="A1562" s="1">
        <v>40156</v>
      </c>
      <c r="B1562">
        <v>1.6282399999999999</v>
      </c>
      <c r="C1562">
        <f t="shared" si="26"/>
        <v>2.0511943145052661E-3</v>
      </c>
      <c r="D1562">
        <f>(C1562-meanrtn)/stdevrtns</f>
        <v>0.34798998978044765</v>
      </c>
    </row>
    <row r="1563" spans="1:4" x14ac:dyDescent="0.3">
      <c r="A1563" s="1">
        <v>40157</v>
      </c>
      <c r="B1563">
        <v>1.628028</v>
      </c>
      <c r="C1563">
        <f t="shared" si="26"/>
        <v>-1.3020193583248107E-4</v>
      </c>
      <c r="D1563">
        <f>(C1563-meanrtn)/stdevrtns</f>
        <v>-1.3555182685383024E-2</v>
      </c>
    </row>
    <row r="1564" spans="1:4" x14ac:dyDescent="0.3">
      <c r="A1564" s="1">
        <v>40158</v>
      </c>
      <c r="B1564">
        <v>1.6253029999999999</v>
      </c>
      <c r="C1564">
        <f t="shared" si="26"/>
        <v>-1.6738041360468544E-3</v>
      </c>
      <c r="D1564">
        <f>(C1564-meanrtn)/stdevrtns</f>
        <v>-0.26939220615543491</v>
      </c>
    </row>
    <row r="1565" spans="1:4" x14ac:dyDescent="0.3">
      <c r="A1565" s="1">
        <v>40161</v>
      </c>
      <c r="B1565">
        <v>1.6310020000000001</v>
      </c>
      <c r="C1565">
        <f t="shared" si="26"/>
        <v>3.5064231100294043E-3</v>
      </c>
      <c r="D1565">
        <f>(C1565-meanrtn)/stdevrtns</f>
        <v>0.58917998255390935</v>
      </c>
    </row>
    <row r="1566" spans="1:4" x14ac:dyDescent="0.3">
      <c r="A1566" s="1">
        <v>40162</v>
      </c>
      <c r="B1566">
        <v>1.626995</v>
      </c>
      <c r="C1566">
        <f t="shared" si="26"/>
        <v>-2.4567719720761188E-3</v>
      </c>
      <c r="D1566">
        <f>(C1566-meanrtn)/stdevrtns</f>
        <v>-0.39916149555829761</v>
      </c>
    </row>
    <row r="1567" spans="1:4" x14ac:dyDescent="0.3">
      <c r="A1567" s="1">
        <v>40163</v>
      </c>
      <c r="B1567">
        <v>1.6328130000000001</v>
      </c>
      <c r="C1567">
        <f t="shared" si="26"/>
        <v>3.5759175658192565E-3</v>
      </c>
      <c r="D1567">
        <f>(C1567-meanrtn)/stdevrtns</f>
        <v>0.60069801143108881</v>
      </c>
    </row>
    <row r="1568" spans="1:4" x14ac:dyDescent="0.3">
      <c r="A1568" s="1">
        <v>40164</v>
      </c>
      <c r="B1568">
        <v>1.6162920000000001</v>
      </c>
      <c r="C1568">
        <f t="shared" si="26"/>
        <v>-1.0118121303541807E-2</v>
      </c>
      <c r="D1568">
        <f>(C1568-meanrtn)/stdevrtns</f>
        <v>-1.668955493295696</v>
      </c>
    </row>
    <row r="1569" spans="1:4" x14ac:dyDescent="0.3">
      <c r="A1569" s="1">
        <v>40165</v>
      </c>
      <c r="B1569">
        <v>1.6145959999999999</v>
      </c>
      <c r="C1569">
        <f t="shared" si="26"/>
        <v>-1.04931534648451E-3</v>
      </c>
      <c r="D1569">
        <f>(C1569-meanrtn)/stdevrtns</f>
        <v>-0.16588927444812226</v>
      </c>
    </row>
    <row r="1570" spans="1:4" x14ac:dyDescent="0.3">
      <c r="A1570" s="1">
        <v>40168</v>
      </c>
      <c r="B1570">
        <v>1.6055999999999999</v>
      </c>
      <c r="C1570">
        <f t="shared" si="26"/>
        <v>-5.5716724183634816E-3</v>
      </c>
      <c r="D1570">
        <f>(C1570-meanrtn)/stdevrtns</f>
        <v>-0.91542589222281501</v>
      </c>
    </row>
    <row r="1571" spans="1:4" x14ac:dyDescent="0.3">
      <c r="A1571" s="1">
        <v>40169</v>
      </c>
      <c r="B1571">
        <v>1.596832</v>
      </c>
      <c r="C1571">
        <f t="shared" si="26"/>
        <v>-5.4608868958644042E-3</v>
      </c>
      <c r="D1571">
        <f>(C1571-meanrtn)/stdevrtns</f>
        <v>-0.89706427138824885</v>
      </c>
    </row>
    <row r="1572" spans="1:4" x14ac:dyDescent="0.3">
      <c r="A1572" s="1">
        <v>40170</v>
      </c>
      <c r="B1572">
        <v>1.596908</v>
      </c>
      <c r="C1572">
        <f t="shared" si="26"/>
        <v>4.7594236588423195E-5</v>
      </c>
      <c r="D1572">
        <f>(C1572-meanrtn)/stdevrtns</f>
        <v>1.5912800406514046E-2</v>
      </c>
    </row>
    <row r="1573" spans="1:4" x14ac:dyDescent="0.3">
      <c r="A1573" s="1">
        <v>40171</v>
      </c>
      <c r="B1573">
        <v>1.5974950000000001</v>
      </c>
      <c r="C1573">
        <f t="shared" si="26"/>
        <v>3.675853587057709E-4</v>
      </c>
      <c r="D1573">
        <f>(C1573-meanrtn)/stdevrtns</f>
        <v>6.8948210830245452E-2</v>
      </c>
    </row>
    <row r="1574" spans="1:4" x14ac:dyDescent="0.3">
      <c r="A1574" s="1">
        <v>40172</v>
      </c>
      <c r="B1574">
        <v>1.6018969999999999</v>
      </c>
      <c r="C1574">
        <f t="shared" si="26"/>
        <v>2.7555641801694495E-3</v>
      </c>
      <c r="D1574">
        <f>(C1574-meanrtn)/stdevrtns</f>
        <v>0.46473243147203019</v>
      </c>
    </row>
    <row r="1575" spans="1:4" x14ac:dyDescent="0.3">
      <c r="A1575" s="1">
        <v>40175</v>
      </c>
      <c r="B1575">
        <v>1.6003069999999999</v>
      </c>
      <c r="C1575">
        <f t="shared" si="26"/>
        <v>-9.9257318042294878E-4</v>
      </c>
      <c r="D1575">
        <f>(C1575-meanrtn)/stdevrtns</f>
        <v>-0.15648481333215783</v>
      </c>
    </row>
    <row r="1576" spans="1:4" x14ac:dyDescent="0.3">
      <c r="A1576" s="1">
        <v>40176</v>
      </c>
      <c r="B1576">
        <v>1.5904069999999999</v>
      </c>
      <c r="C1576">
        <f t="shared" si="26"/>
        <v>-6.1863130011929092E-3</v>
      </c>
      <c r="D1576">
        <f>(C1576-meanrtn)/stdevrtns</f>
        <v>-1.0172965796273421</v>
      </c>
    </row>
    <row r="1577" spans="1:4" x14ac:dyDescent="0.3">
      <c r="A1577" s="1">
        <v>40177</v>
      </c>
      <c r="B1577">
        <v>1.607588</v>
      </c>
      <c r="C1577">
        <f t="shared" si="26"/>
        <v>1.0802895107981865E-2</v>
      </c>
      <c r="D1577">
        <f>(C1577-meanrtn)/stdevrtns</f>
        <v>1.7984991177102947</v>
      </c>
    </row>
    <row r="1578" spans="1:4" x14ac:dyDescent="0.3">
      <c r="A1578" s="1">
        <v>40178</v>
      </c>
      <c r="B1578">
        <v>1.6182019999999999</v>
      </c>
      <c r="C1578">
        <f t="shared" si="26"/>
        <v>6.6024379380786001E-3</v>
      </c>
      <c r="D1578">
        <f>(C1578-meanrtn)/stdevrtns</f>
        <v>1.1023142720212658</v>
      </c>
    </row>
    <row r="1579" spans="1:4" x14ac:dyDescent="0.3">
      <c r="A1579" s="1">
        <v>40179</v>
      </c>
      <c r="B1579">
        <v>1.613294</v>
      </c>
      <c r="C1579">
        <f t="shared" si="26"/>
        <v>-3.0329958806131203E-3</v>
      </c>
      <c r="D1579">
        <f>(C1579-meanrtn)/stdevrtns</f>
        <v>-0.49466499353978044</v>
      </c>
    </row>
    <row r="1580" spans="1:4" x14ac:dyDescent="0.3">
      <c r="A1580" s="1">
        <v>40182</v>
      </c>
      <c r="B1580">
        <v>1.61137</v>
      </c>
      <c r="C1580">
        <f t="shared" si="26"/>
        <v>-1.1925910590382389E-3</v>
      </c>
      <c r="D1580">
        <f>(C1580-meanrtn)/stdevrtns</f>
        <v>-0.18963582769234941</v>
      </c>
    </row>
    <row r="1581" spans="1:4" x14ac:dyDescent="0.3">
      <c r="A1581" s="1">
        <v>40183</v>
      </c>
      <c r="B1581">
        <v>1.5990789999999999</v>
      </c>
      <c r="C1581">
        <f t="shared" si="26"/>
        <v>-7.627670863923278E-3</v>
      </c>
      <c r="D1581">
        <f>(C1581-meanrtn)/stdevrtns</f>
        <v>-1.2561876004518013</v>
      </c>
    </row>
    <row r="1582" spans="1:4" x14ac:dyDescent="0.3">
      <c r="A1582" s="1">
        <v>40184</v>
      </c>
      <c r="B1582">
        <v>1.602384</v>
      </c>
      <c r="C1582">
        <f t="shared" si="26"/>
        <v>2.0668147102176401E-3</v>
      </c>
      <c r="D1582">
        <f>(C1582-meanrtn)/stdevrtns</f>
        <v>0.35057891816103892</v>
      </c>
    </row>
    <row r="1583" spans="1:4" x14ac:dyDescent="0.3">
      <c r="A1583" s="1">
        <v>40185</v>
      </c>
      <c r="B1583">
        <v>1.593397</v>
      </c>
      <c r="C1583">
        <f t="shared" si="26"/>
        <v>-5.6085183077215434E-3</v>
      </c>
      <c r="D1583">
        <f>(C1583-meanrtn)/stdevrtns</f>
        <v>-0.92153273934907864</v>
      </c>
    </row>
    <row r="1584" spans="1:4" x14ac:dyDescent="0.3">
      <c r="A1584" s="1">
        <v>40186</v>
      </c>
      <c r="B1584">
        <v>1.6024099999999999</v>
      </c>
      <c r="C1584">
        <f t="shared" si="26"/>
        <v>5.656468538600197E-3</v>
      </c>
      <c r="D1584">
        <f>(C1584-meanrtn)/stdevrtns</f>
        <v>0.94552906180149776</v>
      </c>
    </row>
    <row r="1585" spans="1:4" x14ac:dyDescent="0.3">
      <c r="A1585" s="1">
        <v>40189</v>
      </c>
      <c r="B1585">
        <v>1.6112919999999999</v>
      </c>
      <c r="C1585">
        <f t="shared" si="26"/>
        <v>5.5429010053607113E-3</v>
      </c>
      <c r="D1585">
        <f>(C1585-meanrtn)/stdevrtns</f>
        <v>0.92670634979526256</v>
      </c>
    </row>
    <row r="1586" spans="1:4" x14ac:dyDescent="0.3">
      <c r="A1586" s="1">
        <v>40190</v>
      </c>
      <c r="B1586">
        <v>1.61517</v>
      </c>
      <c r="C1586">
        <f t="shared" si="26"/>
        <v>2.4067642612264246E-3</v>
      </c>
      <c r="D1586">
        <f>(C1586-meanrtn)/stdevrtns</f>
        <v>0.40692224369399649</v>
      </c>
    </row>
    <row r="1587" spans="1:4" x14ac:dyDescent="0.3">
      <c r="A1587" s="1">
        <v>40191</v>
      </c>
      <c r="B1587">
        <v>1.628611</v>
      </c>
      <c r="C1587">
        <f t="shared" si="26"/>
        <v>8.321724648179471E-3</v>
      </c>
      <c r="D1587">
        <f>(C1587-meanrtn)/stdevrtns</f>
        <v>1.3872692910946631</v>
      </c>
    </row>
    <row r="1588" spans="1:4" x14ac:dyDescent="0.3">
      <c r="A1588" s="1">
        <v>40192</v>
      </c>
      <c r="B1588">
        <v>1.6334</v>
      </c>
      <c r="C1588">
        <f t="shared" si="26"/>
        <v>2.9405425850617074E-3</v>
      </c>
      <c r="D1588">
        <f>(C1588-meanrtn)/stdevrtns</f>
        <v>0.49539079961072613</v>
      </c>
    </row>
    <row r="1589" spans="1:4" x14ac:dyDescent="0.3">
      <c r="A1589" s="1">
        <v>40193</v>
      </c>
      <c r="B1589">
        <v>1.626995</v>
      </c>
      <c r="C1589">
        <f t="shared" si="26"/>
        <v>-3.9212685196522556E-3</v>
      </c>
      <c r="D1589">
        <f>(C1589-meanrtn)/stdevrtns</f>
        <v>-0.64188752792726678</v>
      </c>
    </row>
    <row r="1590" spans="1:4" x14ac:dyDescent="0.3">
      <c r="A1590" s="1">
        <v>40196</v>
      </c>
      <c r="B1590">
        <v>1.6352960000000001</v>
      </c>
      <c r="C1590">
        <f t="shared" si="26"/>
        <v>5.1020439521941453E-3</v>
      </c>
      <c r="D1590">
        <f>(C1590-meanrtn)/stdevrtns</f>
        <v>0.85363858904560252</v>
      </c>
    </row>
    <row r="1591" spans="1:4" x14ac:dyDescent="0.3">
      <c r="A1591" s="1">
        <v>40197</v>
      </c>
      <c r="B1591">
        <v>1.6356710000000001</v>
      </c>
      <c r="C1591">
        <f t="shared" si="26"/>
        <v>2.2931628280140978E-4</v>
      </c>
      <c r="D1591">
        <f>(C1591-meanrtn)/stdevrtns</f>
        <v>4.6031458824830021E-2</v>
      </c>
    </row>
    <row r="1592" spans="1:4" x14ac:dyDescent="0.3">
      <c r="A1592" s="1">
        <v>40198</v>
      </c>
      <c r="B1592">
        <v>1.6298060000000001</v>
      </c>
      <c r="C1592">
        <f t="shared" si="26"/>
        <v>-3.5856844071943616E-3</v>
      </c>
      <c r="D1592">
        <f>(C1592-meanrtn)/stdevrtns</f>
        <v>-0.58626773129628029</v>
      </c>
    </row>
    <row r="1593" spans="1:4" x14ac:dyDescent="0.3">
      <c r="A1593" s="1">
        <v>40199</v>
      </c>
      <c r="B1593">
        <v>1.620509</v>
      </c>
      <c r="C1593">
        <f t="shared" si="26"/>
        <v>-5.7043599054121229E-3</v>
      </c>
      <c r="D1593">
        <f>(C1593-meanrtn)/stdevrtns</f>
        <v>-0.93741755026368268</v>
      </c>
    </row>
    <row r="1594" spans="1:4" x14ac:dyDescent="0.3">
      <c r="A1594" s="1">
        <v>40200</v>
      </c>
      <c r="B1594">
        <v>1.6110059999999999</v>
      </c>
      <c r="C1594">
        <f t="shared" si="26"/>
        <v>-5.8642068633991164E-3</v>
      </c>
      <c r="D1594">
        <f>(C1594-meanrtn)/stdevrtns</f>
        <v>-0.96391062596443988</v>
      </c>
    </row>
    <row r="1595" spans="1:4" x14ac:dyDescent="0.3">
      <c r="A1595" s="1">
        <v>40203</v>
      </c>
      <c r="B1595">
        <v>1.6250119999999999</v>
      </c>
      <c r="C1595">
        <f t="shared" si="26"/>
        <v>8.6939465154071208E-3</v>
      </c>
      <c r="D1595">
        <f>(C1595-meanrtn)/stdevrtns</f>
        <v>1.4489614385720129</v>
      </c>
    </row>
    <row r="1596" spans="1:4" x14ac:dyDescent="0.3">
      <c r="A1596" s="1">
        <v>40204</v>
      </c>
      <c r="B1596">
        <v>1.6147</v>
      </c>
      <c r="C1596">
        <f t="shared" si="26"/>
        <v>-6.3457992925589953E-3</v>
      </c>
      <c r="D1596">
        <f>(C1596-meanrtn)/stdevrtns</f>
        <v>-1.0437298783501026</v>
      </c>
    </row>
    <row r="1597" spans="1:4" x14ac:dyDescent="0.3">
      <c r="A1597" s="1">
        <v>40205</v>
      </c>
      <c r="B1597">
        <v>1.6178090000000001</v>
      </c>
      <c r="C1597">
        <f t="shared" si="26"/>
        <v>1.9254350653372318E-3</v>
      </c>
      <c r="D1597">
        <f>(C1597-meanrtn)/stdevrtns</f>
        <v>0.32714661965794445</v>
      </c>
    </row>
    <row r="1598" spans="1:4" x14ac:dyDescent="0.3">
      <c r="A1598" s="1">
        <v>40206</v>
      </c>
      <c r="B1598">
        <v>1.614309</v>
      </c>
      <c r="C1598">
        <f t="shared" si="26"/>
        <v>-2.1634197856484037E-3</v>
      </c>
      <c r="D1598">
        <f>(C1598-meanrtn)/stdevrtns</f>
        <v>-0.35054122914919589</v>
      </c>
    </row>
    <row r="1599" spans="1:4" x14ac:dyDescent="0.3">
      <c r="A1599" s="1">
        <v>40207</v>
      </c>
      <c r="B1599">
        <v>1.5984910000000001</v>
      </c>
      <c r="C1599">
        <f t="shared" si="26"/>
        <v>-9.7986197190252228E-3</v>
      </c>
      <c r="D1599">
        <f>(C1599-meanrtn)/stdevrtns</f>
        <v>-1.616001218959124</v>
      </c>
    </row>
    <row r="1600" spans="1:4" x14ac:dyDescent="0.3">
      <c r="A1600" s="1">
        <v>40210</v>
      </c>
      <c r="B1600">
        <v>1.595253</v>
      </c>
      <c r="C1600">
        <f t="shared" si="26"/>
        <v>-2.0256604510129079E-3</v>
      </c>
      <c r="D1600">
        <f>(C1600-meanrtn)/stdevrtns</f>
        <v>-0.3277089617920585</v>
      </c>
    </row>
    <row r="1601" spans="1:4" x14ac:dyDescent="0.3">
      <c r="A1601" s="1">
        <v>40211</v>
      </c>
      <c r="B1601">
        <v>1.599207</v>
      </c>
      <c r="C1601">
        <f t="shared" si="26"/>
        <v>2.4786037073743243E-3</v>
      </c>
      <c r="D1601">
        <f>(C1601-meanrtn)/stdevrtns</f>
        <v>0.41882893187289599</v>
      </c>
    </row>
    <row r="1602" spans="1:4" x14ac:dyDescent="0.3">
      <c r="A1602" s="1">
        <v>40212</v>
      </c>
      <c r="B1602">
        <v>1.5920019999999999</v>
      </c>
      <c r="C1602">
        <f t="shared" si="26"/>
        <v>-4.505357968042991E-3</v>
      </c>
      <c r="D1602">
        <f>(C1602-meanrtn)/stdevrtns</f>
        <v>-0.73869466249587346</v>
      </c>
    </row>
    <row r="1603" spans="1:4" x14ac:dyDescent="0.3">
      <c r="A1603" s="1">
        <v>40213</v>
      </c>
      <c r="B1603">
        <v>1.576989</v>
      </c>
      <c r="C1603">
        <f t="shared" si="26"/>
        <v>-9.4302645348435139E-3</v>
      </c>
      <c r="D1603">
        <f>(C1603-meanrtn)/stdevrtns</f>
        <v>-1.5549499365187884</v>
      </c>
    </row>
    <row r="1604" spans="1:4" x14ac:dyDescent="0.3">
      <c r="A1604" s="1">
        <v>40214</v>
      </c>
      <c r="B1604">
        <v>1.5658030000000001</v>
      </c>
      <c r="C1604">
        <f t="shared" ref="C1604:C1667" si="27">(B1604-B1603)/B1603</f>
        <v>-7.0932644425547153E-3</v>
      </c>
      <c r="D1604">
        <f>(C1604-meanrtn)/stdevrtns</f>
        <v>-1.1676149434892578</v>
      </c>
    </row>
    <row r="1605" spans="1:4" x14ac:dyDescent="0.3">
      <c r="A1605" s="1">
        <v>40217</v>
      </c>
      <c r="B1605">
        <v>1.5576080000000001</v>
      </c>
      <c r="C1605">
        <f t="shared" si="27"/>
        <v>-5.2337363001603342E-3</v>
      </c>
      <c r="D1605">
        <f>(C1605-meanrtn)/stdevrtns</f>
        <v>-0.85941627355803862</v>
      </c>
    </row>
    <row r="1606" spans="1:4" x14ac:dyDescent="0.3">
      <c r="A1606" s="1">
        <v>40218</v>
      </c>
      <c r="B1606">
        <v>1.569391</v>
      </c>
      <c r="C1606">
        <f t="shared" si="27"/>
        <v>7.564804495097532E-3</v>
      </c>
      <c r="D1606">
        <f>(C1606-meanrtn)/stdevrtns</f>
        <v>1.2618171513256957</v>
      </c>
    </row>
    <row r="1607" spans="1:4" x14ac:dyDescent="0.3">
      <c r="A1607" s="1">
        <v>40219</v>
      </c>
      <c r="B1607">
        <v>1.561207</v>
      </c>
      <c r="C1607">
        <f t="shared" si="27"/>
        <v>-5.2147616495825258E-3</v>
      </c>
      <c r="D1607">
        <f>(C1607-meanrtn)/stdevrtns</f>
        <v>-0.85627141011813379</v>
      </c>
    </row>
    <row r="1608" spans="1:4" x14ac:dyDescent="0.3">
      <c r="A1608" s="1">
        <v>40220</v>
      </c>
      <c r="B1608">
        <v>1.5702039999999999</v>
      </c>
      <c r="C1608">
        <f t="shared" si="27"/>
        <v>5.7628488726990858E-3</v>
      </c>
      <c r="D1608">
        <f>(C1608-meanrtn)/stdevrtns</f>
        <v>0.96316056558390339</v>
      </c>
    </row>
    <row r="1609" spans="1:4" x14ac:dyDescent="0.3">
      <c r="A1609" s="1">
        <v>40221</v>
      </c>
      <c r="B1609">
        <v>1.569809</v>
      </c>
      <c r="C1609">
        <f t="shared" si="27"/>
        <v>-2.515596699536641E-4</v>
      </c>
      <c r="D1609">
        <f>(C1609-meanrtn)/stdevrtns</f>
        <v>-3.3669044578247348E-2</v>
      </c>
    </row>
    <row r="1610" spans="1:4" x14ac:dyDescent="0.3">
      <c r="A1610" s="1">
        <v>40224</v>
      </c>
      <c r="B1610">
        <v>1.566711</v>
      </c>
      <c r="C1610">
        <f t="shared" si="27"/>
        <v>-1.9734884944601827E-3</v>
      </c>
      <c r="D1610">
        <f>(C1610-meanrtn)/stdevrtns</f>
        <v>-0.31906196836900924</v>
      </c>
    </row>
    <row r="1611" spans="1:4" x14ac:dyDescent="0.3">
      <c r="A1611" s="1">
        <v>40225</v>
      </c>
      <c r="B1611">
        <v>1.579005</v>
      </c>
      <c r="C1611">
        <f t="shared" si="27"/>
        <v>7.8470119888096965E-3</v>
      </c>
      <c r="D1611">
        <f>(C1611-meanrtn)/stdevrtns</f>
        <v>1.3085902935136484</v>
      </c>
    </row>
    <row r="1612" spans="1:4" x14ac:dyDescent="0.3">
      <c r="A1612" s="1">
        <v>40226</v>
      </c>
      <c r="B1612">
        <v>1.568209</v>
      </c>
      <c r="C1612">
        <f t="shared" si="27"/>
        <v>-6.8372171082422334E-3</v>
      </c>
      <c r="D1612">
        <f>(C1612-meanrtn)/stdevrtns</f>
        <v>-1.125177592811182</v>
      </c>
    </row>
    <row r="1613" spans="1:4" x14ac:dyDescent="0.3">
      <c r="A1613" s="1">
        <v>40227</v>
      </c>
      <c r="B1613">
        <v>1.542305</v>
      </c>
      <c r="C1613">
        <f t="shared" si="27"/>
        <v>-1.6518206438044882E-2</v>
      </c>
      <c r="D1613">
        <f>(C1613-meanrtn)/stdevrtns</f>
        <v>-2.7297072404354683</v>
      </c>
    </row>
    <row r="1614" spans="1:4" x14ac:dyDescent="0.3">
      <c r="A1614" s="1">
        <v>40228</v>
      </c>
      <c r="B1614">
        <v>1.546408</v>
      </c>
      <c r="C1614">
        <f t="shared" si="27"/>
        <v>2.6603038957923159E-3</v>
      </c>
      <c r="D1614">
        <f>(C1614-meanrtn)/stdevrtns</f>
        <v>0.44894396757467897</v>
      </c>
    </row>
    <row r="1615" spans="1:4" x14ac:dyDescent="0.3">
      <c r="A1615" s="1">
        <v>40231</v>
      </c>
      <c r="B1615">
        <v>1.548659</v>
      </c>
      <c r="C1615">
        <f t="shared" si="27"/>
        <v>1.4556313728330448E-3</v>
      </c>
      <c r="D1615">
        <f>(C1615-meanrtn)/stdevrtns</f>
        <v>0.24928123550079667</v>
      </c>
    </row>
    <row r="1616" spans="1:4" x14ac:dyDescent="0.3">
      <c r="A1616" s="1">
        <v>40232</v>
      </c>
      <c r="B1616">
        <v>1.544592</v>
      </c>
      <c r="C1616">
        <f t="shared" si="27"/>
        <v>-2.6261430050127516E-3</v>
      </c>
      <c r="D1616">
        <f>(C1616-meanrtn)/stdevrtns</f>
        <v>-0.42723309387717689</v>
      </c>
    </row>
    <row r="1617" spans="1:4" x14ac:dyDescent="0.3">
      <c r="A1617" s="1">
        <v>40233</v>
      </c>
      <c r="B1617">
        <v>1.5417110000000001</v>
      </c>
      <c r="C1617">
        <f t="shared" si="27"/>
        <v>-1.8652174813801388E-3</v>
      </c>
      <c r="D1617">
        <f>(C1617-meanrtn)/stdevrtns</f>
        <v>-0.30111710296868877</v>
      </c>
    </row>
    <row r="1618" spans="1:4" x14ac:dyDescent="0.3">
      <c r="A1618" s="1">
        <v>40234</v>
      </c>
      <c r="B1618">
        <v>1.5243899999999999</v>
      </c>
      <c r="C1618">
        <f t="shared" si="27"/>
        <v>-1.1234920163377016E-2</v>
      </c>
      <c r="D1618">
        <f>(C1618-meanrtn)/stdevrtns</f>
        <v>-1.8540540219679844</v>
      </c>
    </row>
    <row r="1619" spans="1:4" x14ac:dyDescent="0.3">
      <c r="A1619" s="1">
        <v>40235</v>
      </c>
      <c r="B1619">
        <v>1.5239020000000001</v>
      </c>
      <c r="C1619">
        <f t="shared" si="27"/>
        <v>-3.201280512203714E-4</v>
      </c>
      <c r="D1619">
        <f>(C1619-meanrtn)/stdevrtns</f>
        <v>-4.5033585627099061E-2</v>
      </c>
    </row>
    <row r="1620" spans="1:4" x14ac:dyDescent="0.3">
      <c r="A1620" s="1">
        <v>40238</v>
      </c>
      <c r="B1620">
        <v>1.497881</v>
      </c>
      <c r="C1620">
        <f t="shared" si="27"/>
        <v>-1.7075244996069348E-2</v>
      </c>
      <c r="D1620">
        <f>(C1620-meanrtn)/stdevrtns</f>
        <v>-2.822030953515974</v>
      </c>
    </row>
    <row r="1621" spans="1:4" x14ac:dyDescent="0.3">
      <c r="A1621" s="1">
        <v>40239</v>
      </c>
      <c r="B1621">
        <v>1.50281</v>
      </c>
      <c r="C1621">
        <f t="shared" si="27"/>
        <v>3.2906485895741792E-3</v>
      </c>
      <c r="D1621">
        <f>(C1621-meanrtn)/stdevrtns</f>
        <v>0.55341745834509692</v>
      </c>
    </row>
    <row r="1622" spans="1:4" x14ac:dyDescent="0.3">
      <c r="A1622" s="1">
        <v>40240</v>
      </c>
      <c r="B1622">
        <v>1.5103</v>
      </c>
      <c r="C1622">
        <f t="shared" si="27"/>
        <v>4.9839966462826282E-3</v>
      </c>
      <c r="D1622">
        <f>(C1622-meanrtn)/stdevrtns</f>
        <v>0.8340733983709151</v>
      </c>
    </row>
    <row r="1623" spans="1:4" x14ac:dyDescent="0.3">
      <c r="A1623" s="1">
        <v>40241</v>
      </c>
      <c r="B1623">
        <v>1.503601</v>
      </c>
      <c r="C1623">
        <f t="shared" si="27"/>
        <v>-4.4355426074289949E-3</v>
      </c>
      <c r="D1623">
        <f>(C1623-meanrtn)/stdevrtns</f>
        <v>-0.72712344677106266</v>
      </c>
    </row>
    <row r="1624" spans="1:4" x14ac:dyDescent="0.3">
      <c r="A1624" s="1">
        <v>40242</v>
      </c>
      <c r="B1624">
        <v>1.5132939999999999</v>
      </c>
      <c r="C1624">
        <f t="shared" si="27"/>
        <v>6.4465240446102074E-3</v>
      </c>
      <c r="D1624">
        <f>(C1624-meanrtn)/stdevrtns</f>
        <v>1.0764730634397799</v>
      </c>
    </row>
    <row r="1625" spans="1:4" x14ac:dyDescent="0.3">
      <c r="A1625" s="1">
        <v>40245</v>
      </c>
      <c r="B1625">
        <v>1.504189</v>
      </c>
      <c r="C1625">
        <f t="shared" si="27"/>
        <v>-6.0166762043594429E-3</v>
      </c>
      <c r="D1625">
        <f>(C1625-meanrtn)/stdevrtns</f>
        <v>-0.98918093353222714</v>
      </c>
    </row>
    <row r="1626" spans="1:4" x14ac:dyDescent="0.3">
      <c r="A1626" s="1">
        <v>40246</v>
      </c>
      <c r="B1626">
        <v>1.5016370000000001</v>
      </c>
      <c r="C1626">
        <f t="shared" si="27"/>
        <v>-1.696595308169311E-3</v>
      </c>
      <c r="D1626">
        <f>(C1626-meanrtn)/stdevrtns</f>
        <v>-0.2731696208522999</v>
      </c>
    </row>
    <row r="1627" spans="1:4" x14ac:dyDescent="0.3">
      <c r="A1627" s="1">
        <v>40247</v>
      </c>
      <c r="B1627">
        <v>1.4970060000000001</v>
      </c>
      <c r="C1627">
        <f t="shared" si="27"/>
        <v>-3.083967696587159E-3</v>
      </c>
      <c r="D1627">
        <f>(C1627-meanrtn)/stdevrtns</f>
        <v>-0.50311307535635874</v>
      </c>
    </row>
    <row r="1628" spans="1:4" x14ac:dyDescent="0.3">
      <c r="A1628" s="1">
        <v>40248</v>
      </c>
      <c r="B1628">
        <v>1.5072049999999999</v>
      </c>
      <c r="C1628">
        <f t="shared" si="27"/>
        <v>6.8129319454964419E-3</v>
      </c>
      <c r="D1628">
        <f>(C1628-meanrtn)/stdevrtns</f>
        <v>1.1372016026486675</v>
      </c>
    </row>
    <row r="1629" spans="1:4" x14ac:dyDescent="0.3">
      <c r="A1629" s="1">
        <v>40249</v>
      </c>
      <c r="B1629">
        <v>1.5216069999999999</v>
      </c>
      <c r="C1629">
        <f t="shared" si="27"/>
        <v>9.5554353920004418E-3</v>
      </c>
      <c r="D1629">
        <f>(C1629-meanrtn)/stdevrtns</f>
        <v>1.5917448253212576</v>
      </c>
    </row>
    <row r="1630" spans="1:4" x14ac:dyDescent="0.3">
      <c r="A1630" s="1">
        <v>40252</v>
      </c>
      <c r="B1630">
        <v>1.5054350000000001</v>
      </c>
      <c r="C1630">
        <f t="shared" si="27"/>
        <v>-1.0628237120360155E-2</v>
      </c>
      <c r="D1630">
        <f>(C1630-meanrtn)/stdevrtns</f>
        <v>-1.7535022192472889</v>
      </c>
    </row>
    <row r="1631" spans="1:4" x14ac:dyDescent="0.3">
      <c r="A1631" s="1">
        <v>40253</v>
      </c>
      <c r="B1631">
        <v>1.523693</v>
      </c>
      <c r="C1631">
        <f t="shared" si="27"/>
        <v>1.2128056010388947E-2</v>
      </c>
      <c r="D1631">
        <f>(C1631-meanrtn)/stdevrtns</f>
        <v>2.0181316246111223</v>
      </c>
    </row>
    <row r="1632" spans="1:4" x14ac:dyDescent="0.3">
      <c r="A1632" s="1">
        <v>40254</v>
      </c>
      <c r="B1632">
        <v>1.531792</v>
      </c>
      <c r="C1632">
        <f t="shared" si="27"/>
        <v>5.3153752100981487E-3</v>
      </c>
      <c r="D1632">
        <f>(C1632-meanrtn)/stdevrtns</f>
        <v>0.88899616629426315</v>
      </c>
    </row>
    <row r="1633" spans="1:4" x14ac:dyDescent="0.3">
      <c r="A1633" s="1">
        <v>40255</v>
      </c>
      <c r="B1633">
        <v>1.5253669999999999</v>
      </c>
      <c r="C1633">
        <f t="shared" si="27"/>
        <v>-4.1944337090154046E-3</v>
      </c>
      <c r="D1633">
        <f>(C1633-meanrtn)/stdevrtns</f>
        <v>-0.68716199627966701</v>
      </c>
    </row>
    <row r="1634" spans="1:4" x14ac:dyDescent="0.3">
      <c r="A1634" s="1">
        <v>40256</v>
      </c>
      <c r="B1634">
        <v>1.501795</v>
      </c>
      <c r="C1634">
        <f t="shared" si="27"/>
        <v>-1.5453330247737054E-2</v>
      </c>
      <c r="D1634">
        <f>(C1634-meanrtn)/stdevrtns</f>
        <v>-2.5532143882908889</v>
      </c>
    </row>
    <row r="1635" spans="1:4" x14ac:dyDescent="0.3">
      <c r="A1635" s="1">
        <v>40259</v>
      </c>
      <c r="B1635">
        <v>1.510802</v>
      </c>
      <c r="C1635">
        <f t="shared" si="27"/>
        <v>5.997489670694061E-3</v>
      </c>
      <c r="D1635">
        <f>(C1635-meanrtn)/stdevrtns</f>
        <v>1.0020499914575742</v>
      </c>
    </row>
    <row r="1636" spans="1:4" x14ac:dyDescent="0.3">
      <c r="A1636" s="1">
        <v>40260</v>
      </c>
      <c r="B1636">
        <v>1.5021329999999999</v>
      </c>
      <c r="C1636">
        <f t="shared" si="27"/>
        <v>-5.7380119962774992E-3</v>
      </c>
      <c r="D1636">
        <f>(C1636-meanrtn)/stdevrtns</f>
        <v>-0.94299505641089199</v>
      </c>
    </row>
    <row r="1637" spans="1:4" x14ac:dyDescent="0.3">
      <c r="A1637" s="1">
        <v>40261</v>
      </c>
      <c r="B1637">
        <v>1.4898910000000001</v>
      </c>
      <c r="C1637">
        <f t="shared" si="27"/>
        <v>-8.1497443968009918E-3</v>
      </c>
      <c r="D1637">
        <f>(C1637-meanrtn)/stdevrtns</f>
        <v>-1.3427162013214937</v>
      </c>
    </row>
    <row r="1638" spans="1:4" x14ac:dyDescent="0.3">
      <c r="A1638" s="1">
        <v>40262</v>
      </c>
      <c r="B1638">
        <v>1.484494</v>
      </c>
      <c r="C1638">
        <f t="shared" si="27"/>
        <v>-3.6224126462943234E-3</v>
      </c>
      <c r="D1638">
        <f>(C1638-meanrtn)/stdevrtns</f>
        <v>-0.59235507903867501</v>
      </c>
    </row>
    <row r="1639" spans="1:4" x14ac:dyDescent="0.3">
      <c r="A1639" s="1">
        <v>40263</v>
      </c>
      <c r="B1639">
        <v>1.4898020000000001</v>
      </c>
      <c r="C1639">
        <f t="shared" si="27"/>
        <v>3.5756291369315675E-3</v>
      </c>
      <c r="D1639">
        <f>(C1639-meanrtn)/stdevrtns</f>
        <v>0.60065020715347184</v>
      </c>
    </row>
    <row r="1640" spans="1:4" x14ac:dyDescent="0.3">
      <c r="A1640" s="1">
        <v>40266</v>
      </c>
      <c r="B1640">
        <v>1.4981949999999999</v>
      </c>
      <c r="C1640">
        <f t="shared" si="27"/>
        <v>5.6336345366698876E-3</v>
      </c>
      <c r="D1640">
        <f>(C1640-meanrtn)/stdevrtns</f>
        <v>0.94174454848132461</v>
      </c>
    </row>
    <row r="1641" spans="1:4" x14ac:dyDescent="0.3">
      <c r="A1641" s="1">
        <v>40267</v>
      </c>
      <c r="B1641">
        <v>1.507409</v>
      </c>
      <c r="C1641">
        <f t="shared" si="27"/>
        <v>6.1500672475879679E-3</v>
      </c>
      <c r="D1641">
        <f>(C1641-meanrtn)/stdevrtns</f>
        <v>1.0273382380766767</v>
      </c>
    </row>
    <row r="1642" spans="1:4" x14ac:dyDescent="0.3">
      <c r="A1642" s="1">
        <v>40268</v>
      </c>
      <c r="B1642">
        <v>1.5183720000000001</v>
      </c>
      <c r="C1642">
        <f t="shared" si="27"/>
        <v>7.2727441590172649E-3</v>
      </c>
      <c r="D1642">
        <f>(C1642-meanrtn)/stdevrtns</f>
        <v>1.213410996523596</v>
      </c>
    </row>
    <row r="1643" spans="1:4" x14ac:dyDescent="0.3">
      <c r="A1643" s="1">
        <v>40269</v>
      </c>
      <c r="B1643">
        <v>1.5291920000000001</v>
      </c>
      <c r="C1643">
        <f t="shared" si="27"/>
        <v>7.1260534309115628E-3</v>
      </c>
      <c r="D1643">
        <f>(C1643-meanrtn)/stdevrtns</f>
        <v>1.1890984377283276</v>
      </c>
    </row>
    <row r="1644" spans="1:4" x14ac:dyDescent="0.3">
      <c r="A1644" s="1">
        <v>40270</v>
      </c>
      <c r="B1644">
        <v>1.5210049999999999</v>
      </c>
      <c r="C1644">
        <f t="shared" si="27"/>
        <v>-5.3538077625309094E-3</v>
      </c>
      <c r="D1644">
        <f>(C1644-meanrtn)/stdevrtns</f>
        <v>-0.87931694844196795</v>
      </c>
    </row>
    <row r="1645" spans="1:4" x14ac:dyDescent="0.3">
      <c r="A1645" s="1">
        <v>40273</v>
      </c>
      <c r="B1645">
        <v>1.5298</v>
      </c>
      <c r="C1645">
        <f t="shared" si="27"/>
        <v>5.7823610047304961E-3</v>
      </c>
      <c r="D1645">
        <f>(C1645-meanrtn)/stdevrtns</f>
        <v>0.96639451133739962</v>
      </c>
    </row>
    <row r="1646" spans="1:4" x14ac:dyDescent="0.3">
      <c r="A1646" s="1">
        <v>40274</v>
      </c>
      <c r="B1646">
        <v>1.527091</v>
      </c>
      <c r="C1646">
        <f t="shared" si="27"/>
        <v>-1.7708197149954715E-3</v>
      </c>
      <c r="D1646">
        <f>(C1646-meanrtn)/stdevrtns</f>
        <v>-0.28547159302401481</v>
      </c>
    </row>
    <row r="1647" spans="1:4" x14ac:dyDescent="0.3">
      <c r="A1647" s="1">
        <v>40275</v>
      </c>
      <c r="B1647">
        <v>1.5242039999999999</v>
      </c>
      <c r="C1647">
        <f t="shared" si="27"/>
        <v>-1.8905225687271315E-3</v>
      </c>
      <c r="D1647">
        <f>(C1647-meanrtn)/stdevrtns</f>
        <v>-0.30531117461785146</v>
      </c>
    </row>
    <row r="1648" spans="1:4" x14ac:dyDescent="0.3">
      <c r="A1648" s="1">
        <v>40276</v>
      </c>
      <c r="B1648">
        <v>1.5283040000000001</v>
      </c>
      <c r="C1648">
        <f t="shared" si="27"/>
        <v>2.6899286447222386E-3</v>
      </c>
      <c r="D1648">
        <f>(C1648-meanrtn)/stdevrtns</f>
        <v>0.45385398103943458</v>
      </c>
    </row>
    <row r="1649" spans="1:4" x14ac:dyDescent="0.3">
      <c r="A1649" s="1">
        <v>40277</v>
      </c>
      <c r="B1649">
        <v>1.536996</v>
      </c>
      <c r="C1649">
        <f t="shared" si="27"/>
        <v>5.6873501607009611E-3</v>
      </c>
      <c r="D1649">
        <f>(C1649-meanrtn)/stdevrtns</f>
        <v>0.95064738974705865</v>
      </c>
    </row>
    <row r="1650" spans="1:4" x14ac:dyDescent="0.3">
      <c r="A1650" s="1">
        <v>40280</v>
      </c>
      <c r="B1650">
        <v>1.5373969999999999</v>
      </c>
      <c r="C1650">
        <f t="shared" si="27"/>
        <v>2.6089853194144529E-4</v>
      </c>
      <c r="D1650">
        <f>(C1650-meanrtn)/stdevrtns</f>
        <v>5.1265908875078821E-2</v>
      </c>
    </row>
    <row r="1651" spans="1:4" x14ac:dyDescent="0.3">
      <c r="A1651" s="1">
        <v>40281</v>
      </c>
      <c r="B1651">
        <v>1.5377749999999999</v>
      </c>
      <c r="C1651">
        <f t="shared" si="27"/>
        <v>2.4587012983633339E-4</v>
      </c>
      <c r="D1651">
        <f>(C1651-meanrtn)/stdevrtns</f>
        <v>4.8775097666369137E-2</v>
      </c>
    </row>
    <row r="1652" spans="1:4" x14ac:dyDescent="0.3">
      <c r="A1652" s="1">
        <v>40282</v>
      </c>
      <c r="B1652">
        <v>1.547221</v>
      </c>
      <c r="C1652">
        <f t="shared" si="27"/>
        <v>6.1426411536148438E-3</v>
      </c>
      <c r="D1652">
        <f>(C1652-meanrtn)/stdevrtns</f>
        <v>1.0261074353622019</v>
      </c>
    </row>
    <row r="1653" spans="1:4" x14ac:dyDescent="0.3">
      <c r="A1653" s="1">
        <v>40283</v>
      </c>
      <c r="B1653">
        <v>1.546551</v>
      </c>
      <c r="C1653">
        <f t="shared" si="27"/>
        <v>-4.3303445338445406E-4</v>
      </c>
      <c r="D1653">
        <f>(C1653-meanrtn)/stdevrtns</f>
        <v>-6.3746721599799758E-2</v>
      </c>
    </row>
    <row r="1654" spans="1:4" x14ac:dyDescent="0.3">
      <c r="A1654" s="1">
        <v>40284</v>
      </c>
      <c r="B1654">
        <v>1.536405</v>
      </c>
      <c r="C1654">
        <f t="shared" si="27"/>
        <v>-6.5604044095538966E-3</v>
      </c>
      <c r="D1654">
        <f>(C1654-meanrtn)/stdevrtns</f>
        <v>-1.079298585330303</v>
      </c>
    </row>
    <row r="1655" spans="1:4" x14ac:dyDescent="0.3">
      <c r="A1655" s="1">
        <v>40287</v>
      </c>
      <c r="B1655">
        <v>1.533531</v>
      </c>
      <c r="C1655">
        <f t="shared" si="27"/>
        <v>-1.8706005252521589E-3</v>
      </c>
      <c r="D1655">
        <f>(C1655-meanrtn)/stdevrtns</f>
        <v>-0.30200929003685634</v>
      </c>
    </row>
    <row r="1656" spans="1:4" x14ac:dyDescent="0.3">
      <c r="A1656" s="1">
        <v>40288</v>
      </c>
      <c r="B1656">
        <v>1.5363819999999999</v>
      </c>
      <c r="C1656">
        <f t="shared" si="27"/>
        <v>1.8591081627954943E-3</v>
      </c>
      <c r="D1656">
        <f>(C1656-meanrtn)/stdevrtns</f>
        <v>0.31615358186627135</v>
      </c>
    </row>
    <row r="1657" spans="1:4" x14ac:dyDescent="0.3">
      <c r="A1657" s="1">
        <v>40289</v>
      </c>
      <c r="B1657">
        <v>1.541331</v>
      </c>
      <c r="C1657">
        <f t="shared" si="27"/>
        <v>3.2212041015841713E-3</v>
      </c>
      <c r="D1657">
        <f>(C1657-meanrtn)/stdevrtns</f>
        <v>0.54190771114384395</v>
      </c>
    </row>
    <row r="1658" spans="1:4" x14ac:dyDescent="0.3">
      <c r="A1658" s="1">
        <v>40290</v>
      </c>
      <c r="B1658">
        <v>1.5373969999999999</v>
      </c>
      <c r="C1658">
        <f t="shared" si="27"/>
        <v>-2.5523395039742302E-3</v>
      </c>
      <c r="D1658">
        <f>(C1658-meanrtn)/stdevrtns</f>
        <v>-0.41500088273836028</v>
      </c>
    </row>
    <row r="1659" spans="1:4" x14ac:dyDescent="0.3">
      <c r="A1659" s="1">
        <v>40291</v>
      </c>
      <c r="B1659">
        <v>1.5382009999999999</v>
      </c>
      <c r="C1659">
        <f t="shared" si="27"/>
        <v>5.2296186346143967E-4</v>
      </c>
      <c r="D1659">
        <f>(C1659-meanrtn)/stdevrtns</f>
        <v>9.4700352469036908E-2</v>
      </c>
    </row>
    <row r="1660" spans="1:4" x14ac:dyDescent="0.3">
      <c r="A1660" s="1">
        <v>40294</v>
      </c>
      <c r="B1660">
        <v>1.5467900000000001</v>
      </c>
      <c r="C1660">
        <f t="shared" si="27"/>
        <v>5.5837956157876508E-3</v>
      </c>
      <c r="D1660">
        <f>(C1660-meanrtn)/stdevrtns</f>
        <v>0.93348423298702177</v>
      </c>
    </row>
    <row r="1661" spans="1:4" x14ac:dyDescent="0.3">
      <c r="A1661" s="1">
        <v>40295</v>
      </c>
      <c r="B1661">
        <v>1.524762</v>
      </c>
      <c r="C1661">
        <f t="shared" si="27"/>
        <v>-1.4241105773893132E-2</v>
      </c>
      <c r="D1661">
        <f>(C1661-meanrtn)/stdevrtns</f>
        <v>-2.3522999939458251</v>
      </c>
    </row>
    <row r="1662" spans="1:4" x14ac:dyDescent="0.3">
      <c r="A1662" s="1">
        <v>40296</v>
      </c>
      <c r="B1662">
        <v>1.520427</v>
      </c>
      <c r="C1662">
        <f t="shared" si="27"/>
        <v>-2.8430666556485394E-3</v>
      </c>
      <c r="D1662">
        <f>(C1662-meanrtn)/stdevrtns</f>
        <v>-0.46318607521602834</v>
      </c>
    </row>
    <row r="1663" spans="1:4" x14ac:dyDescent="0.3">
      <c r="A1663" s="1">
        <v>40297</v>
      </c>
      <c r="B1663">
        <v>1.5356030000000001</v>
      </c>
      <c r="C1663">
        <f t="shared" si="27"/>
        <v>9.9814065390841384E-3</v>
      </c>
      <c r="D1663">
        <f>(C1663-meanrtn)/stdevrtns</f>
        <v>1.6623453921893807</v>
      </c>
    </row>
    <row r="1664" spans="1:4" x14ac:dyDescent="0.3">
      <c r="A1664" s="1">
        <v>40298</v>
      </c>
      <c r="B1664">
        <v>1.530011</v>
      </c>
      <c r="C1664">
        <f t="shared" si="27"/>
        <v>-3.6415662121004199E-3</v>
      </c>
      <c r="D1664">
        <f>(C1664-meanrtn)/stdevrtns</f>
        <v>-0.59552959593427746</v>
      </c>
    </row>
    <row r="1665" spans="1:4" x14ac:dyDescent="0.3">
      <c r="A1665" s="1">
        <v>40301</v>
      </c>
      <c r="B1665">
        <v>1.5249250000000001</v>
      </c>
      <c r="C1665">
        <f t="shared" si="27"/>
        <v>-3.3241591073527731E-3</v>
      </c>
      <c r="D1665">
        <f>(C1665-meanrtn)/stdevrtns</f>
        <v>-0.54292246121031329</v>
      </c>
    </row>
    <row r="1666" spans="1:4" x14ac:dyDescent="0.3">
      <c r="A1666" s="1">
        <v>40302</v>
      </c>
      <c r="B1666">
        <v>1.512791</v>
      </c>
      <c r="C1666">
        <f t="shared" si="27"/>
        <v>-7.9571126448842334E-3</v>
      </c>
      <c r="D1666">
        <f>(C1666-meanrtn)/stdevrtns</f>
        <v>-1.3107893654894636</v>
      </c>
    </row>
    <row r="1667" spans="1:4" x14ac:dyDescent="0.3">
      <c r="A1667" s="1">
        <v>40303</v>
      </c>
      <c r="B1667">
        <v>1.5097989999999999</v>
      </c>
      <c r="C1667">
        <f t="shared" si="27"/>
        <v>-1.9778012957507719E-3</v>
      </c>
      <c r="D1667">
        <f>(C1667-meanrtn)/stdevrtns</f>
        <v>-0.31977677315799496</v>
      </c>
    </row>
    <row r="1668" spans="1:4" x14ac:dyDescent="0.3">
      <c r="A1668" s="1">
        <v>40304</v>
      </c>
      <c r="B1668">
        <v>1.4863919999999999</v>
      </c>
      <c r="C1668">
        <f t="shared" ref="C1668:C1731" si="28">(B1668-B1667)/B1667</f>
        <v>-1.5503388199356309E-2</v>
      </c>
      <c r="D1668">
        <f>(C1668-meanrtn)/stdevrtns</f>
        <v>-2.5615110059955666</v>
      </c>
    </row>
    <row r="1669" spans="1:4" x14ac:dyDescent="0.3">
      <c r="A1669" s="1">
        <v>40305</v>
      </c>
      <c r="B1669">
        <v>1.4783059999999999</v>
      </c>
      <c r="C1669">
        <f t="shared" si="28"/>
        <v>-5.4400185146314282E-3</v>
      </c>
      <c r="D1669">
        <f>(C1669-meanrtn)/stdevrtns</f>
        <v>-0.89360554054519781</v>
      </c>
    </row>
    <row r="1670" spans="1:4" x14ac:dyDescent="0.3">
      <c r="A1670" s="1">
        <v>40308</v>
      </c>
      <c r="B1670">
        <v>1.4861930000000001</v>
      </c>
      <c r="C1670">
        <f t="shared" si="28"/>
        <v>5.3351606500955827E-3</v>
      </c>
      <c r="D1670">
        <f>(C1670-meanrtn)/stdevrtns</f>
        <v>0.89227541017995193</v>
      </c>
    </row>
    <row r="1671" spans="1:4" x14ac:dyDescent="0.3">
      <c r="A1671" s="1">
        <v>40309</v>
      </c>
      <c r="B1671">
        <v>1.492092</v>
      </c>
      <c r="C1671">
        <f t="shared" si="28"/>
        <v>3.9692018465972293E-3</v>
      </c>
      <c r="D1671">
        <f>(C1671-meanrtn)/stdevrtns</f>
        <v>0.66588104871739429</v>
      </c>
    </row>
    <row r="1672" spans="1:4" x14ac:dyDescent="0.3">
      <c r="A1672" s="1">
        <v>40310</v>
      </c>
      <c r="B1672">
        <v>1.4837009999999999</v>
      </c>
      <c r="C1672">
        <f t="shared" si="28"/>
        <v>-5.6236478715789894E-3</v>
      </c>
      <c r="D1672">
        <f>(C1672-meanrtn)/stdevrtns</f>
        <v>-0.92404031713249424</v>
      </c>
    </row>
    <row r="1673" spans="1:4" x14ac:dyDescent="0.3">
      <c r="A1673" s="1">
        <v>40311</v>
      </c>
      <c r="B1673">
        <v>1.46139</v>
      </c>
      <c r="C1673">
        <f t="shared" si="28"/>
        <v>-1.5037396348725229E-2</v>
      </c>
      <c r="D1673">
        <f>(C1673-meanrtn)/stdevrtns</f>
        <v>-2.4842773974854206</v>
      </c>
    </row>
    <row r="1674" spans="1:4" x14ac:dyDescent="0.3">
      <c r="A1674" s="1">
        <v>40312</v>
      </c>
      <c r="B1674">
        <v>1.453805</v>
      </c>
      <c r="C1674">
        <f t="shared" si="28"/>
        <v>-5.190264063665382E-3</v>
      </c>
      <c r="D1674">
        <f>(C1674-meanrtn)/stdevrtns</f>
        <v>-0.85221117396248858</v>
      </c>
    </row>
    <row r="1675" spans="1:4" x14ac:dyDescent="0.3">
      <c r="A1675" s="1">
        <v>40315</v>
      </c>
      <c r="B1675">
        <v>1.448016</v>
      </c>
      <c r="C1675">
        <f t="shared" si="28"/>
        <v>-3.9819645688383542E-3</v>
      </c>
      <c r="D1675">
        <f>(C1675-meanrtn)/stdevrtns</f>
        <v>-0.65194730664357514</v>
      </c>
    </row>
    <row r="1676" spans="1:4" x14ac:dyDescent="0.3">
      <c r="A1676" s="1">
        <v>40316</v>
      </c>
      <c r="B1676">
        <v>1.4296739999999999</v>
      </c>
      <c r="C1676">
        <f t="shared" si="28"/>
        <v>-1.2666987105114916E-2</v>
      </c>
      <c r="D1676">
        <f>(C1676-meanrtn)/stdevrtns</f>
        <v>-2.0914051631708168</v>
      </c>
    </row>
    <row r="1677" spans="1:4" x14ac:dyDescent="0.3">
      <c r="A1677" s="1">
        <v>40317</v>
      </c>
      <c r="B1677">
        <v>1.44167</v>
      </c>
      <c r="C1677">
        <f t="shared" si="28"/>
        <v>8.3907240391866388E-3</v>
      </c>
      <c r="D1677">
        <f>(C1677-meanrtn)/stdevrtns</f>
        <v>1.398705267808138</v>
      </c>
    </row>
    <row r="1678" spans="1:4" x14ac:dyDescent="0.3">
      <c r="A1678" s="1">
        <v>40318</v>
      </c>
      <c r="B1678">
        <v>1.434844</v>
      </c>
      <c r="C1678">
        <f t="shared" si="28"/>
        <v>-4.7347867403774776E-3</v>
      </c>
      <c r="D1678">
        <f>(C1678-meanrtn)/stdevrtns</f>
        <v>-0.7767202459034972</v>
      </c>
    </row>
    <row r="1679" spans="1:4" x14ac:dyDescent="0.3">
      <c r="A1679" s="1">
        <v>40319</v>
      </c>
      <c r="B1679">
        <v>1.4480999999999999</v>
      </c>
      <c r="C1679">
        <f t="shared" si="28"/>
        <v>9.2386350014356505E-3</v>
      </c>
      <c r="D1679">
        <f>(C1679-meanrtn)/stdevrtns</f>
        <v>1.539238247561139</v>
      </c>
    </row>
    <row r="1680" spans="1:4" x14ac:dyDescent="0.3">
      <c r="A1680" s="1">
        <v>40322</v>
      </c>
      <c r="B1680">
        <v>1.440901</v>
      </c>
      <c r="C1680">
        <f t="shared" si="28"/>
        <v>-4.9713417581658415E-3</v>
      </c>
      <c r="D1680">
        <f>(C1680-meanrtn)/stdevrtns</f>
        <v>-0.81592693505532365</v>
      </c>
    </row>
    <row r="1681" spans="1:4" x14ac:dyDescent="0.3">
      <c r="A1681" s="1">
        <v>40323</v>
      </c>
      <c r="B1681">
        <v>1.4415039999999999</v>
      </c>
      <c r="C1681">
        <f t="shared" si="28"/>
        <v>4.184881542867339E-4</v>
      </c>
      <c r="D1681">
        <f>(C1681-meanrtn)/stdevrtns</f>
        <v>7.7384853189222072E-2</v>
      </c>
    </row>
    <row r="1682" spans="1:4" x14ac:dyDescent="0.3">
      <c r="A1682" s="1">
        <v>40324</v>
      </c>
      <c r="B1682">
        <v>1.438394</v>
      </c>
      <c r="C1682">
        <f t="shared" si="28"/>
        <v>-2.1574688658511846E-3</v>
      </c>
      <c r="D1682">
        <f>(C1682-meanrtn)/stdevrtns</f>
        <v>-0.34955492217994039</v>
      </c>
    </row>
    <row r="1683" spans="1:4" x14ac:dyDescent="0.3">
      <c r="A1683" s="1">
        <v>40325</v>
      </c>
      <c r="B1683">
        <v>1.4560489999999999</v>
      </c>
      <c r="C1683">
        <f t="shared" si="28"/>
        <v>1.2274105704000417E-2</v>
      </c>
      <c r="D1683">
        <f>(C1683-meanrtn)/stdevrtns</f>
        <v>2.0423379381853595</v>
      </c>
    </row>
    <row r="1684" spans="1:4" x14ac:dyDescent="0.3">
      <c r="A1684" s="1">
        <v>40326</v>
      </c>
      <c r="B1684">
        <v>1.4452959999999999</v>
      </c>
      <c r="C1684">
        <f t="shared" si="28"/>
        <v>-7.3850536623424161E-3</v>
      </c>
      <c r="D1684">
        <f>(C1684-meanrtn)/stdevrtns</f>
        <v>-1.215976163407684</v>
      </c>
    </row>
    <row r="1685" spans="1:4" x14ac:dyDescent="0.3">
      <c r="A1685" s="1">
        <v>40329</v>
      </c>
      <c r="B1685">
        <v>1.4522010000000001</v>
      </c>
      <c r="C1685">
        <f t="shared" si="28"/>
        <v>4.7775680552635319E-3</v>
      </c>
      <c r="D1685">
        <f>(C1685-meanrtn)/stdevrtns</f>
        <v>0.7998598708972513</v>
      </c>
    </row>
    <row r="1686" spans="1:4" x14ac:dyDescent="0.3">
      <c r="A1686" s="1">
        <v>40330</v>
      </c>
      <c r="B1686">
        <v>1.4667060000000001</v>
      </c>
      <c r="C1686">
        <f t="shared" si="28"/>
        <v>9.9882867454298609E-3</v>
      </c>
      <c r="D1686">
        <f>(C1686-meanrtn)/stdevrtns</f>
        <v>1.6634857193488684</v>
      </c>
    </row>
    <row r="1687" spans="1:4" x14ac:dyDescent="0.3">
      <c r="A1687" s="1">
        <v>40331</v>
      </c>
      <c r="B1687">
        <v>1.4650080000000001</v>
      </c>
      <c r="C1687">
        <f t="shared" si="28"/>
        <v>-1.1576962254193936E-3</v>
      </c>
      <c r="D1687">
        <f>(C1687-meanrtn)/stdevrtns</f>
        <v>-0.18385234904332423</v>
      </c>
    </row>
    <row r="1688" spans="1:4" x14ac:dyDescent="0.3">
      <c r="A1688" s="1">
        <v>40332</v>
      </c>
      <c r="B1688">
        <v>1.4634</v>
      </c>
      <c r="C1688">
        <f t="shared" si="28"/>
        <v>-1.0976049277546974E-3</v>
      </c>
      <c r="D1688">
        <f>(C1688-meanrtn)/stdevrtns</f>
        <v>-0.17389280199885015</v>
      </c>
    </row>
    <row r="1689" spans="1:4" x14ac:dyDescent="0.3">
      <c r="A1689" s="1">
        <v>40333</v>
      </c>
      <c r="B1689">
        <v>1.445797</v>
      </c>
      <c r="C1689">
        <f t="shared" si="28"/>
        <v>-1.202883695503624E-2</v>
      </c>
      <c r="D1689">
        <f>(C1689-meanrtn)/stdevrtns</f>
        <v>-1.9856379940773667</v>
      </c>
    </row>
    <row r="1690" spans="1:4" x14ac:dyDescent="0.3">
      <c r="A1690" s="1">
        <v>40336</v>
      </c>
      <c r="B1690">
        <v>1.447408</v>
      </c>
      <c r="C1690">
        <f t="shared" si="28"/>
        <v>1.1142643123481575E-3</v>
      </c>
      <c r="D1690">
        <f>(C1690-meanrtn)/stdevrtns</f>
        <v>0.192702971584714</v>
      </c>
    </row>
    <row r="1691" spans="1:4" x14ac:dyDescent="0.3">
      <c r="A1691" s="1">
        <v>40337</v>
      </c>
      <c r="B1691">
        <v>1.4448989999999999</v>
      </c>
      <c r="C1691">
        <f t="shared" si="28"/>
        <v>-1.7334435072903385E-3</v>
      </c>
      <c r="D1691">
        <f>(C1691-meanrtn)/stdevrtns</f>
        <v>-0.27927685079926823</v>
      </c>
    </row>
    <row r="1692" spans="1:4" x14ac:dyDescent="0.3">
      <c r="A1692" s="1">
        <v>40338</v>
      </c>
      <c r="B1692">
        <v>1.454799</v>
      </c>
      <c r="C1692">
        <f t="shared" si="28"/>
        <v>6.8516899797148589E-3</v>
      </c>
      <c r="D1692">
        <f>(C1692-meanrtn)/stdevrtns</f>
        <v>1.143625369153155</v>
      </c>
    </row>
    <row r="1693" spans="1:4" x14ac:dyDescent="0.3">
      <c r="A1693" s="1">
        <v>40339</v>
      </c>
      <c r="B1693">
        <v>1.4708479999999999</v>
      </c>
      <c r="C1693">
        <f t="shared" si="28"/>
        <v>1.1031764525546127E-2</v>
      </c>
      <c r="D1693">
        <f>(C1693-meanrtn)/stdevrtns</f>
        <v>1.8364319935152356</v>
      </c>
    </row>
    <row r="1694" spans="1:4" x14ac:dyDescent="0.3">
      <c r="A1694" s="1">
        <v>40340</v>
      </c>
      <c r="B1694">
        <v>1.4552020000000001</v>
      </c>
      <c r="C1694">
        <f t="shared" si="28"/>
        <v>-1.0637401009485566E-2</v>
      </c>
      <c r="D1694">
        <f>(C1694-meanrtn)/stdevrtns</f>
        <v>-1.7550210445747789</v>
      </c>
    </row>
    <row r="1695" spans="1:4" x14ac:dyDescent="0.3">
      <c r="A1695" s="1">
        <v>40343</v>
      </c>
      <c r="B1695">
        <v>1.4736</v>
      </c>
      <c r="C1695">
        <f t="shared" si="28"/>
        <v>1.2642918302751036E-2</v>
      </c>
      <c r="D1695">
        <f>(C1695-meanrtn)/stdevrtns</f>
        <v>2.1034650326333386</v>
      </c>
    </row>
    <row r="1696" spans="1:4" x14ac:dyDescent="0.3">
      <c r="A1696" s="1">
        <v>40344</v>
      </c>
      <c r="B1696">
        <v>1.4799910000000001</v>
      </c>
      <c r="C1696">
        <f t="shared" si="28"/>
        <v>4.3369978284473641E-3</v>
      </c>
      <c r="D1696">
        <f>(C1696-meanrtn)/stdevrtns</f>
        <v>0.72683964882026775</v>
      </c>
    </row>
    <row r="1697" spans="1:4" x14ac:dyDescent="0.3">
      <c r="A1697" s="1">
        <v>40345</v>
      </c>
      <c r="B1697">
        <v>1.4736</v>
      </c>
      <c r="C1697">
        <f t="shared" si="28"/>
        <v>-4.3182695029902445E-3</v>
      </c>
      <c r="D1697">
        <f>(C1697-meanrtn)/stdevrtns</f>
        <v>-0.70768657244648892</v>
      </c>
    </row>
    <row r="1698" spans="1:4" x14ac:dyDescent="0.3">
      <c r="A1698" s="1">
        <v>40346</v>
      </c>
      <c r="B1698">
        <v>1.4815910000000001</v>
      </c>
      <c r="C1698">
        <f t="shared" si="28"/>
        <v>5.4227741585233993E-3</v>
      </c>
      <c r="D1698">
        <f>(C1698-meanrtn)/stdevrtns</f>
        <v>0.90679649547565055</v>
      </c>
    </row>
    <row r="1699" spans="1:4" x14ac:dyDescent="0.3">
      <c r="A1699" s="1">
        <v>40347</v>
      </c>
      <c r="B1699">
        <v>1.4829969999999999</v>
      </c>
      <c r="C1699">
        <f t="shared" si="28"/>
        <v>9.4897984666469774E-4</v>
      </c>
      <c r="D1699">
        <f>(C1699-meanrtn)/stdevrtns</f>
        <v>0.16530868196759524</v>
      </c>
    </row>
    <row r="1700" spans="1:4" x14ac:dyDescent="0.3">
      <c r="A1700" s="1">
        <v>40350</v>
      </c>
      <c r="B1700">
        <v>1.4759930000000001</v>
      </c>
      <c r="C1700">
        <f t="shared" si="28"/>
        <v>-4.7228686234697635E-3</v>
      </c>
      <c r="D1700">
        <f>(C1700-meanrtn)/stdevrtns</f>
        <v>-0.77474493415892065</v>
      </c>
    </row>
    <row r="1701" spans="1:4" x14ac:dyDescent="0.3">
      <c r="A1701" s="1">
        <v>40351</v>
      </c>
      <c r="B1701">
        <v>1.482008</v>
      </c>
      <c r="C1701">
        <f t="shared" si="28"/>
        <v>4.0752225789687903E-3</v>
      </c>
      <c r="D1701">
        <f>(C1701-meanrtn)/stdevrtns</f>
        <v>0.68345295201753742</v>
      </c>
    </row>
    <row r="1702" spans="1:4" x14ac:dyDescent="0.3">
      <c r="A1702" s="1">
        <v>40352</v>
      </c>
      <c r="B1702">
        <v>1.496804</v>
      </c>
      <c r="C1702">
        <f t="shared" si="28"/>
        <v>9.9837517746193209E-3</v>
      </c>
      <c r="D1702">
        <f>(C1702-meanrtn)/stdevrtns</f>
        <v>1.6627340921268219</v>
      </c>
    </row>
    <row r="1703" spans="1:4" x14ac:dyDescent="0.3">
      <c r="A1703" s="1">
        <v>40353</v>
      </c>
      <c r="B1703">
        <v>1.493206</v>
      </c>
      <c r="C1703">
        <f t="shared" si="28"/>
        <v>-2.4037883383529108E-3</v>
      </c>
      <c r="D1703">
        <f>(C1703-meanrtn)/stdevrtns</f>
        <v>-0.39037997455341017</v>
      </c>
    </row>
    <row r="1704" spans="1:4" x14ac:dyDescent="0.3">
      <c r="A1704" s="1">
        <v>40354</v>
      </c>
      <c r="B1704">
        <v>1.506796</v>
      </c>
      <c r="C1704">
        <f t="shared" si="28"/>
        <v>9.1012224703088465E-3</v>
      </c>
      <c r="D1704">
        <f>(C1704-meanrtn)/stdevrtns</f>
        <v>1.5164634595062341</v>
      </c>
    </row>
    <row r="1705" spans="1:4" x14ac:dyDescent="0.3">
      <c r="A1705" s="1">
        <v>40357</v>
      </c>
      <c r="B1705">
        <v>1.50989</v>
      </c>
      <c r="C1705">
        <f t="shared" si="28"/>
        <v>2.0533635608270331E-3</v>
      </c>
      <c r="D1705">
        <f>(C1705-meanrtn)/stdevrtns</f>
        <v>0.34834952122064461</v>
      </c>
    </row>
    <row r="1706" spans="1:4" x14ac:dyDescent="0.3">
      <c r="A1706" s="1">
        <v>40358</v>
      </c>
      <c r="B1706">
        <v>1.505344</v>
      </c>
      <c r="C1706">
        <f t="shared" si="28"/>
        <v>-3.010815357410102E-3</v>
      </c>
      <c r="D1706">
        <f>(C1706-meanrtn)/stdevrtns</f>
        <v>-0.49098878795100853</v>
      </c>
    </row>
    <row r="1707" spans="1:4" x14ac:dyDescent="0.3">
      <c r="A1707" s="1">
        <v>40359</v>
      </c>
      <c r="B1707">
        <v>1.4944329999999999</v>
      </c>
      <c r="C1707">
        <f t="shared" si="28"/>
        <v>-7.248177160835075E-3</v>
      </c>
      <c r="D1707">
        <f>(C1707-meanrtn)/stdevrtns</f>
        <v>-1.1932902170390089</v>
      </c>
    </row>
    <row r="1708" spans="1:4" x14ac:dyDescent="0.3">
      <c r="A1708" s="1">
        <v>40360</v>
      </c>
      <c r="B1708">
        <v>1.5165759999999999</v>
      </c>
      <c r="C1708">
        <f t="shared" si="28"/>
        <v>1.4816990791825411E-2</v>
      </c>
      <c r="D1708">
        <f>(C1708-meanrtn)/stdevrtns</f>
        <v>2.4637963630341826</v>
      </c>
    </row>
    <row r="1709" spans="1:4" x14ac:dyDescent="0.3">
      <c r="A1709" s="1">
        <v>40361</v>
      </c>
      <c r="B1709">
        <v>1.5204960000000001</v>
      </c>
      <c r="C1709">
        <f t="shared" si="28"/>
        <v>2.5847699027283472E-3</v>
      </c>
      <c r="D1709">
        <f>(C1709-meanrtn)/stdevrtns</f>
        <v>0.43642494424495737</v>
      </c>
    </row>
    <row r="1710" spans="1:4" x14ac:dyDescent="0.3">
      <c r="A1710" s="1">
        <v>40364</v>
      </c>
      <c r="B1710">
        <v>1.5132030000000001</v>
      </c>
      <c r="C1710">
        <f t="shared" si="28"/>
        <v>-4.7964611547810674E-3</v>
      </c>
      <c r="D1710">
        <f>(C1710-meanrtn)/stdevrtns</f>
        <v>-0.78694217912118869</v>
      </c>
    </row>
    <row r="1711" spans="1:4" x14ac:dyDescent="0.3">
      <c r="A1711" s="1">
        <v>40365</v>
      </c>
      <c r="B1711">
        <v>1.514394</v>
      </c>
      <c r="C1711">
        <f t="shared" si="28"/>
        <v>7.870721905784895E-4</v>
      </c>
      <c r="D1711">
        <f>(C1711-meanrtn)/stdevrtns</f>
        <v>0.1384740656368102</v>
      </c>
    </row>
    <row r="1712" spans="1:4" x14ac:dyDescent="0.3">
      <c r="A1712" s="1">
        <v>40366</v>
      </c>
      <c r="B1712">
        <v>1.5178419999999999</v>
      </c>
      <c r="C1712">
        <f t="shared" si="28"/>
        <v>2.2768183180862413E-3</v>
      </c>
      <c r="D1712">
        <f>(C1712-meanrtn)/stdevrtns</f>
        <v>0.38538496984172027</v>
      </c>
    </row>
    <row r="1713" spans="1:4" x14ac:dyDescent="0.3">
      <c r="A1713" s="1">
        <v>40367</v>
      </c>
      <c r="B1713">
        <v>1.515496</v>
      </c>
      <c r="C1713">
        <f t="shared" si="28"/>
        <v>-1.5456154197867494E-3</v>
      </c>
      <c r="D1713">
        <f>(C1713-meanrtn)/stdevrtns</f>
        <v>-0.24814617553570803</v>
      </c>
    </row>
    <row r="1714" spans="1:4" x14ac:dyDescent="0.3">
      <c r="A1714" s="1">
        <v>40368</v>
      </c>
      <c r="B1714">
        <v>1.506796</v>
      </c>
      <c r="C1714">
        <f t="shared" si="28"/>
        <v>-5.7406947956312191E-3</v>
      </c>
      <c r="D1714">
        <f>(C1714-meanrtn)/stdevrtns</f>
        <v>-0.94343970426195611</v>
      </c>
    </row>
    <row r="1715" spans="1:4" x14ac:dyDescent="0.3">
      <c r="A1715" s="1">
        <v>40371</v>
      </c>
      <c r="B1715">
        <v>1.5024040000000001</v>
      </c>
      <c r="C1715">
        <f t="shared" si="28"/>
        <v>-2.9147940398036305E-3</v>
      </c>
      <c r="D1715">
        <f>(C1715-meanrtn)/stdevrtns</f>
        <v>-0.47507419021157771</v>
      </c>
    </row>
    <row r="1716" spans="1:4" x14ac:dyDescent="0.3">
      <c r="A1716" s="1">
        <v>40372</v>
      </c>
      <c r="B1716">
        <v>1.5185109999999999</v>
      </c>
      <c r="C1716">
        <f t="shared" si="28"/>
        <v>1.072081810218814E-2</v>
      </c>
      <c r="D1716">
        <f>(C1716-meanrtn)/stdevrtns</f>
        <v>1.7848956537772396</v>
      </c>
    </row>
    <row r="1717" spans="1:4" x14ac:dyDescent="0.3">
      <c r="A1717" s="1">
        <v>40373</v>
      </c>
      <c r="B1717">
        <v>1.5268109999999999</v>
      </c>
      <c r="C1717">
        <f t="shared" si="28"/>
        <v>5.4658807213118473E-3</v>
      </c>
      <c r="D1717">
        <f>(C1717-meanrtn)/stdevrtns</f>
        <v>0.91394098821755632</v>
      </c>
    </row>
    <row r="1718" spans="1:4" x14ac:dyDescent="0.3">
      <c r="A1718" s="1">
        <v>40374</v>
      </c>
      <c r="B1718">
        <v>1.544306</v>
      </c>
      <c r="C1718">
        <f t="shared" si="28"/>
        <v>1.1458523681058127E-2</v>
      </c>
      <c r="D1718">
        <f>(C1718-meanrtn)/stdevrtns</f>
        <v>1.9071631651018142</v>
      </c>
    </row>
    <row r="1719" spans="1:4" x14ac:dyDescent="0.3">
      <c r="A1719" s="1">
        <v>40375</v>
      </c>
      <c r="B1719">
        <v>1.5306900000000001</v>
      </c>
      <c r="C1719">
        <f t="shared" si="28"/>
        <v>-8.8169054578560533E-3</v>
      </c>
      <c r="D1719">
        <f>(C1719-meanrtn)/stdevrtns</f>
        <v>-1.4532916462202792</v>
      </c>
    </row>
    <row r="1720" spans="1:4" x14ac:dyDescent="0.3">
      <c r="A1720" s="1">
        <v>40378</v>
      </c>
      <c r="B1720">
        <v>1.5225569999999999</v>
      </c>
      <c r="C1720">
        <f t="shared" si="28"/>
        <v>-5.3132900848637983E-3</v>
      </c>
      <c r="D1720">
        <f>(C1720-meanrtn)/stdevrtns</f>
        <v>-0.87260153818223063</v>
      </c>
    </row>
    <row r="1721" spans="1:4" x14ac:dyDescent="0.3">
      <c r="A1721" s="1">
        <v>40379</v>
      </c>
      <c r="B1721">
        <v>1.5287249999999999</v>
      </c>
      <c r="C1721">
        <f t="shared" si="28"/>
        <v>4.0510798610495051E-3</v>
      </c>
      <c r="D1721">
        <f>(C1721-meanrtn)/stdevrtns</f>
        <v>0.6794515317746217</v>
      </c>
    </row>
    <row r="1722" spans="1:4" x14ac:dyDescent="0.3">
      <c r="A1722" s="1">
        <v>40380</v>
      </c>
      <c r="B1722">
        <v>1.5183949999999999</v>
      </c>
      <c r="C1722">
        <f t="shared" si="28"/>
        <v>-6.7572650411290135E-3</v>
      </c>
      <c r="D1722">
        <f>(C1722-meanrtn)/stdevrtns</f>
        <v>-1.1119263167585285</v>
      </c>
    </row>
    <row r="1723" spans="1:4" x14ac:dyDescent="0.3">
      <c r="A1723" s="1">
        <v>40381</v>
      </c>
      <c r="B1723">
        <v>1.527207</v>
      </c>
      <c r="C1723">
        <f t="shared" si="28"/>
        <v>5.8034964551385128E-3</v>
      </c>
      <c r="D1723">
        <f>(C1723-meanrtn)/stdevrtns</f>
        <v>0.96989750629382998</v>
      </c>
    </row>
    <row r="1724" spans="1:4" x14ac:dyDescent="0.3">
      <c r="A1724" s="1">
        <v>40382</v>
      </c>
      <c r="B1724">
        <v>1.543901</v>
      </c>
      <c r="C1724">
        <f t="shared" si="28"/>
        <v>1.0931065664313998E-2</v>
      </c>
      <c r="D1724">
        <f>(C1724-meanrtn)/stdevrtns</f>
        <v>1.819742138498915</v>
      </c>
    </row>
    <row r="1725" spans="1:4" x14ac:dyDescent="0.3">
      <c r="A1725" s="1">
        <v>40385</v>
      </c>
      <c r="B1725">
        <v>1.5489949999999999</v>
      </c>
      <c r="C1725">
        <f t="shared" si="28"/>
        <v>3.2994343549229725E-3</v>
      </c>
      <c r="D1725">
        <f>(C1725-meanrtn)/stdevrtns</f>
        <v>0.55487361334113761</v>
      </c>
    </row>
    <row r="1726" spans="1:4" x14ac:dyDescent="0.3">
      <c r="A1726" s="1">
        <v>40386</v>
      </c>
      <c r="B1726">
        <v>1.5587979999999999</v>
      </c>
      <c r="C1726">
        <f t="shared" si="28"/>
        <v>6.328619524272194E-3</v>
      </c>
      <c r="D1726">
        <f>(C1726-meanrtn)/stdevrtns</f>
        <v>1.0569315380825652</v>
      </c>
    </row>
    <row r="1727" spans="1:4" x14ac:dyDescent="0.3">
      <c r="A1727" s="1">
        <v>40387</v>
      </c>
      <c r="B1727">
        <v>1.5594060000000001</v>
      </c>
      <c r="C1727">
        <f t="shared" si="28"/>
        <v>3.9004412374160348E-4</v>
      </c>
      <c r="D1727">
        <f>(C1727-meanrtn)/stdevrtns</f>
        <v>7.2670532291553749E-2</v>
      </c>
    </row>
    <row r="1728" spans="1:4" x14ac:dyDescent="0.3">
      <c r="A1728" s="1">
        <v>40388</v>
      </c>
      <c r="B1728">
        <v>1.561232</v>
      </c>
      <c r="C1728">
        <f t="shared" si="28"/>
        <v>1.1709586855507053E-3</v>
      </c>
      <c r="D1728">
        <f>(C1728-meanrtn)/stdevrtns</f>
        <v>0.20209951150000158</v>
      </c>
    </row>
    <row r="1729" spans="1:4" x14ac:dyDescent="0.3">
      <c r="A1729" s="1">
        <v>40389</v>
      </c>
      <c r="B1729">
        <v>1.5688</v>
      </c>
      <c r="C1729">
        <f t="shared" si="28"/>
        <v>4.8474538057124246E-3</v>
      </c>
      <c r="D1729">
        <f>(C1729-meanrtn)/stdevrtns</f>
        <v>0.81144275305130142</v>
      </c>
    </row>
    <row r="1730" spans="1:4" x14ac:dyDescent="0.3">
      <c r="A1730" s="1">
        <v>40392</v>
      </c>
      <c r="B1730">
        <v>1.588992</v>
      </c>
      <c r="C1730">
        <f t="shared" si="28"/>
        <v>1.2870984191738901E-2</v>
      </c>
      <c r="D1730">
        <f>(C1730-meanrtn)/stdevrtns</f>
        <v>2.1412647314065096</v>
      </c>
    </row>
    <row r="1731" spans="1:4" x14ac:dyDescent="0.3">
      <c r="A1731" s="1">
        <v>40393</v>
      </c>
      <c r="B1731">
        <v>1.5945910000000001</v>
      </c>
      <c r="C1731">
        <f t="shared" si="28"/>
        <v>3.5236174883197221E-3</v>
      </c>
      <c r="D1731">
        <f>(C1731-meanrtn)/stdevrtns</f>
        <v>0.59202978320954591</v>
      </c>
    </row>
    <row r="1732" spans="1:4" x14ac:dyDescent="0.3">
      <c r="A1732" s="1">
        <v>40394</v>
      </c>
      <c r="B1732">
        <v>1.5945910000000001</v>
      </c>
      <c r="C1732">
        <f t="shared" ref="C1732:C1795" si="29">(B1732-B1731)/B1731</f>
        <v>0</v>
      </c>
      <c r="D1732">
        <f>(C1732-meanrtn)/stdevrtns</f>
        <v>8.0245194611897972E-3</v>
      </c>
    </row>
    <row r="1733" spans="1:4" x14ac:dyDescent="0.3">
      <c r="A1733" s="1">
        <v>40395</v>
      </c>
      <c r="B1733">
        <v>1.5891930000000001</v>
      </c>
      <c r="C1733">
        <f t="shared" si="29"/>
        <v>-3.3851940717086787E-3</v>
      </c>
      <c r="D1733">
        <f>(C1733-meanrtn)/stdevrtns</f>
        <v>-0.55303841181354974</v>
      </c>
    </row>
    <row r="1734" spans="1:4" x14ac:dyDescent="0.3">
      <c r="A1734" s="1">
        <v>40396</v>
      </c>
      <c r="B1734">
        <v>1.589143</v>
      </c>
      <c r="C1734">
        <f t="shared" si="29"/>
        <v>-3.1462509588266188E-5</v>
      </c>
      <c r="D1734">
        <f>(C1734-meanrtn)/stdevrtns</f>
        <v>2.8099150748769797E-3</v>
      </c>
    </row>
    <row r="1735" spans="1:4" x14ac:dyDescent="0.3">
      <c r="A1735" s="1">
        <v>40399</v>
      </c>
      <c r="B1735">
        <v>1.597801</v>
      </c>
      <c r="C1735">
        <f t="shared" si="29"/>
        <v>5.4482195749533269E-3</v>
      </c>
      <c r="D1735">
        <f>(C1735-meanrtn)/stdevrtns</f>
        <v>0.91101382530291075</v>
      </c>
    </row>
    <row r="1736" spans="1:4" x14ac:dyDescent="0.3">
      <c r="A1736" s="1">
        <v>40400</v>
      </c>
      <c r="B1736">
        <v>1.5906089999999999</v>
      </c>
      <c r="C1736">
        <f t="shared" si="29"/>
        <v>-4.5011863179457816E-3</v>
      </c>
      <c r="D1736">
        <f>(C1736-meanrtn)/stdevrtns</f>
        <v>-0.73800325214178064</v>
      </c>
    </row>
    <row r="1737" spans="1:4" x14ac:dyDescent="0.3">
      <c r="A1737" s="1">
        <v>40401</v>
      </c>
      <c r="B1737">
        <v>1.585791</v>
      </c>
      <c r="C1737">
        <f t="shared" si="29"/>
        <v>-3.0290285041766952E-3</v>
      </c>
      <c r="D1737">
        <f>(C1737-meanrtn)/stdevrtns</f>
        <v>-0.49400743955447302</v>
      </c>
    </row>
    <row r="1738" spans="1:4" x14ac:dyDescent="0.3">
      <c r="A1738" s="1">
        <v>40402</v>
      </c>
      <c r="B1738">
        <v>1.5632820000000001</v>
      </c>
      <c r="C1738">
        <f t="shared" si="29"/>
        <v>-1.4194178173542347E-2</v>
      </c>
      <c r="D1738">
        <f>(C1738-meanrtn)/stdevrtns</f>
        <v>-2.3445222014610323</v>
      </c>
    </row>
    <row r="1739" spans="1:4" x14ac:dyDescent="0.3">
      <c r="A1739" s="1">
        <v>40403</v>
      </c>
      <c r="B1739">
        <v>1.5587740000000001</v>
      </c>
      <c r="C1739">
        <f t="shared" si="29"/>
        <v>-2.8836767774463958E-3</v>
      </c>
      <c r="D1739">
        <f>(C1739-meanrtn)/stdevrtns</f>
        <v>-0.4699168071896398</v>
      </c>
    </row>
    <row r="1740" spans="1:4" x14ac:dyDescent="0.3">
      <c r="A1740" s="1">
        <v>40406</v>
      </c>
      <c r="B1740">
        <v>1.560306</v>
      </c>
      <c r="C1740">
        <f t="shared" si="29"/>
        <v>9.8282368066176791E-4</v>
      </c>
      <c r="D1740">
        <f>(C1740-meanrtn)/stdevrtns</f>
        <v>0.17091796767049361</v>
      </c>
    </row>
    <row r="1741" spans="1:4" x14ac:dyDescent="0.3">
      <c r="A1741" s="1">
        <v>40407</v>
      </c>
      <c r="B1741">
        <v>1.564602</v>
      </c>
      <c r="C1741">
        <f t="shared" si="29"/>
        <v>2.753306082268528E-3</v>
      </c>
      <c r="D1741">
        <f>(C1741-meanrtn)/stdevrtns</f>
        <v>0.46435817374837862</v>
      </c>
    </row>
    <row r="1742" spans="1:4" x14ac:dyDescent="0.3">
      <c r="A1742" s="1">
        <v>40408</v>
      </c>
      <c r="B1742">
        <v>1.5578019999999999</v>
      </c>
      <c r="C1742">
        <f t="shared" si="29"/>
        <v>-4.3461532070137579E-3</v>
      </c>
      <c r="D1742">
        <f>(C1742-meanrtn)/stdevrtns</f>
        <v>-0.71230802468314991</v>
      </c>
    </row>
    <row r="1743" spans="1:4" x14ac:dyDescent="0.3">
      <c r="A1743" s="1">
        <v>40409</v>
      </c>
      <c r="B1743">
        <v>1.5598920000000001</v>
      </c>
      <c r="C1743">
        <f t="shared" si="29"/>
        <v>1.3416339175326181E-3</v>
      </c>
      <c r="D1743">
        <f>(C1743-meanrtn)/stdevrtns</f>
        <v>0.23038726810222007</v>
      </c>
    </row>
    <row r="1744" spans="1:4" x14ac:dyDescent="0.3">
      <c r="A1744" s="1">
        <v>40410</v>
      </c>
      <c r="B1744">
        <v>1.5577049999999999</v>
      </c>
      <c r="C1744">
        <f t="shared" si="29"/>
        <v>-1.4020201398559395E-3</v>
      </c>
      <c r="D1744">
        <f>(C1744-meanrtn)/stdevrtns</f>
        <v>-0.22434665711266791</v>
      </c>
    </row>
    <row r="1745" spans="1:4" x14ac:dyDescent="0.3">
      <c r="A1745" s="1">
        <v>40413</v>
      </c>
      <c r="B1745">
        <v>1.5545089999999999</v>
      </c>
      <c r="C1745">
        <f t="shared" si="29"/>
        <v>-2.0517363685678461E-3</v>
      </c>
      <c r="D1745">
        <f>(C1745-meanrtn)/stdevrtns</f>
        <v>-0.33203079103704103</v>
      </c>
    </row>
    <row r="1746" spans="1:4" x14ac:dyDescent="0.3">
      <c r="A1746" s="1">
        <v>40414</v>
      </c>
      <c r="B1746">
        <v>1.5496190000000001</v>
      </c>
      <c r="C1746">
        <f t="shared" si="29"/>
        <v>-3.1456878023863734E-3</v>
      </c>
      <c r="D1746">
        <f>(C1746-meanrtn)/stdevrtns</f>
        <v>-0.51334258147764744</v>
      </c>
    </row>
    <row r="1747" spans="1:4" x14ac:dyDescent="0.3">
      <c r="A1747" s="1">
        <v>40415</v>
      </c>
      <c r="B1747">
        <v>1.541093</v>
      </c>
      <c r="C1747">
        <f t="shared" si="29"/>
        <v>-5.501997587794182E-3</v>
      </c>
      <c r="D1747">
        <f>(C1747-meanrtn)/stdevrtns</f>
        <v>-0.90387796798355557</v>
      </c>
    </row>
    <row r="1748" spans="1:4" x14ac:dyDescent="0.3">
      <c r="A1748" s="1">
        <v>40416</v>
      </c>
      <c r="B1748">
        <v>1.547221</v>
      </c>
      <c r="C1748">
        <f t="shared" si="29"/>
        <v>3.9763985690674805E-3</v>
      </c>
      <c r="D1748">
        <f>(C1748-meanrtn)/stdevrtns</f>
        <v>0.66707383534031661</v>
      </c>
    </row>
    <row r="1749" spans="1:4" x14ac:dyDescent="0.3">
      <c r="A1749" s="1">
        <v>40417</v>
      </c>
      <c r="B1749">
        <v>1.552</v>
      </c>
      <c r="C1749">
        <f t="shared" si="29"/>
        <v>3.0887636607828417E-3</v>
      </c>
      <c r="D1749">
        <f>(C1749-meanrtn)/stdevrtns</f>
        <v>0.5199569986111926</v>
      </c>
    </row>
    <row r="1750" spans="1:4" x14ac:dyDescent="0.3">
      <c r="A1750" s="1">
        <v>40420</v>
      </c>
      <c r="B1750">
        <v>1.5533980000000001</v>
      </c>
      <c r="C1750">
        <f t="shared" si="29"/>
        <v>9.0077319587629533E-4</v>
      </c>
      <c r="D1750">
        <f>(C1750-meanrtn)/stdevrtns</f>
        <v>0.1573188993361295</v>
      </c>
    </row>
    <row r="1751" spans="1:4" x14ac:dyDescent="0.3">
      <c r="A1751" s="1">
        <v>40421</v>
      </c>
      <c r="B1751">
        <v>1.5465990000000001</v>
      </c>
      <c r="C1751">
        <f t="shared" si="29"/>
        <v>-4.376856414132115E-3</v>
      </c>
      <c r="D1751">
        <f>(C1751-meanrtn)/stdevrtns</f>
        <v>-0.71739678208389346</v>
      </c>
    </row>
    <row r="1752" spans="1:4" x14ac:dyDescent="0.3">
      <c r="A1752" s="1">
        <v>40422</v>
      </c>
      <c r="B1752">
        <v>1.5349900000000001</v>
      </c>
      <c r="C1752">
        <f t="shared" si="29"/>
        <v>-7.5061473594642053E-3</v>
      </c>
      <c r="D1752">
        <f>(C1752-meanrtn)/stdevrtns</f>
        <v>-1.2360462637407361</v>
      </c>
    </row>
    <row r="1753" spans="1:4" x14ac:dyDescent="0.3">
      <c r="A1753" s="1">
        <v>40423</v>
      </c>
      <c r="B1753">
        <v>1.544807</v>
      </c>
      <c r="C1753">
        <f t="shared" si="29"/>
        <v>6.3954814037876237E-3</v>
      </c>
      <c r="D1753">
        <f>(C1753-meanrtn)/stdevrtns</f>
        <v>1.0680132430946889</v>
      </c>
    </row>
    <row r="1754" spans="1:4" x14ac:dyDescent="0.3">
      <c r="A1754" s="1">
        <v>40424</v>
      </c>
      <c r="B1754">
        <v>1.539598</v>
      </c>
      <c r="C1754">
        <f t="shared" si="29"/>
        <v>-3.371942255569802E-3</v>
      </c>
      <c r="D1754">
        <f>(C1754-meanrtn)/stdevrtns</f>
        <v>-0.55084205241728057</v>
      </c>
    </row>
    <row r="1755" spans="1:4" x14ac:dyDescent="0.3">
      <c r="A1755" s="1">
        <v>40427</v>
      </c>
      <c r="B1755">
        <v>1.5449980000000001</v>
      </c>
      <c r="C1755">
        <f t="shared" si="29"/>
        <v>3.5074090769149292E-3</v>
      </c>
      <c r="D1755">
        <f>(C1755-meanrtn)/stdevrtns</f>
        <v>0.58934339695769655</v>
      </c>
    </row>
    <row r="1756" spans="1:4" x14ac:dyDescent="0.3">
      <c r="A1756" s="1">
        <v>40428</v>
      </c>
      <c r="B1756">
        <v>1.539504</v>
      </c>
      <c r="C1756">
        <f t="shared" si="29"/>
        <v>-3.5559916582416995E-3</v>
      </c>
      <c r="D1756">
        <f>(C1756-meanrtn)/stdevrtns</f>
        <v>-0.58134644749036346</v>
      </c>
    </row>
    <row r="1757" spans="1:4" x14ac:dyDescent="0.3">
      <c r="A1757" s="1">
        <v>40429</v>
      </c>
      <c r="B1757">
        <v>1.534872</v>
      </c>
      <c r="C1757">
        <f t="shared" si="29"/>
        <v>-3.0087612633679221E-3</v>
      </c>
      <c r="D1757">
        <f>(C1757-meanrtn)/stdevrtns</f>
        <v>-0.49064834187908285</v>
      </c>
    </row>
    <row r="1758" spans="1:4" x14ac:dyDescent="0.3">
      <c r="A1758" s="1">
        <v>40430</v>
      </c>
      <c r="B1758">
        <v>1.5473889999999999</v>
      </c>
      <c r="C1758">
        <f t="shared" si="29"/>
        <v>8.1550774266517922E-3</v>
      </c>
      <c r="D1758">
        <f>(C1758-meanrtn)/stdevrtns</f>
        <v>1.3596491379753719</v>
      </c>
    </row>
    <row r="1759" spans="1:4" x14ac:dyDescent="0.3">
      <c r="A1759" s="1">
        <v>40431</v>
      </c>
      <c r="B1759">
        <v>1.542591</v>
      </c>
      <c r="C1759">
        <f t="shared" si="29"/>
        <v>-3.100707062025036E-3</v>
      </c>
      <c r="D1759">
        <f>(C1759-meanrtn)/stdevrtns</f>
        <v>-0.50588746206545332</v>
      </c>
    </row>
    <row r="1760" spans="1:4" x14ac:dyDescent="0.3">
      <c r="A1760" s="1">
        <v>40434</v>
      </c>
      <c r="B1760">
        <v>1.5370900000000001</v>
      </c>
      <c r="C1760">
        <f t="shared" si="29"/>
        <v>-3.5660781114371714E-3</v>
      </c>
      <c r="D1760">
        <f>(C1760-meanrtn)/stdevrtns</f>
        <v>-0.58301817882278906</v>
      </c>
    </row>
    <row r="1761" spans="1:4" x14ac:dyDescent="0.3">
      <c r="A1761" s="1">
        <v>40435</v>
      </c>
      <c r="B1761">
        <v>1.542805</v>
      </c>
      <c r="C1761">
        <f t="shared" si="29"/>
        <v>3.7180646546395553E-3</v>
      </c>
      <c r="D1761">
        <f>(C1761-meanrtn)/stdevrtns</f>
        <v>0.62425750628906951</v>
      </c>
    </row>
    <row r="1762" spans="1:4" x14ac:dyDescent="0.3">
      <c r="A1762" s="1">
        <v>40436</v>
      </c>
      <c r="B1762">
        <v>1.5533980000000001</v>
      </c>
      <c r="C1762">
        <f t="shared" si="29"/>
        <v>6.8660653809133852E-3</v>
      </c>
      <c r="D1762">
        <f>(C1762-meanrtn)/stdevrtns</f>
        <v>1.1460079518245894</v>
      </c>
    </row>
    <row r="1763" spans="1:4" x14ac:dyDescent="0.3">
      <c r="A1763" s="1">
        <v>40437</v>
      </c>
      <c r="B1763">
        <v>1.563404</v>
      </c>
      <c r="C1763">
        <f t="shared" si="29"/>
        <v>6.4413627415510766E-3</v>
      </c>
      <c r="D1763">
        <f>(C1763-meanrtn)/stdevrtns</f>
        <v>1.0756176277506551</v>
      </c>
    </row>
    <row r="1764" spans="1:4" x14ac:dyDescent="0.3">
      <c r="A1764" s="1">
        <v>40438</v>
      </c>
      <c r="B1764">
        <v>1.5628169999999999</v>
      </c>
      <c r="C1764">
        <f t="shared" si="29"/>
        <v>-3.7546277225855584E-4</v>
      </c>
      <c r="D1764">
        <f>(C1764-meanrtn)/stdevrtns</f>
        <v>-5.4204776444907371E-2</v>
      </c>
    </row>
    <row r="1765" spans="1:4" x14ac:dyDescent="0.3">
      <c r="A1765" s="1">
        <v>40441</v>
      </c>
      <c r="B1765">
        <v>1.564602</v>
      </c>
      <c r="C1765">
        <f t="shared" si="29"/>
        <v>1.1421682769000771E-3</v>
      </c>
      <c r="D1765">
        <f>(C1765-meanrtn)/stdevrtns</f>
        <v>0.19732778180653507</v>
      </c>
    </row>
    <row r="1766" spans="1:4" x14ac:dyDescent="0.3">
      <c r="A1766" s="1">
        <v>40442</v>
      </c>
      <c r="B1766">
        <v>1.5548230000000001</v>
      </c>
      <c r="C1766">
        <f t="shared" si="29"/>
        <v>-6.2501517957921455E-3</v>
      </c>
      <c r="D1766">
        <f>(C1766-meanrtn)/stdevrtns</f>
        <v>-1.0278772377722425</v>
      </c>
    </row>
    <row r="1767" spans="1:4" x14ac:dyDescent="0.3">
      <c r="A1767" s="1">
        <v>40443</v>
      </c>
      <c r="B1767">
        <v>1.5616950000000001</v>
      </c>
      <c r="C1767">
        <f t="shared" si="29"/>
        <v>4.4197956937863598E-3</v>
      </c>
      <c r="D1767">
        <f>(C1767-meanrtn)/stdevrtns</f>
        <v>0.74056258819873011</v>
      </c>
    </row>
    <row r="1768" spans="1:4" x14ac:dyDescent="0.3">
      <c r="A1768" s="1">
        <v>40444</v>
      </c>
      <c r="B1768">
        <v>1.564602</v>
      </c>
      <c r="C1768">
        <f t="shared" si="29"/>
        <v>1.8614390133796885E-3</v>
      </c>
      <c r="D1768">
        <f>(C1768-meanrtn)/stdevrtns</f>
        <v>0.31653989763825641</v>
      </c>
    </row>
    <row r="1769" spans="1:4" x14ac:dyDescent="0.3">
      <c r="A1769" s="1">
        <v>40445</v>
      </c>
      <c r="B1769">
        <v>1.56789</v>
      </c>
      <c r="C1769">
        <f t="shared" si="29"/>
        <v>2.1014929036265819E-3</v>
      </c>
      <c r="D1769">
        <f>(C1769-meanrtn)/stdevrtns</f>
        <v>0.35632649080626472</v>
      </c>
    </row>
    <row r="1770" spans="1:4" x14ac:dyDescent="0.3">
      <c r="A1770" s="1">
        <v>40448</v>
      </c>
      <c r="B1770">
        <v>1.583105</v>
      </c>
      <c r="C1770">
        <f t="shared" si="29"/>
        <v>9.7041246516018208E-3</v>
      </c>
      <c r="D1770">
        <f>(C1770-meanrtn)/stdevrtns</f>
        <v>1.6163886212377832</v>
      </c>
    </row>
    <row r="1771" spans="1:4" x14ac:dyDescent="0.3">
      <c r="A1771" s="1">
        <v>40449</v>
      </c>
      <c r="B1771">
        <v>1.5810029999999999</v>
      </c>
      <c r="C1771">
        <f t="shared" si="29"/>
        <v>-1.3277704258403886E-3</v>
      </c>
      <c r="D1771">
        <f>(C1771-meanrtn)/stdevrtns</f>
        <v>-0.21204049052091065</v>
      </c>
    </row>
    <row r="1772" spans="1:4" x14ac:dyDescent="0.3">
      <c r="A1772" s="1">
        <v>40450</v>
      </c>
      <c r="B1772">
        <v>1.580303</v>
      </c>
      <c r="C1772">
        <f t="shared" si="29"/>
        <v>-4.4275690811461014E-4</v>
      </c>
      <c r="D1772">
        <f>(C1772-meanrtn)/stdevrtns</f>
        <v>-6.5358123733484208E-2</v>
      </c>
    </row>
    <row r="1773" spans="1:4" x14ac:dyDescent="0.3">
      <c r="A1773" s="1">
        <v>40451</v>
      </c>
      <c r="B1773">
        <v>1.5795790000000001</v>
      </c>
      <c r="C1773">
        <f t="shared" si="29"/>
        <v>-4.581399896095539E-4</v>
      </c>
      <c r="D1773">
        <f>(C1773-meanrtn)/stdevrtns</f>
        <v>-6.7907719594980834E-2</v>
      </c>
    </row>
    <row r="1774" spans="1:4" x14ac:dyDescent="0.3">
      <c r="A1774" s="1">
        <v>40452</v>
      </c>
      <c r="B1774">
        <v>1.5716600000000001</v>
      </c>
      <c r="C1774">
        <f t="shared" si="29"/>
        <v>-5.0133611550925968E-3</v>
      </c>
      <c r="D1774">
        <f>(C1774-meanrtn)/stdevrtns</f>
        <v>-0.82289124064924846</v>
      </c>
    </row>
    <row r="1775" spans="1:4" x14ac:dyDescent="0.3">
      <c r="A1775" s="1">
        <v>40455</v>
      </c>
      <c r="B1775">
        <v>1.582003</v>
      </c>
      <c r="C1775">
        <f t="shared" si="29"/>
        <v>6.580939897942297E-3</v>
      </c>
      <c r="D1775">
        <f>(C1775-meanrtn)/stdevrtns</f>
        <v>1.0987511813505297</v>
      </c>
    </row>
    <row r="1776" spans="1:4" x14ac:dyDescent="0.3">
      <c r="A1776" s="1">
        <v>40456</v>
      </c>
      <c r="B1776">
        <v>1.5824290000000001</v>
      </c>
      <c r="C1776">
        <f t="shared" si="29"/>
        <v>2.6927888253058775E-4</v>
      </c>
      <c r="D1776">
        <f>(C1776-meanrtn)/stdevrtns</f>
        <v>5.265487032516223E-2</v>
      </c>
    </row>
    <row r="1777" spans="1:4" x14ac:dyDescent="0.3">
      <c r="A1777" s="1">
        <v>40457</v>
      </c>
      <c r="B1777">
        <v>1.589143</v>
      </c>
      <c r="C1777">
        <f t="shared" si="29"/>
        <v>4.2428443866991102E-3</v>
      </c>
      <c r="D1777">
        <f>(C1777-meanrtn)/stdevrtns</f>
        <v>0.71123463330332382</v>
      </c>
    </row>
    <row r="1778" spans="1:4" x14ac:dyDescent="0.3">
      <c r="A1778" s="1">
        <v>40458</v>
      </c>
      <c r="B1778">
        <v>1.5864959999999999</v>
      </c>
      <c r="C1778">
        <f t="shared" si="29"/>
        <v>-1.6656776639988131E-3</v>
      </c>
      <c r="D1778">
        <f>(C1778-meanrtn)/stdevrtns</f>
        <v>-0.268045322599688</v>
      </c>
    </row>
    <row r="1779" spans="1:4" x14ac:dyDescent="0.3">
      <c r="A1779" s="1">
        <v>40459</v>
      </c>
      <c r="B1779">
        <v>1.5880069999999999</v>
      </c>
      <c r="C1779">
        <f t="shared" si="29"/>
        <v>9.5241336883297538E-4</v>
      </c>
      <c r="D1779">
        <f>(C1779-meanrtn)/stdevrtns</f>
        <v>0.16587775480995617</v>
      </c>
    </row>
    <row r="1780" spans="1:4" x14ac:dyDescent="0.3">
      <c r="A1780" s="1">
        <v>40462</v>
      </c>
      <c r="B1780">
        <v>1.5948709999999999</v>
      </c>
      <c r="C1780">
        <f t="shared" si="29"/>
        <v>4.3223990826236798E-3</v>
      </c>
      <c r="D1780">
        <f>(C1780-meanrtn)/stdevrtns</f>
        <v>0.72442004895353496</v>
      </c>
    </row>
    <row r="1781" spans="1:4" x14ac:dyDescent="0.3">
      <c r="A1781" s="1">
        <v>40463</v>
      </c>
      <c r="B1781">
        <v>1.5892949999999999</v>
      </c>
      <c r="C1781">
        <f t="shared" si="29"/>
        <v>-3.4962075302642191E-3</v>
      </c>
      <c r="D1781">
        <f>(C1781-meanrtn)/stdevrtns</f>
        <v>-0.57143781082841316</v>
      </c>
    </row>
    <row r="1782" spans="1:4" x14ac:dyDescent="0.3">
      <c r="A1782" s="1">
        <v>40464</v>
      </c>
      <c r="B1782">
        <v>1.5811029999999999</v>
      </c>
      <c r="C1782">
        <f t="shared" si="29"/>
        <v>-5.1544867378302819E-3</v>
      </c>
      <c r="D1782">
        <f>(C1782-meanrtn)/stdevrtns</f>
        <v>-0.8462814308278267</v>
      </c>
    </row>
    <row r="1783" spans="1:4" x14ac:dyDescent="0.3">
      <c r="A1783" s="1">
        <v>40465</v>
      </c>
      <c r="B1783">
        <v>1.590508</v>
      </c>
      <c r="C1783">
        <f t="shared" si="29"/>
        <v>5.9483790746081107E-3</v>
      </c>
      <c r="D1783">
        <f>(C1783-meanrtn)/stdevrtns</f>
        <v>0.99391038870129123</v>
      </c>
    </row>
    <row r="1784" spans="1:4" x14ac:dyDescent="0.3">
      <c r="A1784" s="1">
        <v>40466</v>
      </c>
      <c r="B1784">
        <v>1.6006400000000001</v>
      </c>
      <c r="C1784">
        <f t="shared" si="29"/>
        <v>6.3702917558415484E-3</v>
      </c>
      <c r="D1784">
        <f>(C1784-meanrtn)/stdevrtns</f>
        <v>1.06383830440136</v>
      </c>
    </row>
    <row r="1785" spans="1:4" x14ac:dyDescent="0.3">
      <c r="A1785" s="1">
        <v>40469</v>
      </c>
      <c r="B1785">
        <v>1.597904</v>
      </c>
      <c r="C1785">
        <f t="shared" si="29"/>
        <v>-1.7093162734906485E-3</v>
      </c>
      <c r="D1785">
        <f>(C1785-meanrtn)/stdevrtns</f>
        <v>-0.27527799689829463</v>
      </c>
    </row>
    <row r="1786" spans="1:4" x14ac:dyDescent="0.3">
      <c r="A1786" s="1">
        <v>40470</v>
      </c>
      <c r="B1786">
        <v>1.589396</v>
      </c>
      <c r="C1786">
        <f t="shared" si="29"/>
        <v>-5.3244750623316298E-3</v>
      </c>
      <c r="D1786">
        <f>(C1786-meanrtn)/stdevrtns</f>
        <v>-0.87445533920852625</v>
      </c>
    </row>
    <row r="1787" spans="1:4" x14ac:dyDescent="0.3">
      <c r="A1787" s="1">
        <v>40471</v>
      </c>
      <c r="B1787">
        <v>1.5703020000000001</v>
      </c>
      <c r="C1787">
        <f t="shared" si="29"/>
        <v>-1.2013368600399111E-2</v>
      </c>
      <c r="D1787">
        <f>(C1787-meanrtn)/stdevrtns</f>
        <v>-1.9830742650234738</v>
      </c>
    </row>
    <row r="1788" spans="1:4" x14ac:dyDescent="0.3">
      <c r="A1788" s="1">
        <v>40472</v>
      </c>
      <c r="B1788">
        <v>1.5845100000000001</v>
      </c>
      <c r="C1788">
        <f t="shared" si="29"/>
        <v>9.0479410966807644E-3</v>
      </c>
      <c r="D1788">
        <f>(C1788-meanrtn)/stdevrtns</f>
        <v>1.5076325910133601</v>
      </c>
    </row>
    <row r="1789" spans="1:4" x14ac:dyDescent="0.3">
      <c r="A1789" s="1">
        <v>40473</v>
      </c>
      <c r="B1789">
        <v>1.571191</v>
      </c>
      <c r="C1789">
        <f t="shared" si="29"/>
        <v>-8.4057531981496358E-3</v>
      </c>
      <c r="D1789">
        <f>(C1789-meanrtn)/stdevrtns</f>
        <v>-1.3851471655362875</v>
      </c>
    </row>
    <row r="1790" spans="1:4" x14ac:dyDescent="0.3">
      <c r="A1790" s="1">
        <v>40476</v>
      </c>
      <c r="B1790">
        <v>1.56789</v>
      </c>
      <c r="C1790">
        <f t="shared" si="29"/>
        <v>-2.1009539896804388E-3</v>
      </c>
      <c r="D1790">
        <f>(C1790-meanrtn)/stdevrtns</f>
        <v>-0.34018813214861354</v>
      </c>
    </row>
    <row r="1791" spans="1:4" x14ac:dyDescent="0.3">
      <c r="A1791" s="1">
        <v>40477</v>
      </c>
      <c r="B1791">
        <v>1.5709690000000001</v>
      </c>
      <c r="C1791">
        <f t="shared" si="29"/>
        <v>1.9637857247638891E-3</v>
      </c>
      <c r="D1791">
        <f>(C1791-meanrtn)/stdevrtns</f>
        <v>0.33350286776025156</v>
      </c>
    </row>
    <row r="1792" spans="1:4" x14ac:dyDescent="0.3">
      <c r="A1792" s="1">
        <v>40478</v>
      </c>
      <c r="B1792">
        <v>1.5850120000000001</v>
      </c>
      <c r="C1792">
        <f t="shared" si="29"/>
        <v>8.9390688167621558E-3</v>
      </c>
      <c r="D1792">
        <f>(C1792-meanrtn)/stdevrtns</f>
        <v>1.48958807149343</v>
      </c>
    </row>
    <row r="1793" spans="1:4" x14ac:dyDescent="0.3">
      <c r="A1793" s="1">
        <v>40479</v>
      </c>
      <c r="B1793">
        <v>1.577412</v>
      </c>
      <c r="C1793">
        <f t="shared" si="29"/>
        <v>-4.7949163791820189E-3</v>
      </c>
      <c r="D1793">
        <f>(C1793-meanrtn)/stdevrtns</f>
        <v>-0.78668614761829569</v>
      </c>
    </row>
    <row r="1794" spans="1:4" x14ac:dyDescent="0.3">
      <c r="A1794" s="1">
        <v>40480</v>
      </c>
      <c r="B1794">
        <v>1.577412</v>
      </c>
      <c r="C1794">
        <f t="shared" si="29"/>
        <v>0</v>
      </c>
      <c r="D1794">
        <f>(C1794-meanrtn)/stdevrtns</f>
        <v>8.0245194611897972E-3</v>
      </c>
    </row>
    <row r="1795" spans="1:4" x14ac:dyDescent="0.3">
      <c r="A1795" s="1">
        <v>40483</v>
      </c>
      <c r="B1795">
        <v>1.6048020000000001</v>
      </c>
      <c r="C1795">
        <f t="shared" si="29"/>
        <v>1.7363884641425336E-2</v>
      </c>
      <c r="D1795">
        <f>(C1795-meanrtn)/stdevrtns</f>
        <v>2.8859192010849024</v>
      </c>
    </row>
    <row r="1796" spans="1:4" x14ac:dyDescent="0.3">
      <c r="A1796" s="1">
        <v>40484</v>
      </c>
      <c r="B1796">
        <v>1.6059870000000001</v>
      </c>
      <c r="C1796">
        <f t="shared" ref="C1796:C1859" si="30">(B1796-B1795)/B1795</f>
        <v>7.3840885043761884E-4</v>
      </c>
      <c r="D1796">
        <f>(C1796-meanrtn)/stdevrtns</f>
        <v>0.13040859119525913</v>
      </c>
    </row>
    <row r="1797" spans="1:4" x14ac:dyDescent="0.3">
      <c r="A1797" s="1">
        <v>40485</v>
      </c>
      <c r="B1797">
        <v>1.603232</v>
      </c>
      <c r="C1797">
        <f t="shared" si="30"/>
        <v>-1.7154559781617552E-3</v>
      </c>
      <c r="D1797">
        <f>(C1797-meanrtn)/stdevrtns</f>
        <v>-0.27629559312083368</v>
      </c>
    </row>
    <row r="1798" spans="1:4" x14ac:dyDescent="0.3">
      <c r="A1798" s="1">
        <v>40486</v>
      </c>
      <c r="B1798">
        <v>1.610695</v>
      </c>
      <c r="C1798">
        <f t="shared" si="30"/>
        <v>4.6549719566475701E-3</v>
      </c>
      <c r="D1798">
        <f>(C1798-meanrtn)/stdevrtns</f>
        <v>0.77954076215628643</v>
      </c>
    </row>
    <row r="1799" spans="1:4" x14ac:dyDescent="0.3">
      <c r="A1799" s="1">
        <v>40487</v>
      </c>
      <c r="B1799">
        <v>1.6276040000000001</v>
      </c>
      <c r="C1799">
        <f t="shared" si="30"/>
        <v>1.0497952747106102E-2</v>
      </c>
      <c r="D1799">
        <f>(C1799-meanrtn)/stdevrtns</f>
        <v>1.7479578928237594</v>
      </c>
    </row>
    <row r="1800" spans="1:4" x14ac:dyDescent="0.3">
      <c r="A1800" s="1">
        <v>40490</v>
      </c>
      <c r="B1800">
        <v>1.6209560000000001</v>
      </c>
      <c r="C1800">
        <f t="shared" si="30"/>
        <v>-4.0845316182560295E-3</v>
      </c>
      <c r="D1800">
        <f>(C1800-meanrtn)/stdevrtns</f>
        <v>-0.66894679564759407</v>
      </c>
    </row>
    <row r="1801" spans="1:4" x14ac:dyDescent="0.3">
      <c r="A1801" s="1">
        <v>40491</v>
      </c>
      <c r="B1801">
        <v>1.611629</v>
      </c>
      <c r="C1801">
        <f t="shared" si="30"/>
        <v>-5.7540118300558963E-3</v>
      </c>
      <c r="D1801">
        <f>(C1801-meanrtn)/stdevrtns</f>
        <v>-0.94564687295359473</v>
      </c>
    </row>
    <row r="1802" spans="1:4" x14ac:dyDescent="0.3">
      <c r="A1802" s="1">
        <v>40492</v>
      </c>
      <c r="B1802">
        <v>1.6</v>
      </c>
      <c r="C1802">
        <f t="shared" si="30"/>
        <v>-7.21568053193377E-3</v>
      </c>
      <c r="D1802">
        <f>(C1802-meanrtn)/stdevrtns</f>
        <v>-1.1879042174532568</v>
      </c>
    </row>
    <row r="1803" spans="1:4" x14ac:dyDescent="0.3">
      <c r="A1803" s="1">
        <v>40493</v>
      </c>
      <c r="B1803">
        <v>1.6122270000000001</v>
      </c>
      <c r="C1803">
        <f t="shared" si="30"/>
        <v>7.6418749999999924E-3</v>
      </c>
      <c r="D1803">
        <f>(C1803-meanrtn)/stdevrtns</f>
        <v>1.2745908365205219</v>
      </c>
    </row>
    <row r="1804" spans="1:4" x14ac:dyDescent="0.3">
      <c r="A1804" s="1">
        <v>40494</v>
      </c>
      <c r="B1804">
        <v>1.610565</v>
      </c>
      <c r="C1804">
        <f t="shared" si="30"/>
        <v>-1.0308722034800635E-3</v>
      </c>
      <c r="D1804">
        <f>(C1804-meanrtn)/stdevrtns</f>
        <v>-0.16283250320936996</v>
      </c>
    </row>
    <row r="1805" spans="1:4" x14ac:dyDescent="0.3">
      <c r="A1805" s="1">
        <v>40497</v>
      </c>
      <c r="B1805">
        <v>1.612903</v>
      </c>
      <c r="C1805">
        <f t="shared" si="30"/>
        <v>1.4516644779937172E-3</v>
      </c>
      <c r="D1805">
        <f>(C1805-meanrtn)/stdevrtns</f>
        <v>0.24862376133551539</v>
      </c>
    </row>
    <row r="1806" spans="1:4" x14ac:dyDescent="0.3">
      <c r="A1806" s="1">
        <v>40498</v>
      </c>
      <c r="B1806">
        <v>1.604312</v>
      </c>
      <c r="C1806">
        <f t="shared" si="30"/>
        <v>-5.3264207456989142E-3</v>
      </c>
      <c r="D1806">
        <f>(C1806-meanrtn)/stdevrtns</f>
        <v>-0.87477781726746673</v>
      </c>
    </row>
    <row r="1807" spans="1:4" x14ac:dyDescent="0.3">
      <c r="A1807" s="1">
        <v>40499</v>
      </c>
      <c r="B1807">
        <v>1.588714</v>
      </c>
      <c r="C1807">
        <f t="shared" si="30"/>
        <v>-9.722547733857256E-3</v>
      </c>
      <c r="D1807">
        <f>(C1807-meanrtn)/stdevrtns</f>
        <v>-1.6033930286804838</v>
      </c>
    </row>
    <row r="1808" spans="1:4" x14ac:dyDescent="0.3">
      <c r="A1808" s="1">
        <v>40500</v>
      </c>
      <c r="B1808">
        <v>1.592103</v>
      </c>
      <c r="C1808">
        <f t="shared" si="30"/>
        <v>2.1331718610146863E-3</v>
      </c>
      <c r="D1808">
        <f>(C1808-meanrtn)/stdevrtns</f>
        <v>0.36157696930628347</v>
      </c>
    </row>
    <row r="1809" spans="1:4" x14ac:dyDescent="0.3">
      <c r="A1809" s="1">
        <v>40501</v>
      </c>
      <c r="B1809">
        <v>1.6051880000000001</v>
      </c>
      <c r="C1809">
        <f t="shared" si="30"/>
        <v>8.2186893687154743E-3</v>
      </c>
      <c r="D1809">
        <f>(C1809-meanrtn)/stdevrtns</f>
        <v>1.3701921975230078</v>
      </c>
    </row>
    <row r="1810" spans="1:4" x14ac:dyDescent="0.3">
      <c r="A1810" s="1">
        <v>40504</v>
      </c>
      <c r="B1810">
        <v>1.6004350000000001</v>
      </c>
      <c r="C1810">
        <f t="shared" si="30"/>
        <v>-2.9610238800688812E-3</v>
      </c>
      <c r="D1810">
        <f>(C1810-meanrtn)/stdevrtns</f>
        <v>-0.48273633576132824</v>
      </c>
    </row>
    <row r="1811" spans="1:4" x14ac:dyDescent="0.3">
      <c r="A1811" s="1">
        <v>40505</v>
      </c>
      <c r="B1811">
        <v>1.5946670000000001</v>
      </c>
      <c r="C1811">
        <f t="shared" si="30"/>
        <v>-3.6040201570198072E-3</v>
      </c>
      <c r="D1811">
        <f>(C1811-meanrtn)/stdevrtns</f>
        <v>-0.58930670316207712</v>
      </c>
    </row>
    <row r="1812" spans="1:4" x14ac:dyDescent="0.3">
      <c r="A1812" s="1">
        <v>40506</v>
      </c>
      <c r="B1812">
        <v>1.580503</v>
      </c>
      <c r="C1812">
        <f t="shared" si="30"/>
        <v>-8.8821051667840774E-3</v>
      </c>
      <c r="D1812">
        <f>(C1812-meanrtn)/stdevrtns</f>
        <v>-1.4640978626541137</v>
      </c>
    </row>
    <row r="1813" spans="1:4" x14ac:dyDescent="0.3">
      <c r="A1813" s="1">
        <v>40507</v>
      </c>
      <c r="B1813">
        <v>1.579005</v>
      </c>
      <c r="C1813">
        <f t="shared" si="30"/>
        <v>-9.4779952964341055E-4</v>
      </c>
      <c r="D1813">
        <f>(C1813-meanrtn)/stdevrtns</f>
        <v>-0.14906401700021829</v>
      </c>
    </row>
    <row r="1814" spans="1:4" x14ac:dyDescent="0.3">
      <c r="A1814" s="1">
        <v>40508</v>
      </c>
      <c r="B1814">
        <v>1.5759700000000001</v>
      </c>
      <c r="C1814">
        <f t="shared" si="30"/>
        <v>-1.9220965101439825E-3</v>
      </c>
      <c r="D1814">
        <f>(C1814-meanrtn)/stdevrtns</f>
        <v>-0.3105442477439348</v>
      </c>
    </row>
    <row r="1815" spans="1:4" x14ac:dyDescent="0.3">
      <c r="A1815" s="1">
        <v>40511</v>
      </c>
      <c r="B1815">
        <v>1.559016</v>
      </c>
      <c r="C1815">
        <f t="shared" si="30"/>
        <v>-1.0757818994016469E-2</v>
      </c>
      <c r="D1815">
        <f>(C1815-meanrtn)/stdevrtns</f>
        <v>-1.7749791521301908</v>
      </c>
    </row>
    <row r="1816" spans="1:4" x14ac:dyDescent="0.3">
      <c r="A1816" s="1">
        <v>40512</v>
      </c>
      <c r="B1816">
        <v>1.5556209999999999</v>
      </c>
      <c r="C1816">
        <f t="shared" si="30"/>
        <v>-2.1776556494609656E-3</v>
      </c>
      <c r="D1816">
        <f>(C1816-meanrtn)/stdevrtns</f>
        <v>-0.35290068485859111</v>
      </c>
    </row>
    <row r="1817" spans="1:4" x14ac:dyDescent="0.3">
      <c r="A1817" s="1">
        <v>40513</v>
      </c>
      <c r="B1817">
        <v>1.556808</v>
      </c>
      <c r="C1817">
        <f t="shared" si="30"/>
        <v>7.6303932641694162E-4</v>
      </c>
      <c r="D1817">
        <f>(C1817-meanrtn)/stdevrtns</f>
        <v>0.13449085258379914</v>
      </c>
    </row>
    <row r="1818" spans="1:4" x14ac:dyDescent="0.3">
      <c r="A1818" s="1">
        <v>40514</v>
      </c>
      <c r="B1818">
        <v>1.5610360000000001</v>
      </c>
      <c r="C1818">
        <f t="shared" si="30"/>
        <v>2.7158133822540228E-3</v>
      </c>
      <c r="D1818">
        <f>(C1818-meanrtn)/stdevrtns</f>
        <v>0.45814412405848154</v>
      </c>
    </row>
    <row r="1819" spans="1:4" x14ac:dyDescent="0.3">
      <c r="A1819" s="1">
        <v>40515</v>
      </c>
      <c r="B1819">
        <v>1.5590900000000001</v>
      </c>
      <c r="C1819">
        <f t="shared" si="30"/>
        <v>-1.2466080218521565E-3</v>
      </c>
      <c r="D1819">
        <f>(C1819-meanrtn)/stdevrtns</f>
        <v>-0.19858861292502522</v>
      </c>
    </row>
    <row r="1820" spans="1:4" x14ac:dyDescent="0.3">
      <c r="A1820" s="1">
        <v>40518</v>
      </c>
      <c r="B1820">
        <v>1.5767899999999999</v>
      </c>
      <c r="C1820">
        <f t="shared" si="30"/>
        <v>1.1352776298994815E-2</v>
      </c>
      <c r="D1820">
        <f>(C1820-meanrtn)/stdevrtns</f>
        <v>1.889636566951675</v>
      </c>
    </row>
    <row r="1821" spans="1:4" x14ac:dyDescent="0.3">
      <c r="A1821" s="1">
        <v>40519</v>
      </c>
      <c r="B1821">
        <v>1.57087</v>
      </c>
      <c r="C1821">
        <f t="shared" si="30"/>
        <v>-3.7544631815269792E-3</v>
      </c>
      <c r="D1821">
        <f>(C1821-meanrtn)/stdevrtns</f>
        <v>-0.61424116852264843</v>
      </c>
    </row>
    <row r="1822" spans="1:4" x14ac:dyDescent="0.3">
      <c r="A1822" s="1">
        <v>40520</v>
      </c>
      <c r="B1822">
        <v>1.5753239999999999</v>
      </c>
      <c r="C1822">
        <f t="shared" si="30"/>
        <v>2.8353714820449549E-3</v>
      </c>
      <c r="D1822">
        <f>(C1822-meanrtn)/stdevrtns</f>
        <v>0.47795971409715832</v>
      </c>
    </row>
    <row r="1823" spans="1:4" x14ac:dyDescent="0.3">
      <c r="A1823" s="1">
        <v>40521</v>
      </c>
      <c r="B1823">
        <v>1.5796539999999999</v>
      </c>
      <c r="C1823">
        <f t="shared" si="30"/>
        <v>2.748640914503902E-3</v>
      </c>
      <c r="D1823">
        <f>(C1823-meanrtn)/stdevrtns</f>
        <v>0.4635849676498614</v>
      </c>
    </row>
    <row r="1824" spans="1:4" x14ac:dyDescent="0.3">
      <c r="A1824" s="1">
        <v>40522</v>
      </c>
      <c r="B1824">
        <v>1.5775110000000001</v>
      </c>
      <c r="C1824">
        <f t="shared" si="30"/>
        <v>-1.3566261978887682E-3</v>
      </c>
      <c r="D1824">
        <f>(C1824-meanrtn)/stdevrtns</f>
        <v>-0.21682305356063841</v>
      </c>
    </row>
    <row r="1825" spans="1:4" x14ac:dyDescent="0.3">
      <c r="A1825" s="1">
        <v>40525</v>
      </c>
      <c r="B1825">
        <v>1.579904</v>
      </c>
      <c r="C1825">
        <f t="shared" si="30"/>
        <v>1.5169466330186396E-3</v>
      </c>
      <c r="D1825">
        <f>(C1825-meanrtn)/stdevrtns</f>
        <v>0.25944364240653689</v>
      </c>
    </row>
    <row r="1826" spans="1:4" x14ac:dyDescent="0.3">
      <c r="A1826" s="1">
        <v>40526</v>
      </c>
      <c r="B1826">
        <v>1.5861940000000001</v>
      </c>
      <c r="C1826">
        <f t="shared" si="30"/>
        <v>3.9812545572390024E-3</v>
      </c>
      <c r="D1826">
        <f>(C1826-meanrtn)/stdevrtns</f>
        <v>0.66787866806187879</v>
      </c>
    </row>
    <row r="1827" spans="1:4" x14ac:dyDescent="0.3">
      <c r="A1827" s="1">
        <v>40527</v>
      </c>
      <c r="B1827">
        <v>1.576392</v>
      </c>
      <c r="C1827">
        <f t="shared" si="30"/>
        <v>-6.1795719817374717E-3</v>
      </c>
      <c r="D1827">
        <f>(C1827-meanrtn)/stdevrtns</f>
        <v>-1.0161793213386499</v>
      </c>
    </row>
    <row r="1828" spans="1:4" x14ac:dyDescent="0.3">
      <c r="A1828" s="1">
        <v>40528</v>
      </c>
      <c r="B1828">
        <v>1.556081</v>
      </c>
      <c r="C1828">
        <f t="shared" si="30"/>
        <v>-1.2884485584803759E-2</v>
      </c>
      <c r="D1828">
        <f>(C1828-meanrtn)/stdevrtns</f>
        <v>-2.1274534168239452</v>
      </c>
    </row>
    <row r="1829" spans="1:4" x14ac:dyDescent="0.3">
      <c r="A1829" s="1">
        <v>40529</v>
      </c>
      <c r="B1829">
        <v>1.5632820000000001</v>
      </c>
      <c r="C1829">
        <f t="shared" si="30"/>
        <v>4.627651131271452E-3</v>
      </c>
      <c r="D1829">
        <f>(C1829-meanrtn)/stdevrtns</f>
        <v>0.77501260157061191</v>
      </c>
    </row>
    <row r="1830" spans="1:4" x14ac:dyDescent="0.3">
      <c r="A1830" s="1">
        <v>40532</v>
      </c>
      <c r="B1830">
        <v>1.551301</v>
      </c>
      <c r="C1830">
        <f t="shared" si="30"/>
        <v>-7.6640043191183796E-3</v>
      </c>
      <c r="D1830">
        <f>(C1830-meanrtn)/stdevrtns</f>
        <v>-1.262209516608831</v>
      </c>
    </row>
    <row r="1831" spans="1:4" x14ac:dyDescent="0.3">
      <c r="A1831" s="1">
        <v>40533</v>
      </c>
      <c r="B1831">
        <v>1.5508200000000001</v>
      </c>
      <c r="C1831">
        <f t="shared" si="30"/>
        <v>-3.1006232832954639E-4</v>
      </c>
      <c r="D1831">
        <f>(C1831-meanrtn)/stdevrtns</f>
        <v>-4.3365290140667784E-2</v>
      </c>
    </row>
    <row r="1832" spans="1:4" x14ac:dyDescent="0.3">
      <c r="A1832" s="1">
        <v>40534</v>
      </c>
      <c r="B1832">
        <v>1.5465990000000001</v>
      </c>
      <c r="C1832">
        <f t="shared" si="30"/>
        <v>-2.7217858939142065E-3</v>
      </c>
      <c r="D1832">
        <f>(C1832-meanrtn)/stdevrtns</f>
        <v>-0.44308497074624775</v>
      </c>
    </row>
    <row r="1833" spans="1:4" x14ac:dyDescent="0.3">
      <c r="A1833" s="1">
        <v>40535</v>
      </c>
      <c r="B1833">
        <v>1.540405</v>
      </c>
      <c r="C1833">
        <f t="shared" si="30"/>
        <v>-4.0049165944113715E-3</v>
      </c>
      <c r="D1833">
        <f>(C1833-meanrtn)/stdevrtns</f>
        <v>-0.65575138123247745</v>
      </c>
    </row>
    <row r="1834" spans="1:4" x14ac:dyDescent="0.3">
      <c r="A1834" s="1">
        <v>40536</v>
      </c>
      <c r="B1834">
        <v>1.54464</v>
      </c>
      <c r="C1834">
        <f t="shared" si="30"/>
        <v>2.7492769758602374E-3</v>
      </c>
      <c r="D1834">
        <f>(C1834-meanrtn)/stdevrtns</f>
        <v>0.46369038862174561</v>
      </c>
    </row>
    <row r="1835" spans="1:4" x14ac:dyDescent="0.3">
      <c r="A1835" s="1">
        <v>40539</v>
      </c>
      <c r="B1835">
        <v>1.5413779999999999</v>
      </c>
      <c r="C1835">
        <f t="shared" si="30"/>
        <v>-2.1118189351564754E-3</v>
      </c>
      <c r="D1835">
        <f>(C1835-meanrtn)/stdevrtns</f>
        <v>-0.34198889099073465</v>
      </c>
    </row>
    <row r="1836" spans="1:4" x14ac:dyDescent="0.3">
      <c r="A1836" s="1">
        <v>40540</v>
      </c>
      <c r="B1836">
        <v>1.544211</v>
      </c>
      <c r="C1836">
        <f t="shared" si="30"/>
        <v>1.8379657682931023E-3</v>
      </c>
      <c r="D1836">
        <f>(C1836-meanrtn)/stdevrtns</f>
        <v>0.31264943599386308</v>
      </c>
    </row>
    <row r="1837" spans="1:4" x14ac:dyDescent="0.3">
      <c r="A1837" s="1">
        <v>40541</v>
      </c>
      <c r="B1837">
        <v>1.535579</v>
      </c>
      <c r="C1837">
        <f t="shared" si="30"/>
        <v>-5.5899096690801798E-3</v>
      </c>
      <c r="D1837">
        <f>(C1837-meanrtn)/stdevrtns</f>
        <v>-0.91844853882113486</v>
      </c>
    </row>
    <row r="1838" spans="1:4" x14ac:dyDescent="0.3">
      <c r="A1838" s="1">
        <v>40542</v>
      </c>
      <c r="B1838">
        <v>1.550195</v>
      </c>
      <c r="C1838">
        <f t="shared" si="30"/>
        <v>9.5182338388321037E-3</v>
      </c>
      <c r="D1838">
        <f>(C1838-meanrtn)/stdevrtns</f>
        <v>1.5855790303841109</v>
      </c>
    </row>
    <row r="1839" spans="1:4" x14ac:dyDescent="0.3">
      <c r="A1839" s="1">
        <v>40543</v>
      </c>
      <c r="B1839">
        <v>1.5437099999999999</v>
      </c>
      <c r="C1839">
        <f t="shared" si="30"/>
        <v>-4.1833446759924229E-3</v>
      </c>
      <c r="D1839">
        <f>(C1839-meanrtn)/stdevrtns</f>
        <v>-0.68532409711020048</v>
      </c>
    </row>
    <row r="1840" spans="1:4" x14ac:dyDescent="0.3">
      <c r="A1840" s="1">
        <v>40546</v>
      </c>
      <c r="B1840">
        <v>1.5572440000000001</v>
      </c>
      <c r="C1840">
        <f t="shared" si="30"/>
        <v>8.7671907288287033E-3</v>
      </c>
      <c r="D1840">
        <f>(C1840-meanrtn)/stdevrtns</f>
        <v>1.4611009532381494</v>
      </c>
    </row>
    <row r="1841" spans="1:4" x14ac:dyDescent="0.3">
      <c r="A1841" s="1">
        <v>40547</v>
      </c>
      <c r="B1841">
        <v>1.5489710000000001</v>
      </c>
      <c r="C1841">
        <f t="shared" si="30"/>
        <v>-5.3125907051174859E-3</v>
      </c>
      <c r="D1841">
        <f>(C1841-meanrtn)/stdevrtns</f>
        <v>-0.87248562280419673</v>
      </c>
    </row>
    <row r="1842" spans="1:4" x14ac:dyDescent="0.3">
      <c r="A1842" s="1">
        <v>40548</v>
      </c>
      <c r="B1842">
        <v>1.559795</v>
      </c>
      <c r="C1842">
        <f t="shared" si="30"/>
        <v>6.9878648470500376E-3</v>
      </c>
      <c r="D1842">
        <f>(C1842-meanrtn)/stdevrtns</f>
        <v>1.1661950264946792</v>
      </c>
    </row>
    <row r="1843" spans="1:4" x14ac:dyDescent="0.3">
      <c r="A1843" s="1">
        <v>40549</v>
      </c>
      <c r="B1843">
        <v>1.5512049999999999</v>
      </c>
      <c r="C1843">
        <f t="shared" si="30"/>
        <v>-5.5071339502948125E-3</v>
      </c>
      <c r="D1843">
        <f>(C1843-meanrtn)/stdevrtns</f>
        <v>-0.90472927001813541</v>
      </c>
    </row>
    <row r="1844" spans="1:4" x14ac:dyDescent="0.3">
      <c r="A1844" s="1">
        <v>40550</v>
      </c>
      <c r="B1844">
        <v>1.545094</v>
      </c>
      <c r="C1844">
        <f t="shared" si="30"/>
        <v>-3.9395179876289578E-3</v>
      </c>
      <c r="D1844">
        <f>(C1844-meanrtn)/stdevrtns</f>
        <v>-0.64491219941738454</v>
      </c>
    </row>
    <row r="1845" spans="1:4" x14ac:dyDescent="0.3">
      <c r="A1845" s="1">
        <v>40553</v>
      </c>
      <c r="B1845">
        <v>1.5540020000000001</v>
      </c>
      <c r="C1845">
        <f t="shared" si="30"/>
        <v>5.7653450210797133E-3</v>
      </c>
      <c r="D1845">
        <f>(C1845-meanrtn)/stdevrtns</f>
        <v>0.96357427785494743</v>
      </c>
    </row>
    <row r="1846" spans="1:4" x14ac:dyDescent="0.3">
      <c r="A1846" s="1">
        <v>40554</v>
      </c>
      <c r="B1846">
        <v>1.5589919999999999</v>
      </c>
      <c r="C1846">
        <f t="shared" si="30"/>
        <v>3.2110640784244987E-3</v>
      </c>
      <c r="D1846">
        <f>(C1846-meanrtn)/stdevrtns</f>
        <v>0.54022710111185002</v>
      </c>
    </row>
    <row r="1847" spans="1:4" x14ac:dyDescent="0.3">
      <c r="A1847" s="1">
        <v>40555</v>
      </c>
      <c r="B1847">
        <v>1.5607930000000001</v>
      </c>
      <c r="C1847">
        <f t="shared" si="30"/>
        <v>1.1552336381457785E-3</v>
      </c>
      <c r="D1847">
        <f>(C1847-meanrtn)/stdevrtns</f>
        <v>0.19949323812111988</v>
      </c>
    </row>
    <row r="1848" spans="1:4" x14ac:dyDescent="0.3">
      <c r="A1848" s="1">
        <v>40556</v>
      </c>
      <c r="B1848">
        <v>1.574927</v>
      </c>
      <c r="C1848">
        <f t="shared" si="30"/>
        <v>9.0556531199203656E-3</v>
      </c>
      <c r="D1848">
        <f>(C1848-meanrtn)/stdevrtns</f>
        <v>1.5089107837175926</v>
      </c>
    </row>
    <row r="1849" spans="1:4" x14ac:dyDescent="0.3">
      <c r="A1849" s="1">
        <v>40557</v>
      </c>
      <c r="B1849">
        <v>1.584284</v>
      </c>
      <c r="C1849">
        <f t="shared" si="30"/>
        <v>5.9412277521434711E-3</v>
      </c>
      <c r="D1849">
        <f>(C1849-meanrtn)/stdevrtns</f>
        <v>0.99272512668691093</v>
      </c>
    </row>
    <row r="1850" spans="1:4" x14ac:dyDescent="0.3">
      <c r="A1850" s="1">
        <v>40560</v>
      </c>
      <c r="B1850">
        <v>1.588133</v>
      </c>
      <c r="C1850">
        <f t="shared" si="30"/>
        <v>2.4294886522870846E-3</v>
      </c>
      <c r="D1850">
        <f>(C1850-meanrtn)/stdevrtns</f>
        <v>0.41068859008059877</v>
      </c>
    </row>
    <row r="1851" spans="1:4" x14ac:dyDescent="0.3">
      <c r="A1851" s="1">
        <v>40561</v>
      </c>
      <c r="B1851">
        <v>1.5900019999999999</v>
      </c>
      <c r="C1851">
        <f t="shared" si="30"/>
        <v>1.1768535758654335E-3</v>
      </c>
      <c r="D1851">
        <f>(C1851-meanrtn)/stdevrtns</f>
        <v>0.20307653212849838</v>
      </c>
    </row>
    <row r="1852" spans="1:4" x14ac:dyDescent="0.3">
      <c r="A1852" s="1">
        <v>40562</v>
      </c>
      <c r="B1852">
        <v>1.5962970000000001</v>
      </c>
      <c r="C1852">
        <f t="shared" si="30"/>
        <v>3.9591145168371873E-3</v>
      </c>
      <c r="D1852">
        <f>(C1852-meanrtn)/stdevrtns</f>
        <v>0.66420917210293262</v>
      </c>
    </row>
    <row r="1853" spans="1:4" x14ac:dyDescent="0.3">
      <c r="A1853" s="1">
        <v>40563</v>
      </c>
      <c r="B1853">
        <v>1.5974189999999999</v>
      </c>
      <c r="C1853">
        <f t="shared" si="30"/>
        <v>7.0287672030946958E-4</v>
      </c>
      <c r="D1853">
        <f>(C1853-meanrtn)/stdevrtns</f>
        <v>0.12451948685978086</v>
      </c>
    </row>
    <row r="1854" spans="1:4" x14ac:dyDescent="0.3">
      <c r="A1854" s="1">
        <v>40564</v>
      </c>
      <c r="B1854">
        <v>1.590989</v>
      </c>
      <c r="C1854">
        <f t="shared" si="30"/>
        <v>-4.0252432204699803E-3</v>
      </c>
      <c r="D1854">
        <f>(C1854-meanrtn)/stdevrtns</f>
        <v>-0.65912032143436439</v>
      </c>
    </row>
    <row r="1855" spans="1:4" x14ac:dyDescent="0.3">
      <c r="A1855" s="1">
        <v>40567</v>
      </c>
      <c r="B1855">
        <v>1.599386</v>
      </c>
      <c r="C1855">
        <f t="shared" si="30"/>
        <v>5.2778491868894052E-3</v>
      </c>
      <c r="D1855">
        <f>(C1855-meanrtn)/stdevrtns</f>
        <v>0.8827765936096299</v>
      </c>
    </row>
    <row r="1856" spans="1:4" x14ac:dyDescent="0.3">
      <c r="A1856" s="1">
        <v>40568</v>
      </c>
      <c r="B1856">
        <v>1.598644</v>
      </c>
      <c r="C1856">
        <f t="shared" si="30"/>
        <v>-4.6392803238243951E-4</v>
      </c>
      <c r="D1856">
        <f>(C1856-meanrtn)/stdevrtns</f>
        <v>-6.8867031284564298E-2</v>
      </c>
    </row>
    <row r="1857" spans="1:4" x14ac:dyDescent="0.3">
      <c r="A1857" s="1">
        <v>40569</v>
      </c>
      <c r="B1857">
        <v>1.582003</v>
      </c>
      <c r="C1857">
        <f t="shared" si="30"/>
        <v>-1.0409447006337813E-2</v>
      </c>
      <c r="D1857">
        <f>(C1857-meanrtn)/stdevrtns</f>
        <v>-1.7172398897893655</v>
      </c>
    </row>
    <row r="1858" spans="1:4" x14ac:dyDescent="0.3">
      <c r="A1858" s="1">
        <v>40570</v>
      </c>
      <c r="B1858">
        <v>1.592991</v>
      </c>
      <c r="C1858">
        <f t="shared" si="30"/>
        <v>6.9456252611404638E-3</v>
      </c>
      <c r="D1858">
        <f>(C1858-meanrtn)/stdevrtns</f>
        <v>1.1591942267224244</v>
      </c>
    </row>
    <row r="1859" spans="1:4" x14ac:dyDescent="0.3">
      <c r="A1859" s="1">
        <v>40571</v>
      </c>
      <c r="B1859">
        <v>1.592686</v>
      </c>
      <c r="C1859">
        <f t="shared" si="30"/>
        <v>-1.914637308057608E-4</v>
      </c>
      <c r="D1859">
        <f>(C1859-meanrtn)/stdevrtns</f>
        <v>-2.3708728253159374E-2</v>
      </c>
    </row>
    <row r="1860" spans="1:4" x14ac:dyDescent="0.3">
      <c r="A1860" s="1">
        <v>40574</v>
      </c>
      <c r="B1860">
        <v>1.5829299999999999</v>
      </c>
      <c r="C1860">
        <f t="shared" ref="C1860:C1923" si="31">(B1860-B1859)/B1859</f>
        <v>-6.1255011973484399E-3</v>
      </c>
      <c r="D1860">
        <f>(C1860-meanrtn)/stdevrtns</f>
        <v>-1.0072176157043489</v>
      </c>
    </row>
    <row r="1861" spans="1:4" x14ac:dyDescent="0.3">
      <c r="A1861" s="1">
        <v>40575</v>
      </c>
      <c r="B1861">
        <v>1.6030009999999999</v>
      </c>
      <c r="C1861">
        <f t="shared" si="31"/>
        <v>1.2679651026893135E-2</v>
      </c>
      <c r="D1861">
        <f>(C1861-meanrtn)/stdevrtns</f>
        <v>2.1095531237277649</v>
      </c>
    </row>
    <row r="1862" spans="1:4" x14ac:dyDescent="0.3">
      <c r="A1862" s="1">
        <v>40576</v>
      </c>
      <c r="B1862">
        <v>1.6136060000000001</v>
      </c>
      <c r="C1862">
        <f t="shared" si="31"/>
        <v>6.6157163969331259E-3</v>
      </c>
      <c r="D1862">
        <f>(C1862-meanrtn)/stdevrtns</f>
        <v>1.1045150471880412</v>
      </c>
    </row>
    <row r="1863" spans="1:4" x14ac:dyDescent="0.3">
      <c r="A1863" s="1">
        <v>40577</v>
      </c>
      <c r="B1863">
        <v>1.6204829999999999</v>
      </c>
      <c r="C1863">
        <f t="shared" si="31"/>
        <v>4.2618830123337418E-3</v>
      </c>
      <c r="D1863">
        <f>(C1863-meanrtn)/stdevrtns</f>
        <v>0.7143900999855094</v>
      </c>
    </row>
    <row r="1864" spans="1:4" x14ac:dyDescent="0.3">
      <c r="A1864" s="1">
        <v>40578</v>
      </c>
      <c r="B1864">
        <v>1.6134500000000001</v>
      </c>
      <c r="C1864">
        <f t="shared" si="31"/>
        <v>-4.3400640426341066E-3</v>
      </c>
      <c r="D1864">
        <f>(C1864-meanrtn)/stdevrtns</f>
        <v>-0.71129880502144327</v>
      </c>
    </row>
    <row r="1865" spans="1:4" x14ac:dyDescent="0.3">
      <c r="A1865" s="1">
        <v>40581</v>
      </c>
      <c r="B1865">
        <v>1.609969</v>
      </c>
      <c r="C1865">
        <f t="shared" si="31"/>
        <v>-2.1574886113607905E-3</v>
      </c>
      <c r="D1865">
        <f>(C1865-meanrtn)/stdevrtns</f>
        <v>-0.34955819480575279</v>
      </c>
    </row>
    <row r="1866" spans="1:4" x14ac:dyDescent="0.3">
      <c r="A1866" s="1">
        <v>40582</v>
      </c>
      <c r="B1866">
        <v>1.612903</v>
      </c>
      <c r="C1866">
        <f t="shared" si="31"/>
        <v>1.8223953380468768E-3</v>
      </c>
      <c r="D1866">
        <f>(C1866-meanrtn)/stdevrtns</f>
        <v>0.31006878890241091</v>
      </c>
    </row>
    <row r="1867" spans="1:4" x14ac:dyDescent="0.3">
      <c r="A1867" s="1">
        <v>40583</v>
      </c>
      <c r="B1867">
        <v>1.6066320000000001</v>
      </c>
      <c r="C1867">
        <f t="shared" si="31"/>
        <v>-3.8880205443228241E-3</v>
      </c>
      <c r="D1867">
        <f>(C1867-meanrtn)/stdevrtns</f>
        <v>-0.63637699999234532</v>
      </c>
    </row>
    <row r="1868" spans="1:4" x14ac:dyDescent="0.3">
      <c r="A1868" s="1">
        <v>40584</v>
      </c>
      <c r="B1868">
        <v>1.61015</v>
      </c>
      <c r="C1868">
        <f t="shared" si="31"/>
        <v>2.1896738020902797E-3</v>
      </c>
      <c r="D1868">
        <f>(C1868-meanrtn)/stdevrtns</f>
        <v>0.37094161547163135</v>
      </c>
    </row>
    <row r="1869" spans="1:4" x14ac:dyDescent="0.3">
      <c r="A1869" s="1">
        <v>40585</v>
      </c>
      <c r="B1869">
        <v>1.60971</v>
      </c>
      <c r="C1869">
        <f t="shared" si="31"/>
        <v>-2.7326646585721574E-4</v>
      </c>
      <c r="D1869">
        <f>(C1869-meanrtn)/stdevrtns</f>
        <v>-3.7266734483240568E-2</v>
      </c>
    </row>
    <row r="1870" spans="1:4" x14ac:dyDescent="0.3">
      <c r="A1870" s="1">
        <v>40588</v>
      </c>
      <c r="B1870">
        <v>1.6003069999999999</v>
      </c>
      <c r="C1870">
        <f t="shared" si="31"/>
        <v>-5.84142485292385E-3</v>
      </c>
      <c r="D1870">
        <f>(C1870-meanrtn)/stdevrtns</f>
        <v>-0.96013472972132352</v>
      </c>
    </row>
    <row r="1871" spans="1:4" x14ac:dyDescent="0.3">
      <c r="A1871" s="1">
        <v>40589</v>
      </c>
      <c r="B1871">
        <v>1.6028210000000001</v>
      </c>
      <c r="C1871">
        <f t="shared" si="31"/>
        <v>1.5709485742423969E-3</v>
      </c>
      <c r="D1871">
        <f>(C1871-meanrtn)/stdevrtns</f>
        <v>0.26839393795701749</v>
      </c>
    </row>
    <row r="1872" spans="1:4" x14ac:dyDescent="0.3">
      <c r="A1872" s="1">
        <v>40590</v>
      </c>
      <c r="B1872">
        <v>1.613658</v>
      </c>
      <c r="C1872">
        <f t="shared" si="31"/>
        <v>6.7612041519296198E-3</v>
      </c>
      <c r="D1872">
        <f>(C1872-meanrtn)/stdevrtns</f>
        <v>1.1286282249125053</v>
      </c>
    </row>
    <row r="1873" spans="1:4" x14ac:dyDescent="0.3">
      <c r="A1873" s="1">
        <v>40591</v>
      </c>
      <c r="B1873">
        <v>1.6092949999999999</v>
      </c>
      <c r="C1873">
        <f t="shared" si="31"/>
        <v>-2.7037947322171838E-3</v>
      </c>
      <c r="D1873">
        <f>(C1873-meanrtn)/stdevrtns</f>
        <v>-0.44010311100499094</v>
      </c>
    </row>
    <row r="1874" spans="1:4" x14ac:dyDescent="0.3">
      <c r="A1874" s="1">
        <v>40592</v>
      </c>
      <c r="B1874">
        <v>1.6178090000000001</v>
      </c>
      <c r="C1874">
        <f t="shared" si="31"/>
        <v>5.2905154120283307E-3</v>
      </c>
      <c r="D1874">
        <f>(C1874-meanrtn)/stdevrtns</f>
        <v>0.88487589700379077</v>
      </c>
    </row>
    <row r="1875" spans="1:4" x14ac:dyDescent="0.3">
      <c r="A1875" s="1">
        <v>40595</v>
      </c>
      <c r="B1875">
        <v>1.6250910000000001</v>
      </c>
      <c r="C1875">
        <f t="shared" si="31"/>
        <v>4.5011493940261245E-3</v>
      </c>
      <c r="D1875">
        <f>(C1875-meanrtn)/stdevrtns</f>
        <v>0.75404617128427232</v>
      </c>
    </row>
    <row r="1876" spans="1:4" x14ac:dyDescent="0.3">
      <c r="A1876" s="1">
        <v>40596</v>
      </c>
      <c r="B1876">
        <v>1.622797</v>
      </c>
      <c r="C1876">
        <f t="shared" si="31"/>
        <v>-1.4116132573499074E-3</v>
      </c>
      <c r="D1876">
        <f>(C1876-meanrtn)/stdevrtns</f>
        <v>-0.225936622859746</v>
      </c>
    </row>
    <row r="1877" spans="1:4" x14ac:dyDescent="0.3">
      <c r="A1877" s="1">
        <v>40597</v>
      </c>
      <c r="B1877">
        <v>1.6160049999999999</v>
      </c>
      <c r="C1877">
        <f t="shared" si="31"/>
        <v>-4.1853663766941466E-3</v>
      </c>
      <c r="D1877">
        <f>(C1877-meanrtn)/stdevrtns</f>
        <v>-0.68565917430159373</v>
      </c>
    </row>
    <row r="1878" spans="1:4" x14ac:dyDescent="0.3">
      <c r="A1878" s="1">
        <v>40598</v>
      </c>
      <c r="B1878">
        <v>1.623508</v>
      </c>
      <c r="C1878">
        <f t="shared" si="31"/>
        <v>4.6429311790495932E-3</v>
      </c>
      <c r="D1878">
        <f>(C1878-meanrtn)/stdevrtns</f>
        <v>0.77754512059753278</v>
      </c>
    </row>
    <row r="1879" spans="1:4" x14ac:dyDescent="0.3">
      <c r="A1879" s="1">
        <v>40599</v>
      </c>
      <c r="B1879">
        <v>1.6144400000000001</v>
      </c>
      <c r="C1879">
        <f t="shared" si="31"/>
        <v>-5.5854359818367722E-3</v>
      </c>
      <c r="D1879">
        <f>(C1879-meanrtn)/stdevrtns</f>
        <v>-0.91770706875317931</v>
      </c>
    </row>
    <row r="1880" spans="1:4" x14ac:dyDescent="0.3">
      <c r="A1880" s="1">
        <v>40602</v>
      </c>
      <c r="B1880">
        <v>1.610047</v>
      </c>
      <c r="C1880">
        <f t="shared" si="31"/>
        <v>-2.7210673670127667E-3</v>
      </c>
      <c r="D1880">
        <f>(C1880-meanrtn)/stdevrtns</f>
        <v>-0.4429658819138258</v>
      </c>
    </row>
    <row r="1881" spans="1:4" x14ac:dyDescent="0.3">
      <c r="A1881" s="1">
        <v>40603</v>
      </c>
      <c r="B1881">
        <v>1.627048</v>
      </c>
      <c r="C1881">
        <f t="shared" si="31"/>
        <v>1.055931907577856E-2</v>
      </c>
      <c r="D1881">
        <f>(C1881-meanrtn)/stdevrtns</f>
        <v>1.7581287638335741</v>
      </c>
    </row>
    <row r="1882" spans="1:4" x14ac:dyDescent="0.3">
      <c r="A1882" s="1">
        <v>40604</v>
      </c>
      <c r="B1882">
        <v>1.6262810000000001</v>
      </c>
      <c r="C1882">
        <f t="shared" si="31"/>
        <v>-4.7140588353875371E-4</v>
      </c>
      <c r="D1882">
        <f>(C1882-meanrtn)/stdevrtns</f>
        <v>-7.0106412247818828E-2</v>
      </c>
    </row>
    <row r="1883" spans="1:4" x14ac:dyDescent="0.3">
      <c r="A1883" s="1">
        <v>40605</v>
      </c>
      <c r="B1883">
        <v>1.6332930000000001</v>
      </c>
      <c r="C1883">
        <f t="shared" si="31"/>
        <v>4.3116779941473936E-3</v>
      </c>
      <c r="D1883">
        <f>(C1883-meanrtn)/stdevrtns</f>
        <v>0.72264313300734673</v>
      </c>
    </row>
    <row r="1884" spans="1:4" x14ac:dyDescent="0.3">
      <c r="A1884" s="1">
        <v>40606</v>
      </c>
      <c r="B1884">
        <v>1.627445</v>
      </c>
      <c r="C1884">
        <f t="shared" si="31"/>
        <v>-3.5804965796094605E-3</v>
      </c>
      <c r="D1884">
        <f>(C1884-meanrtn)/stdevrtns</f>
        <v>-0.58540789942547011</v>
      </c>
    </row>
    <row r="1885" spans="1:4" x14ac:dyDescent="0.3">
      <c r="A1885" s="1">
        <v>40609</v>
      </c>
      <c r="B1885">
        <v>1.6268359999999999</v>
      </c>
      <c r="C1885">
        <f t="shared" si="31"/>
        <v>-3.7420619437221025E-4</v>
      </c>
      <c r="D1885">
        <f>(C1885-meanrtn)/stdevrtns</f>
        <v>-5.3996510904630028E-2</v>
      </c>
    </row>
    <row r="1886" spans="1:4" x14ac:dyDescent="0.3">
      <c r="A1886" s="1">
        <v>40610</v>
      </c>
      <c r="B1886">
        <v>1.619853</v>
      </c>
      <c r="C1886">
        <f t="shared" si="31"/>
        <v>-4.2923810390229633E-3</v>
      </c>
      <c r="D1886">
        <f>(C1886-meanrtn)/stdevrtns</f>
        <v>-0.70339581180706956</v>
      </c>
    </row>
    <row r="1887" spans="1:4" x14ac:dyDescent="0.3">
      <c r="A1887" s="1">
        <v>40611</v>
      </c>
      <c r="B1887">
        <v>1.616344</v>
      </c>
      <c r="C1887">
        <f t="shared" si="31"/>
        <v>-2.1662459494781222E-3</v>
      </c>
      <c r="D1887">
        <f>(C1887-meanrtn)/stdevrtns</f>
        <v>-0.35100963826518022</v>
      </c>
    </row>
    <row r="1888" spans="1:4" x14ac:dyDescent="0.3">
      <c r="A1888" s="1">
        <v>40612</v>
      </c>
      <c r="B1888">
        <v>1.62001</v>
      </c>
      <c r="C1888">
        <f t="shared" si="31"/>
        <v>2.2680815469973887E-3</v>
      </c>
      <c r="D1888">
        <f>(C1888-meanrtn)/stdevrtns</f>
        <v>0.38393693516685334</v>
      </c>
    </row>
    <row r="1889" spans="1:4" x14ac:dyDescent="0.3">
      <c r="A1889" s="1">
        <v>40613</v>
      </c>
      <c r="B1889">
        <v>1.606606</v>
      </c>
      <c r="C1889">
        <f t="shared" si="31"/>
        <v>-8.2740229998580078E-3</v>
      </c>
      <c r="D1889">
        <f>(C1889-meanrtn)/stdevrtns</f>
        <v>-1.3633141687788526</v>
      </c>
    </row>
    <row r="1890" spans="1:4" x14ac:dyDescent="0.3">
      <c r="A1890" s="1">
        <v>40616</v>
      </c>
      <c r="B1890">
        <v>1.6071489999999999</v>
      </c>
      <c r="C1890">
        <f t="shared" si="31"/>
        <v>3.3797956686328832E-4</v>
      </c>
      <c r="D1890">
        <f>(C1890-meanrtn)/stdevrtns</f>
        <v>6.4041339318010773E-2</v>
      </c>
    </row>
    <row r="1891" spans="1:4" x14ac:dyDescent="0.3">
      <c r="A1891" s="1">
        <v>40617</v>
      </c>
      <c r="B1891">
        <v>1.6172070000000001</v>
      </c>
      <c r="C1891">
        <f t="shared" si="31"/>
        <v>6.2582871905468148E-3</v>
      </c>
      <c r="D1891">
        <f>(C1891-meanrtn)/stdevrtns</f>
        <v>1.0452746391020478</v>
      </c>
    </row>
    <row r="1892" spans="1:4" x14ac:dyDescent="0.3">
      <c r="A1892" s="1">
        <v>40618</v>
      </c>
      <c r="B1892">
        <v>1.6072</v>
      </c>
      <c r="C1892">
        <f t="shared" si="31"/>
        <v>-6.1878287689826339E-3</v>
      </c>
      <c r="D1892">
        <f>(C1892-meanrtn)/stdevrtns</f>
        <v>-1.0175478033684984</v>
      </c>
    </row>
    <row r="1893" spans="1:4" x14ac:dyDescent="0.3">
      <c r="A1893" s="1">
        <v>40619</v>
      </c>
      <c r="B1893">
        <v>1.5991299999999999</v>
      </c>
      <c r="C1893">
        <f t="shared" si="31"/>
        <v>-5.0211548033847822E-3</v>
      </c>
      <c r="D1893">
        <f>(C1893-meanrtn)/stdevrtns</f>
        <v>-0.82418296191057361</v>
      </c>
    </row>
    <row r="1894" spans="1:4" x14ac:dyDescent="0.3">
      <c r="A1894" s="1">
        <v>40620</v>
      </c>
      <c r="B1894">
        <v>1.6143350000000001</v>
      </c>
      <c r="C1894">
        <f t="shared" si="31"/>
        <v>9.5082951354800022E-3</v>
      </c>
      <c r="D1894">
        <f>(C1894-meanrtn)/stdevrtns</f>
        <v>1.5839317871485155</v>
      </c>
    </row>
    <row r="1895" spans="1:4" x14ac:dyDescent="0.3">
      <c r="A1895" s="1">
        <v>40623</v>
      </c>
      <c r="B1895">
        <v>1.6222970000000001</v>
      </c>
      <c r="C1895">
        <f t="shared" si="31"/>
        <v>4.9320618087324037E-3</v>
      </c>
      <c r="D1895">
        <f>(C1895-meanrtn)/stdevrtns</f>
        <v>0.82546570511198814</v>
      </c>
    </row>
    <row r="1896" spans="1:4" x14ac:dyDescent="0.3">
      <c r="A1896" s="1">
        <v>40624</v>
      </c>
      <c r="B1896">
        <v>1.6308689999999999</v>
      </c>
      <c r="C1896">
        <f t="shared" si="31"/>
        <v>5.2838660245317602E-3</v>
      </c>
      <c r="D1896">
        <f>(C1896-meanrtn)/stdevrtns</f>
        <v>0.88377382581939801</v>
      </c>
    </row>
    <row r="1897" spans="1:4" x14ac:dyDescent="0.3">
      <c r="A1897" s="1">
        <v>40625</v>
      </c>
      <c r="B1897">
        <v>1.6360189999999999</v>
      </c>
      <c r="C1897">
        <f t="shared" si="31"/>
        <v>3.1578256745330179E-3</v>
      </c>
      <c r="D1897">
        <f>(C1897-meanrtn)/stdevrtns</f>
        <v>0.53140335443411069</v>
      </c>
    </row>
    <row r="1898" spans="1:4" x14ac:dyDescent="0.3">
      <c r="A1898" s="1">
        <v>40626</v>
      </c>
      <c r="B1898">
        <v>1.6249070000000001</v>
      </c>
      <c r="C1898">
        <f t="shared" si="31"/>
        <v>-6.7920971577957161E-3</v>
      </c>
      <c r="D1898">
        <f>(C1898-meanrtn)/stdevrtns</f>
        <v>-1.1176994006838643</v>
      </c>
    </row>
    <row r="1899" spans="1:4" x14ac:dyDescent="0.3">
      <c r="A1899" s="1">
        <v>40627</v>
      </c>
      <c r="B1899">
        <v>1.612201</v>
      </c>
      <c r="C1899">
        <f t="shared" si="31"/>
        <v>-7.8195244404757353E-3</v>
      </c>
      <c r="D1899">
        <f>(C1899-meanrtn)/stdevrtns</f>
        <v>-1.2879854612999186</v>
      </c>
    </row>
    <row r="1900" spans="1:4" x14ac:dyDescent="0.3">
      <c r="A1900" s="1">
        <v>40630</v>
      </c>
      <c r="B1900">
        <v>1.6004100000000001</v>
      </c>
      <c r="C1900">
        <f t="shared" si="31"/>
        <v>-7.3136041969952166E-3</v>
      </c>
      <c r="D1900">
        <f>(C1900-meanrtn)/stdevrtns</f>
        <v>-1.2041341107464378</v>
      </c>
    </row>
    <row r="1901" spans="1:4" x14ac:dyDescent="0.3">
      <c r="A1901" s="1">
        <v>40631</v>
      </c>
      <c r="B1901">
        <v>1.5990789999999999</v>
      </c>
      <c r="C1901">
        <f t="shared" si="31"/>
        <v>-8.3166188664166875E-4</v>
      </c>
      <c r="D1901">
        <f>(C1901-meanrtn)/stdevrtns</f>
        <v>-0.12981533434463077</v>
      </c>
    </row>
    <row r="1902" spans="1:4" x14ac:dyDescent="0.3">
      <c r="A1902" s="1">
        <v>40632</v>
      </c>
      <c r="B1902">
        <v>1.6009990000000001</v>
      </c>
      <c r="C1902">
        <f t="shared" si="31"/>
        <v>1.2006911478420665E-3</v>
      </c>
      <c r="D1902">
        <f>(C1902-meanrtn)/stdevrtns</f>
        <v>0.20702737740483185</v>
      </c>
    </row>
    <row r="1903" spans="1:4" x14ac:dyDescent="0.3">
      <c r="A1903" s="1">
        <v>40633</v>
      </c>
      <c r="B1903">
        <v>1.607407</v>
      </c>
      <c r="C1903">
        <f t="shared" si="31"/>
        <v>4.0025009384765196E-3</v>
      </c>
      <c r="D1903">
        <f>(C1903-meanrtn)/stdevrtns</f>
        <v>0.67140004872236336</v>
      </c>
    </row>
    <row r="1904" spans="1:4" x14ac:dyDescent="0.3">
      <c r="A1904" s="1">
        <v>40634</v>
      </c>
      <c r="B1904">
        <v>1.6034120000000001</v>
      </c>
      <c r="C1904">
        <f t="shared" si="31"/>
        <v>-2.4853692935267614E-3</v>
      </c>
      <c r="D1904">
        <f>(C1904-meanrtn)/stdevrtns</f>
        <v>-0.40390122292985264</v>
      </c>
    </row>
    <row r="1905" spans="1:4" x14ac:dyDescent="0.3">
      <c r="A1905" s="1">
        <v>40637</v>
      </c>
      <c r="B1905">
        <v>1.612071</v>
      </c>
      <c r="C1905">
        <f t="shared" si="31"/>
        <v>5.4003587349976002E-3</v>
      </c>
      <c r="D1905">
        <f>(C1905-meanrtn)/stdevrtns</f>
        <v>0.90308135744730067</v>
      </c>
    </row>
    <row r="1906" spans="1:4" x14ac:dyDescent="0.3">
      <c r="A1906" s="1">
        <v>40638</v>
      </c>
      <c r="B1906">
        <v>1.613059</v>
      </c>
      <c r="C1906">
        <f t="shared" si="31"/>
        <v>6.1287623187811756E-4</v>
      </c>
      <c r="D1906">
        <f>(C1906-meanrtn)/stdevrtns</f>
        <v>0.1096027828877794</v>
      </c>
    </row>
    <row r="1907" spans="1:4" x14ac:dyDescent="0.3">
      <c r="A1907" s="1">
        <v>40639</v>
      </c>
      <c r="B1907">
        <v>1.630098</v>
      </c>
      <c r="C1907">
        <f t="shared" si="31"/>
        <v>1.0563159810025565E-2</v>
      </c>
      <c r="D1907">
        <f>(C1907-meanrtn)/stdevrtns</f>
        <v>1.7587653281100157</v>
      </c>
    </row>
    <row r="1908" spans="1:4" x14ac:dyDescent="0.3">
      <c r="A1908" s="1">
        <v>40640</v>
      </c>
      <c r="B1908">
        <v>1.632493</v>
      </c>
      <c r="C1908">
        <f t="shared" si="31"/>
        <v>1.4692368188905973E-3</v>
      </c>
      <c r="D1908">
        <f>(C1908-meanrtn)/stdevrtns</f>
        <v>0.25153620561023499</v>
      </c>
    </row>
    <row r="1909" spans="1:4" x14ac:dyDescent="0.3">
      <c r="A1909" s="1">
        <v>40641</v>
      </c>
      <c r="B1909">
        <v>1.63212</v>
      </c>
      <c r="C1909">
        <f t="shared" si="31"/>
        <v>-2.2848490008836589E-4</v>
      </c>
      <c r="D1909">
        <f>(C1909-meanrtn)/stdevrtns</f>
        <v>-2.9844626318948103E-2</v>
      </c>
    </row>
    <row r="1910" spans="1:4" x14ac:dyDescent="0.3">
      <c r="A1910" s="1">
        <v>40644</v>
      </c>
      <c r="B1910">
        <v>1.6374120000000001</v>
      </c>
      <c r="C1910">
        <f t="shared" si="31"/>
        <v>3.2424086464231026E-3</v>
      </c>
      <c r="D1910">
        <f>(C1910-meanrtn)/stdevrtns</f>
        <v>0.54542215782892634</v>
      </c>
    </row>
    <row r="1911" spans="1:4" x14ac:dyDescent="0.3">
      <c r="A1911" s="1">
        <v>40645</v>
      </c>
      <c r="B1911">
        <v>1.6344939999999999</v>
      </c>
      <c r="C1911">
        <f t="shared" si="31"/>
        <v>-1.7820805026469808E-3</v>
      </c>
      <c r="D1911">
        <f>(C1911-meanrtn)/stdevrtns</f>
        <v>-0.28733795884954311</v>
      </c>
    </row>
    <row r="1912" spans="1:4" x14ac:dyDescent="0.3">
      <c r="A1912" s="1">
        <v>40646</v>
      </c>
      <c r="B1912">
        <v>1.625699</v>
      </c>
      <c r="C1912">
        <f t="shared" si="31"/>
        <v>-5.3808701653232666E-3</v>
      </c>
      <c r="D1912">
        <f>(C1912-meanrtn)/stdevrtns</f>
        <v>-0.88380227800251332</v>
      </c>
    </row>
    <row r="1913" spans="1:4" x14ac:dyDescent="0.3">
      <c r="A1913" s="1">
        <v>40647</v>
      </c>
      <c r="B1913">
        <v>1.626889</v>
      </c>
      <c r="C1913">
        <f t="shared" si="31"/>
        <v>7.3199282277963164E-4</v>
      </c>
      <c r="D1913">
        <f>(C1913-meanrtn)/stdevrtns</f>
        <v>0.12934519713019949</v>
      </c>
    </row>
    <row r="1914" spans="1:4" x14ac:dyDescent="0.3">
      <c r="A1914" s="1">
        <v>40651</v>
      </c>
      <c r="B1914">
        <v>1.6314010000000001</v>
      </c>
      <c r="C1914">
        <f t="shared" si="31"/>
        <v>2.7733914237542154E-3</v>
      </c>
      <c r="D1914">
        <f>(C1914-meanrtn)/stdevrtns</f>
        <v>0.46768712338343627</v>
      </c>
    </row>
    <row r="1915" spans="1:4" x14ac:dyDescent="0.3">
      <c r="A1915" s="1">
        <v>40652</v>
      </c>
      <c r="B1915">
        <v>1.6261220000000001</v>
      </c>
      <c r="C1915">
        <f t="shared" si="31"/>
        <v>-3.2358690475242035E-3</v>
      </c>
      <c r="D1915">
        <f>(C1915-meanrtn)/stdevrtns</f>
        <v>-0.52828924411241263</v>
      </c>
    </row>
    <row r="1916" spans="1:4" x14ac:dyDescent="0.3">
      <c r="A1916" s="1">
        <v>40653</v>
      </c>
      <c r="B1916">
        <v>1.6324399999999999</v>
      </c>
      <c r="C1916">
        <f t="shared" si="31"/>
        <v>3.8853173378134136E-3</v>
      </c>
      <c r="D1916">
        <f>(C1916-meanrtn)/stdevrtns</f>
        <v>0.65197800877645717</v>
      </c>
    </row>
    <row r="1917" spans="1:4" x14ac:dyDescent="0.3">
      <c r="A1917" s="1">
        <v>40654</v>
      </c>
      <c r="B1917">
        <v>1.6394789999999999</v>
      </c>
      <c r="C1917">
        <f t="shared" si="31"/>
        <v>4.3119502095023514E-3</v>
      </c>
      <c r="D1917">
        <f>(C1917-meanrtn)/stdevrtns</f>
        <v>0.72268825004990189</v>
      </c>
    </row>
    <row r="1918" spans="1:4" x14ac:dyDescent="0.3">
      <c r="A1918" s="1">
        <v>40655</v>
      </c>
      <c r="B1918">
        <v>1.651473</v>
      </c>
      <c r="C1918">
        <f t="shared" si="31"/>
        <v>7.3157387194346868E-3</v>
      </c>
      <c r="D1918">
        <f>(C1918-meanrtn)/stdevrtns</f>
        <v>1.2205369259638812</v>
      </c>
    </row>
    <row r="1919" spans="1:4" x14ac:dyDescent="0.3">
      <c r="A1919" s="1">
        <v>40658</v>
      </c>
      <c r="B1919">
        <v>1.652811</v>
      </c>
      <c r="C1919">
        <f t="shared" si="31"/>
        <v>8.1018581593526591E-4</v>
      </c>
      <c r="D1919">
        <f>(C1919-meanrtn)/stdevrtns</f>
        <v>0.1423049238152051</v>
      </c>
    </row>
    <row r="1920" spans="1:4" x14ac:dyDescent="0.3">
      <c r="A1920" s="1">
        <v>40659</v>
      </c>
      <c r="B1920">
        <v>1.6501920000000001</v>
      </c>
      <c r="C1920">
        <f t="shared" si="31"/>
        <v>-1.584573190764054E-3</v>
      </c>
      <c r="D1920">
        <f>(C1920-meanrtn)/stdevrtns</f>
        <v>-0.25460304646170012</v>
      </c>
    </row>
    <row r="1921" spans="1:4" x14ac:dyDescent="0.3">
      <c r="A1921" s="1">
        <v>40660</v>
      </c>
      <c r="B1921">
        <v>1.650901</v>
      </c>
      <c r="C1921">
        <f t="shared" si="31"/>
        <v>4.2964697441258263E-4</v>
      </c>
      <c r="D1921">
        <f>(C1921-meanrtn)/stdevrtns</f>
        <v>7.9234318890967229E-2</v>
      </c>
    </row>
    <row r="1922" spans="1:4" x14ac:dyDescent="0.3">
      <c r="A1922" s="1">
        <v>40661</v>
      </c>
      <c r="B1922">
        <v>1.662787</v>
      </c>
      <c r="C1922">
        <f t="shared" si="31"/>
        <v>7.1997048884215728E-3</v>
      </c>
      <c r="D1922">
        <f>(C1922-meanrtn)/stdevrtns</f>
        <v>1.2013054491338409</v>
      </c>
    </row>
    <row r="1923" spans="1:4" x14ac:dyDescent="0.3">
      <c r="A1923" s="1">
        <v>40662</v>
      </c>
      <c r="B1923">
        <v>1.6650020000000001</v>
      </c>
      <c r="C1923">
        <f t="shared" si="31"/>
        <v>1.3321008643921788E-3</v>
      </c>
      <c r="D1923">
        <f>(C1923-meanrtn)/stdevrtns</f>
        <v>0.22880725743645847</v>
      </c>
    </row>
    <row r="1924" spans="1:4" x14ac:dyDescent="0.3">
      <c r="A1924" s="1">
        <v>40665</v>
      </c>
      <c r="B1924">
        <v>1.6688080000000001</v>
      </c>
      <c r="C1924">
        <f t="shared" ref="C1924:C1987" si="32">(B1924-B1923)/B1923</f>
        <v>2.2858831400802979E-3</v>
      </c>
      <c r="D1924">
        <f>(C1924-meanrtn)/stdevrtns</f>
        <v>0.38688737575752113</v>
      </c>
    </row>
    <row r="1925" spans="1:4" x14ac:dyDescent="0.3">
      <c r="A1925" s="1">
        <v>40666</v>
      </c>
      <c r="B1925">
        <v>1.6659999999999999</v>
      </c>
      <c r="C1925">
        <f t="shared" si="32"/>
        <v>-1.6826381465094508E-3</v>
      </c>
      <c r="D1925">
        <f>(C1925-meanrtn)/stdevrtns</f>
        <v>-0.27085635730897695</v>
      </c>
    </row>
    <row r="1926" spans="1:4" x14ac:dyDescent="0.3">
      <c r="A1926" s="1">
        <v>40667</v>
      </c>
      <c r="B1926">
        <v>1.649648</v>
      </c>
      <c r="C1926">
        <f t="shared" si="32"/>
        <v>-9.8151260504201216E-3</v>
      </c>
      <c r="D1926">
        <f>(C1926-meanrtn)/stdevrtns</f>
        <v>-1.6187369825463325</v>
      </c>
    </row>
    <row r="1927" spans="1:4" x14ac:dyDescent="0.3">
      <c r="A1927" s="1">
        <v>40668</v>
      </c>
      <c r="B1927">
        <v>1.649702</v>
      </c>
      <c r="C1927">
        <f t="shared" si="32"/>
        <v>3.2734256035225995E-5</v>
      </c>
      <c r="D1927">
        <f>(C1927-meanrtn)/stdevrtns</f>
        <v>1.3449903428895817E-2</v>
      </c>
    </row>
    <row r="1928" spans="1:4" x14ac:dyDescent="0.3">
      <c r="A1928" s="1">
        <v>40669</v>
      </c>
      <c r="B1928">
        <v>1.638592</v>
      </c>
      <c r="C1928">
        <f t="shared" si="32"/>
        <v>-6.7345496338126242E-3</v>
      </c>
      <c r="D1928">
        <f>(C1928-meanrtn)/stdevrtns</f>
        <v>-1.1081614593399993</v>
      </c>
    </row>
    <row r="1929" spans="1:4" x14ac:dyDescent="0.3">
      <c r="A1929" s="1">
        <v>40672</v>
      </c>
      <c r="B1929">
        <v>1.635804</v>
      </c>
      <c r="C1929">
        <f t="shared" si="32"/>
        <v>-1.7014607663164551E-3</v>
      </c>
      <c r="D1929">
        <f>(C1929-meanrtn)/stdevrtns</f>
        <v>-0.27397602313004382</v>
      </c>
    </row>
    <row r="1930" spans="1:4" x14ac:dyDescent="0.3">
      <c r="A1930" s="1">
        <v>40673</v>
      </c>
      <c r="B1930">
        <v>1.6411739999999999</v>
      </c>
      <c r="C1930">
        <f t="shared" si="32"/>
        <v>3.2827893806347671E-3</v>
      </c>
      <c r="D1930">
        <f>(C1930-meanrtn)/stdevrtns</f>
        <v>0.55211487104533197</v>
      </c>
    </row>
    <row r="1931" spans="1:4" x14ac:dyDescent="0.3">
      <c r="A1931" s="1">
        <v>40674</v>
      </c>
      <c r="B1931">
        <v>1.6370100000000001</v>
      </c>
      <c r="C1931">
        <f t="shared" si="32"/>
        <v>-2.5372081205282527E-3</v>
      </c>
      <c r="D1931">
        <f>(C1931-meanrtn)/stdevrtns</f>
        <v>-0.41249300337587602</v>
      </c>
    </row>
    <row r="1932" spans="1:4" x14ac:dyDescent="0.3">
      <c r="A1932" s="1">
        <v>40675</v>
      </c>
      <c r="B1932">
        <v>1.6367419999999999</v>
      </c>
      <c r="C1932">
        <f t="shared" si="32"/>
        <v>-1.6371311109898961E-4</v>
      </c>
      <c r="D1932">
        <f>(C1932-meanrtn)/stdevrtns</f>
        <v>-1.9109333445194138E-2</v>
      </c>
    </row>
    <row r="1933" spans="1:4" x14ac:dyDescent="0.3">
      <c r="A1933" s="1">
        <v>40676</v>
      </c>
      <c r="B1933">
        <v>1.6283989999999999</v>
      </c>
      <c r="C1933">
        <f t="shared" si="32"/>
        <v>-5.0973213860217373E-3</v>
      </c>
      <c r="D1933">
        <f>(C1933-meanrtn)/stdevrtns</f>
        <v>-0.83680683079791918</v>
      </c>
    </row>
    <row r="1934" spans="1:4" x14ac:dyDescent="0.3">
      <c r="A1934" s="1">
        <v>40679</v>
      </c>
      <c r="B1934">
        <v>1.617599</v>
      </c>
      <c r="C1934">
        <f t="shared" si="32"/>
        <v>-6.6322811546801006E-3</v>
      </c>
      <c r="D1934">
        <f>(C1934-meanrtn)/stdevrtns</f>
        <v>-1.0912114554514065</v>
      </c>
    </row>
    <row r="1935" spans="1:4" x14ac:dyDescent="0.3">
      <c r="A1935" s="1">
        <v>40680</v>
      </c>
      <c r="B1935">
        <v>1.6209290000000001</v>
      </c>
      <c r="C1935">
        <f t="shared" si="32"/>
        <v>2.0586066138765262E-3</v>
      </c>
      <c r="D1935">
        <f>(C1935-meanrtn)/stdevrtns</f>
        <v>0.34921850617408118</v>
      </c>
    </row>
    <row r="1936" spans="1:4" x14ac:dyDescent="0.3">
      <c r="A1936" s="1">
        <v>40681</v>
      </c>
      <c r="B1936">
        <v>1.6253029999999999</v>
      </c>
      <c r="C1936">
        <f t="shared" si="32"/>
        <v>2.6984525540599729E-3</v>
      </c>
      <c r="D1936">
        <f>(C1936-meanrtn)/stdevrtns</f>
        <v>0.45526673595322759</v>
      </c>
    </row>
    <row r="1937" spans="1:4" x14ac:dyDescent="0.3">
      <c r="A1937" s="1">
        <v>40682</v>
      </c>
      <c r="B1937">
        <v>1.616501</v>
      </c>
      <c r="C1937">
        <f t="shared" si="32"/>
        <v>-5.4156055824667627E-3</v>
      </c>
      <c r="D1937">
        <f>(C1937-meanrtn)/stdevrtns</f>
        <v>-0.88955933492414019</v>
      </c>
    </row>
    <row r="1938" spans="1:4" x14ac:dyDescent="0.3">
      <c r="A1938" s="1">
        <v>40683</v>
      </c>
      <c r="B1938">
        <v>1.623192</v>
      </c>
      <c r="C1938">
        <f t="shared" si="32"/>
        <v>4.139187046590137E-3</v>
      </c>
      <c r="D1938">
        <f>(C1938-meanrtn)/stdevrtns</f>
        <v>0.69405443924126586</v>
      </c>
    </row>
    <row r="1939" spans="1:4" x14ac:dyDescent="0.3">
      <c r="A1939" s="1">
        <v>40686</v>
      </c>
      <c r="B1939">
        <v>1.621429</v>
      </c>
      <c r="C1939">
        <f t="shared" si="32"/>
        <v>-1.086131523565887E-3</v>
      </c>
      <c r="D1939">
        <f>(C1939-meanrtn)/stdevrtns</f>
        <v>-0.17199119705404869</v>
      </c>
    </row>
    <row r="1940" spans="1:4" x14ac:dyDescent="0.3">
      <c r="A1940" s="1">
        <v>40687</v>
      </c>
      <c r="B1940">
        <v>1.6108769999999999</v>
      </c>
      <c r="C1940">
        <f t="shared" si="32"/>
        <v>-6.5078396895578636E-3</v>
      </c>
      <c r="D1940">
        <f>(C1940-meanrtn)/stdevrtns</f>
        <v>-1.070586495193703</v>
      </c>
    </row>
    <row r="1941" spans="1:4" x14ac:dyDescent="0.3">
      <c r="A1941" s="1">
        <v>40688</v>
      </c>
      <c r="B1941">
        <v>1.61849</v>
      </c>
      <c r="C1941">
        <f t="shared" si="32"/>
        <v>4.7259970810931513E-3</v>
      </c>
      <c r="D1941">
        <f>(C1941-meanrtn)/stdevrtns</f>
        <v>0.79131248444796487</v>
      </c>
    </row>
    <row r="1942" spans="1:4" x14ac:dyDescent="0.3">
      <c r="A1942" s="1">
        <v>40689</v>
      </c>
      <c r="B1942">
        <v>1.6279749999999999</v>
      </c>
      <c r="C1942">
        <f t="shared" si="32"/>
        <v>5.8604007439032471E-3</v>
      </c>
      <c r="D1942">
        <f>(C1942-meanrtn)/stdevrtns</f>
        <v>0.97932883766808443</v>
      </c>
    </row>
    <row r="1943" spans="1:4" x14ac:dyDescent="0.3">
      <c r="A1943" s="1">
        <v>40690</v>
      </c>
      <c r="B1943">
        <v>1.638538</v>
      </c>
      <c r="C1943">
        <f t="shared" si="32"/>
        <v>6.4884288763648705E-3</v>
      </c>
      <c r="D1943">
        <f>(C1943-meanrtn)/stdevrtns</f>
        <v>1.0834183809727798</v>
      </c>
    </row>
    <row r="1944" spans="1:4" x14ac:dyDescent="0.3">
      <c r="A1944" s="1">
        <v>40693</v>
      </c>
      <c r="B1944">
        <v>1.651119</v>
      </c>
      <c r="C1944">
        <f t="shared" si="32"/>
        <v>7.6781862855789451E-3</v>
      </c>
      <c r="D1944">
        <f>(C1944-meanrtn)/stdevrtns</f>
        <v>1.2806090782797006</v>
      </c>
    </row>
    <row r="1945" spans="1:4" x14ac:dyDescent="0.3">
      <c r="A1945" s="1">
        <v>40694</v>
      </c>
      <c r="B1945">
        <v>1.6487769999999999</v>
      </c>
      <c r="C1945">
        <f t="shared" si="32"/>
        <v>-1.4184319846116884E-3</v>
      </c>
      <c r="D1945">
        <f>(C1945-meanrtn)/stdevrtns</f>
        <v>-0.22706676046013674</v>
      </c>
    </row>
    <row r="1946" spans="1:4" x14ac:dyDescent="0.3">
      <c r="A1946" s="1">
        <v>40695</v>
      </c>
      <c r="B1946">
        <v>1.6464970000000001</v>
      </c>
      <c r="C1946">
        <f t="shared" si="32"/>
        <v>-1.3828431619314423E-3</v>
      </c>
      <c r="D1946">
        <f>(C1946-meanrtn)/stdevrtns</f>
        <v>-0.22116825988657371</v>
      </c>
    </row>
    <row r="1947" spans="1:4" x14ac:dyDescent="0.3">
      <c r="A1947" s="1">
        <v>40696</v>
      </c>
      <c r="B1947">
        <v>1.633427</v>
      </c>
      <c r="C1947">
        <f t="shared" si="32"/>
        <v>-7.9380648734860351E-3</v>
      </c>
      <c r="D1947">
        <f>(C1947-meanrtn)/stdevrtns</f>
        <v>-1.3076323829860852</v>
      </c>
    </row>
    <row r="1948" spans="1:4" x14ac:dyDescent="0.3">
      <c r="A1948" s="1">
        <v>40697</v>
      </c>
      <c r="B1948">
        <v>1.6361520000000001</v>
      </c>
      <c r="C1948">
        <f t="shared" si="32"/>
        <v>1.6682716766651272E-3</v>
      </c>
      <c r="D1948">
        <f>(C1948-meanrtn)/stdevrtns</f>
        <v>0.28452429384485206</v>
      </c>
    </row>
    <row r="1949" spans="1:4" x14ac:dyDescent="0.3">
      <c r="A1949" s="1">
        <v>40700</v>
      </c>
      <c r="B1949">
        <v>1.645413</v>
      </c>
      <c r="C1949">
        <f t="shared" si="32"/>
        <v>5.6602320566793082E-3</v>
      </c>
      <c r="D1949">
        <f>(C1949-meanrtn)/stdevrtns</f>
        <v>0.94615282825052316</v>
      </c>
    </row>
    <row r="1950" spans="1:4" x14ac:dyDescent="0.3">
      <c r="A1950" s="1">
        <v>40701</v>
      </c>
      <c r="B1950">
        <v>1.635724</v>
      </c>
      <c r="C1950">
        <f t="shared" si="32"/>
        <v>-5.8884912177064718E-3</v>
      </c>
      <c r="D1950">
        <f>(C1950-meanrtn)/stdevrtns</f>
        <v>-0.96793552105854064</v>
      </c>
    </row>
    <row r="1951" spans="1:4" x14ac:dyDescent="0.3">
      <c r="A1951" s="1">
        <v>40702</v>
      </c>
      <c r="B1951">
        <v>1.644304</v>
      </c>
      <c r="C1951">
        <f t="shared" si="32"/>
        <v>5.2453836955378974E-3</v>
      </c>
      <c r="D1951">
        <f>(C1951-meanrtn)/stdevrtns</f>
        <v>0.87739575476934517</v>
      </c>
    </row>
    <row r="1952" spans="1:4" x14ac:dyDescent="0.3">
      <c r="A1952" s="1">
        <v>40703</v>
      </c>
      <c r="B1952">
        <v>1.6407970000000001</v>
      </c>
      <c r="C1952">
        <f t="shared" si="32"/>
        <v>-2.1328172892603357E-3</v>
      </c>
      <c r="D1952">
        <f>(C1952-meanrtn)/stdevrtns</f>
        <v>-0.34546916357064916</v>
      </c>
    </row>
    <row r="1953" spans="1:4" x14ac:dyDescent="0.3">
      <c r="A1953" s="1">
        <v>40704</v>
      </c>
      <c r="B1953">
        <v>1.6365540000000001</v>
      </c>
      <c r="C1953">
        <f t="shared" si="32"/>
        <v>-2.5859384189512759E-3</v>
      </c>
      <c r="D1953">
        <f>(C1953-meanrtn)/stdevrtns</f>
        <v>-0.42056957550023694</v>
      </c>
    </row>
    <row r="1954" spans="1:4" x14ac:dyDescent="0.3">
      <c r="A1954" s="1">
        <v>40707</v>
      </c>
      <c r="B1954">
        <v>1.6226130000000001</v>
      </c>
      <c r="C1954">
        <f t="shared" si="32"/>
        <v>-8.5185090134514228E-3</v>
      </c>
      <c r="D1954">
        <f>(C1954-meanrtn)/stdevrtns</f>
        <v>-1.4038353432039157</v>
      </c>
    </row>
    <row r="1955" spans="1:4" x14ac:dyDescent="0.3">
      <c r="A1955" s="1">
        <v>40708</v>
      </c>
      <c r="B1955">
        <v>1.6374120000000001</v>
      </c>
      <c r="C1955">
        <f t="shared" si="32"/>
        <v>9.1204741980989955E-3</v>
      </c>
      <c r="D1955">
        <f>(C1955-meanrtn)/stdevrtns</f>
        <v>1.5196542457941802</v>
      </c>
    </row>
    <row r="1956" spans="1:4" x14ac:dyDescent="0.3">
      <c r="A1956" s="1">
        <v>40709</v>
      </c>
      <c r="B1956">
        <v>1.6377330000000001</v>
      </c>
      <c r="C1956">
        <f t="shared" si="32"/>
        <v>1.9604106968802945E-4</v>
      </c>
      <c r="D1956">
        <f>(C1956-meanrtn)/stdevrtns</f>
        <v>4.0516416492630325E-2</v>
      </c>
    </row>
    <row r="1957" spans="1:4" x14ac:dyDescent="0.3">
      <c r="A1957" s="1">
        <v>40710</v>
      </c>
      <c r="B1957">
        <v>1.619591</v>
      </c>
      <c r="C1957">
        <f t="shared" si="32"/>
        <v>-1.1077507750042346E-2</v>
      </c>
      <c r="D1957">
        <f>(C1957-meanrtn)/stdevrtns</f>
        <v>-1.8279644483205859</v>
      </c>
    </row>
    <row r="1958" spans="1:4" x14ac:dyDescent="0.3">
      <c r="A1958" s="1">
        <v>40711</v>
      </c>
      <c r="B1958">
        <v>1.616109</v>
      </c>
      <c r="C1958">
        <f t="shared" si="32"/>
        <v>-2.1499255058838838E-3</v>
      </c>
      <c r="D1958">
        <f>(C1958-meanrtn)/stdevrtns</f>
        <v>-0.34830468376959778</v>
      </c>
    </row>
    <row r="1959" spans="1:4" x14ac:dyDescent="0.3">
      <c r="A1959" s="1">
        <v>40714</v>
      </c>
      <c r="B1959">
        <v>1.6178090000000001</v>
      </c>
      <c r="C1959">
        <f t="shared" si="32"/>
        <v>1.0519092462204188E-3</v>
      </c>
      <c r="D1959">
        <f>(C1959-meanrtn)/stdevrtns</f>
        <v>0.18236822697617208</v>
      </c>
    </row>
    <row r="1960" spans="1:4" x14ac:dyDescent="0.3">
      <c r="A1960" s="1">
        <v>40715</v>
      </c>
      <c r="B1960">
        <v>1.6206929999999999</v>
      </c>
      <c r="C1960">
        <f t="shared" si="32"/>
        <v>1.7826579033741849E-3</v>
      </c>
      <c r="D1960">
        <f>(C1960-meanrtn)/stdevrtns</f>
        <v>0.30348269631613106</v>
      </c>
    </row>
    <row r="1961" spans="1:4" x14ac:dyDescent="0.3">
      <c r="A1961" s="1">
        <v>40716</v>
      </c>
      <c r="B1961">
        <v>1.6225339999999999</v>
      </c>
      <c r="C1961">
        <f t="shared" si="32"/>
        <v>1.1359338258386884E-3</v>
      </c>
      <c r="D1961">
        <f>(C1961-meanrtn)/stdevrtns</f>
        <v>0.19629448229303745</v>
      </c>
    </row>
    <row r="1962" spans="1:4" x14ac:dyDescent="0.3">
      <c r="A1962" s="1">
        <v>40717</v>
      </c>
      <c r="B1962">
        <v>1.6059870000000001</v>
      </c>
      <c r="C1962">
        <f t="shared" si="32"/>
        <v>-1.0198245460495662E-2</v>
      </c>
      <c r="D1962">
        <f>(C1962-meanrtn)/stdevrtns</f>
        <v>-1.6822352915625518</v>
      </c>
    </row>
    <row r="1963" spans="1:4" x14ac:dyDescent="0.3">
      <c r="A1963" s="1">
        <v>40718</v>
      </c>
      <c r="B1963">
        <v>1.6026149999999999</v>
      </c>
      <c r="C1963">
        <f t="shared" si="32"/>
        <v>-2.0996433968644532E-3</v>
      </c>
      <c r="D1963">
        <f>(C1963-meanrtn)/stdevrtns</f>
        <v>-0.33997091416008229</v>
      </c>
    </row>
    <row r="1964" spans="1:4" x14ac:dyDescent="0.3">
      <c r="A1964" s="1">
        <v>40721</v>
      </c>
      <c r="B1964">
        <v>1.5962970000000001</v>
      </c>
      <c r="C1964">
        <f t="shared" si="32"/>
        <v>-3.9423067923361659E-3</v>
      </c>
      <c r="D1964">
        <f>(C1964-meanrtn)/stdevrtns</f>
        <v>-0.64537441662284867</v>
      </c>
    </row>
    <row r="1965" spans="1:4" x14ac:dyDescent="0.3">
      <c r="A1965" s="1">
        <v>40722</v>
      </c>
      <c r="B1965">
        <v>1.599002</v>
      </c>
      <c r="C1965">
        <f t="shared" si="32"/>
        <v>1.6945468167890796E-3</v>
      </c>
      <c r="D1965">
        <f>(C1965-meanrtn)/stdevrtns</f>
        <v>0.28887914228937811</v>
      </c>
    </row>
    <row r="1966" spans="1:4" x14ac:dyDescent="0.3">
      <c r="A1966" s="1">
        <v>40723</v>
      </c>
      <c r="B1966">
        <v>1.5987979999999999</v>
      </c>
      <c r="C1966">
        <f t="shared" si="32"/>
        <v>-1.2757957776168697E-4</v>
      </c>
      <c r="D1966">
        <f>(C1966-meanrtn)/stdevrtns</f>
        <v>-1.3120552388010128E-2</v>
      </c>
    </row>
    <row r="1967" spans="1:4" x14ac:dyDescent="0.3">
      <c r="A1967" s="1">
        <v>40724</v>
      </c>
      <c r="B1967">
        <v>1.607588</v>
      </c>
      <c r="C1967">
        <f t="shared" si="32"/>
        <v>5.4978802825623226E-3</v>
      </c>
      <c r="D1967">
        <f>(C1967-meanrtn)/stdevrtns</f>
        <v>0.91924460368372518</v>
      </c>
    </row>
    <row r="1968" spans="1:4" x14ac:dyDescent="0.3">
      <c r="A1968" s="1">
        <v>40725</v>
      </c>
      <c r="B1968">
        <v>1.6048020000000001</v>
      </c>
      <c r="C1968">
        <f t="shared" si="32"/>
        <v>-1.7330311000081831E-3</v>
      </c>
      <c r="D1968">
        <f>(C1968-meanrtn)/stdevrtns</f>
        <v>-0.27920849831084255</v>
      </c>
    </row>
    <row r="1969" spans="1:4" x14ac:dyDescent="0.3">
      <c r="A1969" s="1">
        <v>40728</v>
      </c>
      <c r="B1969">
        <v>1.606813</v>
      </c>
      <c r="C1969">
        <f t="shared" si="32"/>
        <v>1.2531140913333762E-3</v>
      </c>
      <c r="D1969">
        <f>(C1969-meanrtn)/stdevrtns</f>
        <v>0.21571596946727695</v>
      </c>
    </row>
    <row r="1970" spans="1:4" x14ac:dyDescent="0.3">
      <c r="A1970" s="1">
        <v>40729</v>
      </c>
      <c r="B1970">
        <v>1.60971</v>
      </c>
      <c r="C1970">
        <f t="shared" si="32"/>
        <v>1.8029478228019859E-3</v>
      </c>
      <c r="D1970">
        <f>(C1970-meanrtn)/stdevrtns</f>
        <v>0.30684555275163944</v>
      </c>
    </row>
    <row r="1971" spans="1:4" x14ac:dyDescent="0.3">
      <c r="A1971" s="1">
        <v>40730</v>
      </c>
      <c r="B1971">
        <v>1.606787</v>
      </c>
      <c r="C1971">
        <f t="shared" si="32"/>
        <v>-1.8158550297879797E-3</v>
      </c>
      <c r="D1971">
        <f>(C1971-meanrtn)/stdevrtns</f>
        <v>-0.29293575761638968</v>
      </c>
    </row>
    <row r="1972" spans="1:4" x14ac:dyDescent="0.3">
      <c r="A1972" s="1">
        <v>40731</v>
      </c>
      <c r="B1972">
        <v>1.6008960000000001</v>
      </c>
      <c r="C1972">
        <f t="shared" si="32"/>
        <v>-3.6663229164785802E-3</v>
      </c>
      <c r="D1972">
        <f>(C1972-meanrtn)/stdevrtns</f>
        <v>-0.59963277844992613</v>
      </c>
    </row>
    <row r="1973" spans="1:4" x14ac:dyDescent="0.3">
      <c r="A1973" s="1">
        <v>40732</v>
      </c>
      <c r="B1973">
        <v>1.5981080000000001</v>
      </c>
      <c r="C1973">
        <f t="shared" si="32"/>
        <v>-1.7415247461421682E-3</v>
      </c>
      <c r="D1973">
        <f>(C1973-meanrtn)/stdevrtns</f>
        <v>-0.28061623739350572</v>
      </c>
    </row>
    <row r="1974" spans="1:4" x14ac:dyDescent="0.3">
      <c r="A1974" s="1">
        <v>40735</v>
      </c>
      <c r="B1974">
        <v>1.60259</v>
      </c>
      <c r="C1974">
        <f t="shared" si="32"/>
        <v>2.804566399767647E-3</v>
      </c>
      <c r="D1974">
        <f>(C1974-meanrtn)/stdevrtns</f>
        <v>0.47285407188151368</v>
      </c>
    </row>
    <row r="1975" spans="1:4" x14ac:dyDescent="0.3">
      <c r="A1975" s="1">
        <v>40736</v>
      </c>
      <c r="B1975">
        <v>1.590811</v>
      </c>
      <c r="C1975">
        <f t="shared" si="32"/>
        <v>-7.3499772243680447E-3</v>
      </c>
      <c r="D1975">
        <f>(C1975-meanrtn)/stdevrtns</f>
        <v>-1.2101625856063252</v>
      </c>
    </row>
    <row r="1976" spans="1:4" x14ac:dyDescent="0.3">
      <c r="A1976" s="1">
        <v>40737</v>
      </c>
      <c r="B1976">
        <v>1.5918239999999999</v>
      </c>
      <c r="C1976">
        <f t="shared" si="32"/>
        <v>6.367821193089127E-4</v>
      </c>
      <c r="D1976">
        <f>(C1976-meanrtn)/stdevrtns</f>
        <v>0.11356495078495872</v>
      </c>
    </row>
    <row r="1977" spans="1:4" x14ac:dyDescent="0.3">
      <c r="A1977" s="1">
        <v>40738</v>
      </c>
      <c r="B1977">
        <v>1.6168149999999999</v>
      </c>
      <c r="C1977">
        <f t="shared" si="32"/>
        <v>1.5699599955773996E-2</v>
      </c>
      <c r="D1977">
        <f>(C1977-meanrtn)/stdevrtns</f>
        <v>2.6100802316116165</v>
      </c>
    </row>
    <row r="1978" spans="1:4" x14ac:dyDescent="0.3">
      <c r="A1978" s="1">
        <v>40739</v>
      </c>
      <c r="B1978">
        <v>1.6149089999999999</v>
      </c>
      <c r="C1978">
        <f t="shared" si="32"/>
        <v>-1.178860908638257E-3</v>
      </c>
      <c r="D1978">
        <f>(C1978-meanrtn)/stdevrtns</f>
        <v>-0.18736018905330126</v>
      </c>
    </row>
    <row r="1979" spans="1:4" x14ac:dyDescent="0.3">
      <c r="A1979" s="1">
        <v>40742</v>
      </c>
      <c r="B1979">
        <v>1.6111880000000001</v>
      </c>
      <c r="C1979">
        <f t="shared" si="32"/>
        <v>-2.3041545994231648E-3</v>
      </c>
      <c r="D1979">
        <f>(C1979-meanrtn)/stdevrtns</f>
        <v>-0.37386665317991224</v>
      </c>
    </row>
    <row r="1980" spans="1:4" x14ac:dyDescent="0.3">
      <c r="A1980" s="1">
        <v>40743</v>
      </c>
      <c r="B1980">
        <v>1.6058319999999999</v>
      </c>
      <c r="C1980">
        <f t="shared" si="32"/>
        <v>-3.3242551458924335E-3</v>
      </c>
      <c r="D1980">
        <f>(C1980-meanrtn)/stdevrtns</f>
        <v>-0.54293837866244032</v>
      </c>
    </row>
    <row r="1981" spans="1:4" x14ac:dyDescent="0.3">
      <c r="A1981" s="1">
        <v>40744</v>
      </c>
      <c r="B1981">
        <v>1.61371</v>
      </c>
      <c r="C1981">
        <f t="shared" si="32"/>
        <v>4.9058681107363982E-3</v>
      </c>
      <c r="D1981">
        <f>(C1981-meanrtn)/stdevrtns</f>
        <v>0.82112435490657842</v>
      </c>
    </row>
    <row r="1982" spans="1:4" x14ac:dyDescent="0.3">
      <c r="A1982" s="1">
        <v>40745</v>
      </c>
      <c r="B1982">
        <v>1.6159269999999999</v>
      </c>
      <c r="C1982">
        <f t="shared" si="32"/>
        <v>1.3738527988299716E-3</v>
      </c>
      <c r="D1982">
        <f>(C1982-meanrtn)/stdevrtns</f>
        <v>0.23572723372905394</v>
      </c>
    </row>
    <row r="1983" spans="1:4" x14ac:dyDescent="0.3">
      <c r="A1983" s="1">
        <v>40746</v>
      </c>
      <c r="B1983">
        <v>1.632333</v>
      </c>
      <c r="C1983">
        <f t="shared" si="32"/>
        <v>1.0152686352787064E-2</v>
      </c>
      <c r="D1983">
        <f>(C1983-meanrtn)/stdevrtns</f>
        <v>1.6907333523206736</v>
      </c>
    </row>
    <row r="1984" spans="1:4" x14ac:dyDescent="0.3">
      <c r="A1984" s="1">
        <v>40749</v>
      </c>
      <c r="B1984">
        <v>1.631508</v>
      </c>
      <c r="C1984">
        <f t="shared" si="32"/>
        <v>-5.0541157962258657E-4</v>
      </c>
      <c r="D1984">
        <f>(C1984-meanrtn)/stdevrtns</f>
        <v>-7.5742525014376672E-2</v>
      </c>
    </row>
    <row r="1985" spans="1:4" x14ac:dyDescent="0.3">
      <c r="A1985" s="1">
        <v>40750</v>
      </c>
      <c r="B1985">
        <v>1.6280809999999999</v>
      </c>
      <c r="C1985">
        <f t="shared" si="32"/>
        <v>-2.1005106931747002E-3</v>
      </c>
      <c r="D1985">
        <f>(C1985-meanrtn)/stdevrtns</f>
        <v>-0.34011466007237068</v>
      </c>
    </row>
    <row r="1986" spans="1:4" x14ac:dyDescent="0.3">
      <c r="A1986" s="1">
        <v>40751</v>
      </c>
      <c r="B1986">
        <v>1.642603</v>
      </c>
      <c r="C1986">
        <f t="shared" si="32"/>
        <v>8.9197036265395557E-3</v>
      </c>
      <c r="D1986">
        <f>(C1986-meanrtn)/stdevrtns</f>
        <v>1.4863784799129094</v>
      </c>
    </row>
    <row r="1987" spans="1:4" x14ac:dyDescent="0.3">
      <c r="A1987" s="1">
        <v>40752</v>
      </c>
      <c r="B1987">
        <v>1.632733</v>
      </c>
      <c r="C1987">
        <f t="shared" si="32"/>
        <v>-6.0087556153252154E-3</v>
      </c>
      <c r="D1987">
        <f>(C1987-meanrtn)/stdevrtns</f>
        <v>-0.98786817307984842</v>
      </c>
    </row>
    <row r="1988" spans="1:4" x14ac:dyDescent="0.3">
      <c r="A1988" s="1">
        <v>40753</v>
      </c>
      <c r="B1988">
        <v>1.636849</v>
      </c>
      <c r="C1988">
        <f t="shared" ref="C1988:C2051" si="33">(B1988-B1987)/B1987</f>
        <v>2.5209265691328643E-3</v>
      </c>
      <c r="D1988">
        <f>(C1988-meanrtn)/stdevrtns</f>
        <v>0.42584353380565798</v>
      </c>
    </row>
    <row r="1989" spans="1:4" x14ac:dyDescent="0.3">
      <c r="A1989" s="1">
        <v>40756</v>
      </c>
      <c r="B1989">
        <v>1.6412009999999999</v>
      </c>
      <c r="C1989">
        <f t="shared" si="33"/>
        <v>2.6587669357405058E-3</v>
      </c>
      <c r="D1989">
        <f>(C1989-meanrtn)/stdevrtns</f>
        <v>0.44868923142258427</v>
      </c>
    </row>
    <row r="1990" spans="1:4" x14ac:dyDescent="0.3">
      <c r="A1990" s="1">
        <v>40757</v>
      </c>
      <c r="B1990">
        <v>1.630922</v>
      </c>
      <c r="C1990">
        <f t="shared" si="33"/>
        <v>-6.2630963544379557E-3</v>
      </c>
      <c r="D1990">
        <f>(C1990-meanrtn)/stdevrtns</f>
        <v>-1.0300226722330239</v>
      </c>
    </row>
    <row r="1991" spans="1:4" x14ac:dyDescent="0.3">
      <c r="A1991" s="1">
        <v>40758</v>
      </c>
      <c r="B1991">
        <v>1.627869</v>
      </c>
      <c r="C1991">
        <f t="shared" si="33"/>
        <v>-1.87194727890112E-3</v>
      </c>
      <c r="D1991">
        <f>(C1991-meanrtn)/stdevrtns</f>
        <v>-0.30223250133109381</v>
      </c>
    </row>
    <row r="1992" spans="1:4" x14ac:dyDescent="0.3">
      <c r="A1992" s="1">
        <v>40759</v>
      </c>
      <c r="B1992">
        <v>1.6434120000000001</v>
      </c>
      <c r="C1992">
        <f t="shared" si="33"/>
        <v>9.5480655998732601E-3</v>
      </c>
      <c r="D1992">
        <f>(C1992-meanrtn)/stdevrtns</f>
        <v>1.5905233540891297</v>
      </c>
    </row>
    <row r="1993" spans="1:4" x14ac:dyDescent="0.3">
      <c r="A1993" s="1">
        <v>40760</v>
      </c>
      <c r="B1993">
        <v>1.6235869999999999</v>
      </c>
      <c r="C1993">
        <f t="shared" si="33"/>
        <v>-1.2063317050137277E-2</v>
      </c>
      <c r="D1993">
        <f>(C1993-meanrtn)/stdevrtns</f>
        <v>-1.9913527338583727</v>
      </c>
    </row>
    <row r="1994" spans="1:4" x14ac:dyDescent="0.3">
      <c r="A1994" s="1">
        <v>40763</v>
      </c>
      <c r="B1994">
        <v>1.641659</v>
      </c>
      <c r="C1994">
        <f t="shared" si="33"/>
        <v>1.1130909523173128E-2</v>
      </c>
      <c r="D1994">
        <f>(C1994-meanrtn)/stdevrtns</f>
        <v>1.8528643107802114</v>
      </c>
    </row>
    <row r="1995" spans="1:4" x14ac:dyDescent="0.3">
      <c r="A1995" s="1">
        <v>40764</v>
      </c>
      <c r="B1995">
        <v>1.6320140000000001</v>
      </c>
      <c r="C1995">
        <f t="shared" si="33"/>
        <v>-5.8751543408222433E-3</v>
      </c>
      <c r="D1995">
        <f>(C1995-meanrtn)/stdevrtns</f>
        <v>-0.96572506367258093</v>
      </c>
    </row>
    <row r="1996" spans="1:4" x14ac:dyDescent="0.3">
      <c r="A1996" s="1">
        <v>40765</v>
      </c>
      <c r="B1996">
        <v>1.631481</v>
      </c>
      <c r="C1996">
        <f t="shared" si="33"/>
        <v>-3.2659033562219239E-4</v>
      </c>
      <c r="D1996">
        <f>(C1996-meanrtn)/stdevrtns</f>
        <v>-4.6104646296712792E-2</v>
      </c>
    </row>
    <row r="1997" spans="1:4" x14ac:dyDescent="0.3">
      <c r="A1997" s="1">
        <v>40766</v>
      </c>
      <c r="B1997">
        <v>1.6118110000000001</v>
      </c>
      <c r="C1997">
        <f t="shared" si="33"/>
        <v>-1.2056530232347085E-2</v>
      </c>
      <c r="D1997">
        <f>(C1997-meanrtn)/stdevrtns</f>
        <v>-1.9902278849419648</v>
      </c>
    </row>
    <row r="1998" spans="1:4" x14ac:dyDescent="0.3">
      <c r="A1998" s="1">
        <v>40767</v>
      </c>
      <c r="B1998">
        <v>1.622797</v>
      </c>
      <c r="C1998">
        <f t="shared" si="33"/>
        <v>6.8159356152799177E-3</v>
      </c>
      <c r="D1998">
        <f>(C1998-meanrtn)/stdevrtns</f>
        <v>1.1376994316468283</v>
      </c>
    </row>
    <row r="1999" spans="1:4" x14ac:dyDescent="0.3">
      <c r="A1999" s="1">
        <v>40770</v>
      </c>
      <c r="B1999">
        <v>1.6293280000000001</v>
      </c>
      <c r="C1999">
        <f t="shared" si="33"/>
        <v>4.0245329514412859E-3</v>
      </c>
      <c r="D1999">
        <f>(C1999-meanrtn)/stdevrtns</f>
        <v>0.67505164018626296</v>
      </c>
    </row>
    <row r="2000" spans="1:4" x14ac:dyDescent="0.3">
      <c r="A2000" s="1">
        <v>40771</v>
      </c>
      <c r="B2000">
        <v>1.638592</v>
      </c>
      <c r="C2000">
        <f t="shared" si="33"/>
        <v>5.6857796588531823E-3</v>
      </c>
      <c r="D2000">
        <f>(C2000-meanrtn)/stdevrtns</f>
        <v>0.95038709436912117</v>
      </c>
    </row>
    <row r="2001" spans="1:4" x14ac:dyDescent="0.3">
      <c r="A2001" s="1">
        <v>40772</v>
      </c>
      <c r="B2001">
        <v>1.644088</v>
      </c>
      <c r="C2001">
        <f t="shared" si="33"/>
        <v>3.354099129008286E-3</v>
      </c>
      <c r="D2001">
        <f>(C2001-meanrtn)/stdevrtns</f>
        <v>0.56393376697962505</v>
      </c>
    </row>
    <row r="2002" spans="1:4" x14ac:dyDescent="0.3">
      <c r="A2002" s="1">
        <v>40773</v>
      </c>
      <c r="B2002">
        <v>1.654096</v>
      </c>
      <c r="C2002">
        <f t="shared" si="33"/>
        <v>6.0872654018519793E-3</v>
      </c>
      <c r="D2002">
        <f>(C2002-meanrtn)/stdevrtns</f>
        <v>1.0169294441015908</v>
      </c>
    </row>
    <row r="2003" spans="1:4" x14ac:dyDescent="0.3">
      <c r="A2003" s="1">
        <v>40774</v>
      </c>
      <c r="B2003">
        <v>1.650792</v>
      </c>
      <c r="C2003">
        <f t="shared" si="33"/>
        <v>-1.9974656851839152E-3</v>
      </c>
      <c r="D2003">
        <f>(C2003-meanrtn)/stdevrtns</f>
        <v>-0.32303595409219721</v>
      </c>
    </row>
    <row r="2004" spans="1:4" x14ac:dyDescent="0.3">
      <c r="A2004" s="1">
        <v>40777</v>
      </c>
      <c r="B2004">
        <v>1.647799</v>
      </c>
      <c r="C2004">
        <f t="shared" si="33"/>
        <v>-1.8130691207614426E-3</v>
      </c>
      <c r="D2004">
        <f>(C2004-meanrtn)/stdevrtns</f>
        <v>-0.29247402034178055</v>
      </c>
    </row>
    <row r="2005" spans="1:4" x14ac:dyDescent="0.3">
      <c r="A2005" s="1">
        <v>40778</v>
      </c>
      <c r="B2005">
        <v>1.6466050000000001</v>
      </c>
      <c r="C2005">
        <f t="shared" si="33"/>
        <v>-7.246029400430012E-4</v>
      </c>
      <c r="D2005">
        <f>(C2005-meanrtn)/stdevrtns</f>
        <v>-0.11207135715294338</v>
      </c>
    </row>
    <row r="2006" spans="1:4" x14ac:dyDescent="0.3">
      <c r="A2006" s="1">
        <v>40779</v>
      </c>
      <c r="B2006">
        <v>1.6498109999999999</v>
      </c>
      <c r="C2006">
        <f t="shared" si="33"/>
        <v>1.9470364780866205E-3</v>
      </c>
      <c r="D2006">
        <f>(C2006-meanrtn)/stdevrtns</f>
        <v>0.33072684333201291</v>
      </c>
    </row>
    <row r="2007" spans="1:4" x14ac:dyDescent="0.3">
      <c r="A2007" s="1">
        <v>40780</v>
      </c>
      <c r="B2007">
        <v>1.6370100000000001</v>
      </c>
      <c r="C2007">
        <f t="shared" si="33"/>
        <v>-7.7590705844486681E-3</v>
      </c>
      <c r="D2007">
        <f>(C2007-meanrtn)/stdevrtns</f>
        <v>-1.2779658237397338</v>
      </c>
    </row>
    <row r="2008" spans="1:4" x14ac:dyDescent="0.3">
      <c r="A2008" s="1">
        <v>40781</v>
      </c>
      <c r="B2008">
        <v>1.62832</v>
      </c>
      <c r="C2008">
        <f t="shared" si="33"/>
        <v>-5.308458714363435E-3</v>
      </c>
      <c r="D2008">
        <f>(C2008-meanrtn)/stdevrtns</f>
        <v>-0.87180078559978269</v>
      </c>
    </row>
    <row r="2009" spans="1:4" x14ac:dyDescent="0.3">
      <c r="A2009" s="1">
        <v>40784</v>
      </c>
      <c r="B2009">
        <v>1.6350020000000001</v>
      </c>
      <c r="C2009">
        <f t="shared" si="33"/>
        <v>4.1036159968557018E-3</v>
      </c>
      <c r="D2009">
        <f>(C2009-meanrtn)/stdevrtns</f>
        <v>0.68815888436028738</v>
      </c>
    </row>
    <row r="2010" spans="1:4" x14ac:dyDescent="0.3">
      <c r="A2010" s="1">
        <v>40785</v>
      </c>
      <c r="B2010">
        <v>1.641497</v>
      </c>
      <c r="C2010">
        <f t="shared" si="33"/>
        <v>3.972472204926916E-3</v>
      </c>
      <c r="D2010">
        <f>(C2010-meanrtn)/stdevrtns</f>
        <v>0.66642307874341478</v>
      </c>
    </row>
    <row r="2011" spans="1:4" x14ac:dyDescent="0.3">
      <c r="A2011" s="1">
        <v>40786</v>
      </c>
      <c r="B2011">
        <v>1.630763</v>
      </c>
      <c r="C2011">
        <f t="shared" si="33"/>
        <v>-6.5391529804806354E-3</v>
      </c>
      <c r="D2011">
        <f>(C2011-meanrtn)/stdevrtns</f>
        <v>-1.075776368040231</v>
      </c>
    </row>
    <row r="2012" spans="1:4" x14ac:dyDescent="0.3">
      <c r="A2012" s="1">
        <v>40787</v>
      </c>
      <c r="B2012">
        <v>1.6251439999999999</v>
      </c>
      <c r="C2012">
        <f t="shared" si="33"/>
        <v>-3.4456263724404104E-3</v>
      </c>
      <c r="D2012">
        <f>(C2012-meanrtn)/stdevrtns</f>
        <v>-0.56305447679357246</v>
      </c>
    </row>
    <row r="2013" spans="1:4" x14ac:dyDescent="0.3">
      <c r="A2013" s="1">
        <v>40788</v>
      </c>
      <c r="B2013">
        <v>1.6188039999999999</v>
      </c>
      <c r="C2013">
        <f t="shared" si="33"/>
        <v>-3.9011927558419515E-3</v>
      </c>
      <c r="D2013">
        <f>(C2013-meanrtn)/stdevrtns</f>
        <v>-0.63856016569857688</v>
      </c>
    </row>
    <row r="2014" spans="1:4" x14ac:dyDescent="0.3">
      <c r="A2014" s="1">
        <v>40791</v>
      </c>
      <c r="B2014">
        <v>1.6172070000000001</v>
      </c>
      <c r="C2014">
        <f t="shared" si="33"/>
        <v>-9.8653079681039132E-4</v>
      </c>
      <c r="D2014">
        <f>(C2014-meanrtn)/stdevrtns</f>
        <v>-0.15548334712675449</v>
      </c>
    </row>
    <row r="2015" spans="1:4" x14ac:dyDescent="0.3">
      <c r="A2015" s="1">
        <v>40792</v>
      </c>
      <c r="B2015">
        <v>1.6099950000000001</v>
      </c>
      <c r="C2015">
        <f t="shared" si="33"/>
        <v>-4.459540429889307E-3</v>
      </c>
      <c r="D2015">
        <f>(C2015-meanrtn)/stdevrtns</f>
        <v>-0.73110085200354835</v>
      </c>
    </row>
    <row r="2016" spans="1:4" x14ac:dyDescent="0.3">
      <c r="A2016" s="1">
        <v>40793</v>
      </c>
      <c r="B2016">
        <v>1.5948199999999999</v>
      </c>
      <c r="C2016">
        <f t="shared" si="33"/>
        <v>-9.4254951102333614E-3</v>
      </c>
      <c r="D2016">
        <f>(C2016-meanrtn)/stdevrtns</f>
        <v>-1.554159450864028</v>
      </c>
    </row>
    <row r="2017" spans="1:4" x14ac:dyDescent="0.3">
      <c r="A2017" s="1">
        <v>40794</v>
      </c>
      <c r="B2017">
        <v>1.5985929999999999</v>
      </c>
      <c r="C2017">
        <f t="shared" si="33"/>
        <v>2.3657842264330937E-3</v>
      </c>
      <c r="D2017">
        <f>(C2017-meanrtn)/stdevrtns</f>
        <v>0.40013020224590262</v>
      </c>
    </row>
    <row r="2018" spans="1:4" x14ac:dyDescent="0.3">
      <c r="A2018" s="1">
        <v>40795</v>
      </c>
      <c r="B2018">
        <v>1.59775</v>
      </c>
      <c r="C2018">
        <f t="shared" si="33"/>
        <v>-5.2733872849432414E-4</v>
      </c>
      <c r="D2018">
        <f>(C2018-meanrtn)/stdevrtns</f>
        <v>-7.9376736276676615E-2</v>
      </c>
    </row>
    <row r="2019" spans="1:4" x14ac:dyDescent="0.3">
      <c r="A2019" s="1">
        <v>40798</v>
      </c>
      <c r="B2019">
        <v>1.585691</v>
      </c>
      <c r="C2019">
        <f t="shared" si="33"/>
        <v>-7.5474886559224168E-3</v>
      </c>
      <c r="D2019">
        <f>(C2019-meanrtn)/stdevrtns</f>
        <v>-1.2428981807895672</v>
      </c>
    </row>
    <row r="2020" spans="1:4" x14ac:dyDescent="0.3">
      <c r="A2020" s="1">
        <v>40799</v>
      </c>
      <c r="B2020">
        <v>1.5858669999999999</v>
      </c>
      <c r="C2020">
        <f t="shared" si="33"/>
        <v>1.1099262088260195E-4</v>
      </c>
      <c r="D2020">
        <f>(C2020-meanrtn)/stdevrtns</f>
        <v>2.6420464834810801E-2</v>
      </c>
    </row>
    <row r="2021" spans="1:4" x14ac:dyDescent="0.3">
      <c r="A2021" s="1">
        <v>40800</v>
      </c>
      <c r="B2021">
        <v>1.5786070000000001</v>
      </c>
      <c r="C2021">
        <f t="shared" si="33"/>
        <v>-4.5779374941277056E-3</v>
      </c>
      <c r="D2021">
        <f>(C2021-meanrtn)/stdevrtns</f>
        <v>-0.75072401171279057</v>
      </c>
    </row>
    <row r="2022" spans="1:4" x14ac:dyDescent="0.3">
      <c r="A2022" s="1">
        <v>40801</v>
      </c>
      <c r="B2022">
        <v>1.576989</v>
      </c>
      <c r="C2022">
        <f t="shared" si="33"/>
        <v>-1.0249542793108856E-3</v>
      </c>
      <c r="D2022">
        <f>(C2022-meanrtn)/stdevrtns</f>
        <v>-0.16185166494394529</v>
      </c>
    </row>
    <row r="2023" spans="1:4" x14ac:dyDescent="0.3">
      <c r="A2023" s="1">
        <v>40802</v>
      </c>
      <c r="B2023">
        <v>1.579305</v>
      </c>
      <c r="C2023">
        <f t="shared" si="33"/>
        <v>1.4686215312852435E-3</v>
      </c>
      <c r="D2023">
        <f>(C2023-meanrtn)/stdevrtns</f>
        <v>0.25143422768515172</v>
      </c>
    </row>
    <row r="2024" spans="1:4" x14ac:dyDescent="0.3">
      <c r="A2024" s="1">
        <v>40805</v>
      </c>
      <c r="B2024">
        <v>1.5724009999999999</v>
      </c>
      <c r="C2024">
        <f t="shared" si="33"/>
        <v>-4.3715431788033483E-3</v>
      </c>
      <c r="D2024">
        <f>(C2024-meanrtn)/stdevrtns</f>
        <v>-0.71651616510153959</v>
      </c>
    </row>
    <row r="2025" spans="1:4" x14ac:dyDescent="0.3">
      <c r="A2025" s="1">
        <v>40806</v>
      </c>
      <c r="B2025">
        <v>1.5659989999999999</v>
      </c>
      <c r="C2025">
        <f t="shared" si="33"/>
        <v>-4.071480493843504E-3</v>
      </c>
      <c r="D2025">
        <f>(C2025-meanrtn)/stdevrtns</f>
        <v>-0.66678369894938128</v>
      </c>
    </row>
    <row r="2026" spans="1:4" x14ac:dyDescent="0.3">
      <c r="A2026" s="1">
        <v>40807</v>
      </c>
      <c r="B2026">
        <v>1.5734159999999999</v>
      </c>
      <c r="C2026">
        <f t="shared" si="33"/>
        <v>4.7362737779526086E-3</v>
      </c>
      <c r="D2026">
        <f>(C2026-meanrtn)/stdevrtns</f>
        <v>0.79301574681391807</v>
      </c>
    </row>
    <row r="2027" spans="1:4" x14ac:dyDescent="0.3">
      <c r="A2027" s="1">
        <v>40808</v>
      </c>
      <c r="B2027">
        <v>1.5508200000000001</v>
      </c>
      <c r="C2027">
        <f t="shared" si="33"/>
        <v>-1.4361109839991356E-2</v>
      </c>
      <c r="D2027">
        <f>(C2027-meanrtn)/stdevrtns</f>
        <v>-2.372189498554337</v>
      </c>
    </row>
    <row r="2028" spans="1:4" x14ac:dyDescent="0.3">
      <c r="A2028" s="1">
        <v>40809</v>
      </c>
      <c r="B2028">
        <v>1.5361689999999999</v>
      </c>
      <c r="C2028">
        <f t="shared" si="33"/>
        <v>-9.4472601591417387E-3</v>
      </c>
      <c r="D2028">
        <f>(C2028-meanrtn)/stdevrtns</f>
        <v>-1.5577667956369403</v>
      </c>
    </row>
    <row r="2029" spans="1:4" x14ac:dyDescent="0.3">
      <c r="A2029" s="1">
        <v>40812</v>
      </c>
      <c r="B2029">
        <v>1.549331</v>
      </c>
      <c r="C2029">
        <f t="shared" si="33"/>
        <v>8.56806770609231E-3</v>
      </c>
      <c r="D2029">
        <f>(C2029-meanrtn)/stdevrtns</f>
        <v>1.4280982525202031</v>
      </c>
    </row>
    <row r="2030" spans="1:4" x14ac:dyDescent="0.3">
      <c r="A2030" s="1">
        <v>40813</v>
      </c>
      <c r="B2030">
        <v>1.555258</v>
      </c>
      <c r="C2030">
        <f t="shared" si="33"/>
        <v>3.8255221124472534E-3</v>
      </c>
      <c r="D2030">
        <f>(C2030-meanrtn)/stdevrtns</f>
        <v>0.64206753283046869</v>
      </c>
    </row>
    <row r="2031" spans="1:4" x14ac:dyDescent="0.3">
      <c r="A2031" s="1">
        <v>40814</v>
      </c>
      <c r="B2031">
        <v>1.5639909999999999</v>
      </c>
      <c r="C2031">
        <f t="shared" si="33"/>
        <v>5.6151455256940519E-3</v>
      </c>
      <c r="D2031">
        <f>(C2031-meanrtn)/stdevrtns</f>
        <v>0.93868017507326262</v>
      </c>
    </row>
    <row r="2032" spans="1:4" x14ac:dyDescent="0.3">
      <c r="A2032" s="1">
        <v>40815</v>
      </c>
      <c r="B2032">
        <v>1.5576080000000001</v>
      </c>
      <c r="C2032">
        <f t="shared" si="33"/>
        <v>-4.0812255313488416E-3</v>
      </c>
      <c r="D2032">
        <f>(C2032-meanrtn)/stdevrtns</f>
        <v>-0.66839884395800031</v>
      </c>
    </row>
    <row r="2033" spans="1:4" x14ac:dyDescent="0.3">
      <c r="A2033" s="1">
        <v>40816</v>
      </c>
      <c r="B2033">
        <v>1.559941</v>
      </c>
      <c r="C2033">
        <f t="shared" si="33"/>
        <v>1.4978094616873553E-3</v>
      </c>
      <c r="D2033">
        <f>(C2033-meanrtn)/stdevrtns</f>
        <v>0.25627184273538312</v>
      </c>
    </row>
    <row r="2034" spans="1:4" x14ac:dyDescent="0.3">
      <c r="A2034" s="1">
        <v>40819</v>
      </c>
      <c r="B2034">
        <v>1.5583119999999999</v>
      </c>
      <c r="C2034">
        <f t="shared" si="33"/>
        <v>-1.0442702640677452E-3</v>
      </c>
      <c r="D2034">
        <f>(C2034-meanrtn)/stdevrtns</f>
        <v>-0.16505310119798897</v>
      </c>
    </row>
    <row r="2035" spans="1:4" x14ac:dyDescent="0.3">
      <c r="A2035" s="1">
        <v>40820</v>
      </c>
      <c r="B2035">
        <v>1.5435909999999999</v>
      </c>
      <c r="C2035">
        <f t="shared" si="33"/>
        <v>-9.446760340676312E-3</v>
      </c>
      <c r="D2035">
        <f>(C2035-meanrtn)/stdevrtns</f>
        <v>-1.5576839555966422</v>
      </c>
    </row>
    <row r="2036" spans="1:4" x14ac:dyDescent="0.3">
      <c r="A2036" s="1">
        <v>40821</v>
      </c>
      <c r="B2036">
        <v>1.5470299999999999</v>
      </c>
      <c r="C2036">
        <f t="shared" si="33"/>
        <v>2.2279217746151475E-3</v>
      </c>
      <c r="D2036">
        <f>(C2036-meanrtn)/stdevrtns</f>
        <v>0.37728084422057168</v>
      </c>
    </row>
    <row r="2037" spans="1:4" x14ac:dyDescent="0.3">
      <c r="A2037" s="1">
        <v>40822</v>
      </c>
      <c r="B2037">
        <v>1.5465990000000001</v>
      </c>
      <c r="C2037">
        <f t="shared" si="33"/>
        <v>-2.7859834650901936E-4</v>
      </c>
      <c r="D2037">
        <f>(C2037-meanrtn)/stdevrtns</f>
        <v>-3.8150441746203495E-2</v>
      </c>
    </row>
    <row r="2038" spans="1:4" x14ac:dyDescent="0.3">
      <c r="A2038" s="1">
        <v>40823</v>
      </c>
      <c r="B2038">
        <v>1.5434479999999999</v>
      </c>
      <c r="C2038">
        <f t="shared" si="33"/>
        <v>-2.0373736178544832E-3</v>
      </c>
      <c r="D2038">
        <f>(C2038-meanrtn)/stdevrtns</f>
        <v>-0.32965030506025322</v>
      </c>
    </row>
    <row r="2039" spans="1:4" x14ac:dyDescent="0.3">
      <c r="A2039" s="1">
        <v>40826</v>
      </c>
      <c r="B2039">
        <v>1.553302</v>
      </c>
      <c r="C2039">
        <f t="shared" si="33"/>
        <v>6.3844068604838192E-3</v>
      </c>
      <c r="D2039">
        <f>(C2039-meanrtn)/stdevrtns</f>
        <v>1.0661777454549848</v>
      </c>
    </row>
    <row r="2040" spans="1:4" x14ac:dyDescent="0.3">
      <c r="A2040" s="1">
        <v>40827</v>
      </c>
      <c r="B2040">
        <v>1.5658270000000001</v>
      </c>
      <c r="C2040">
        <f t="shared" si="33"/>
        <v>8.0634673746638585E-3</v>
      </c>
      <c r="D2040">
        <f>(C2040-meanrtn)/stdevrtns</f>
        <v>1.3444656645278252</v>
      </c>
    </row>
    <row r="2041" spans="1:4" x14ac:dyDescent="0.3">
      <c r="A2041" s="1">
        <v>40828</v>
      </c>
      <c r="B2041">
        <v>1.5588949999999999</v>
      </c>
      <c r="C2041">
        <f t="shared" si="33"/>
        <v>-4.4270535633886502E-3</v>
      </c>
      <c r="D2041">
        <f>(C2041-meanrtn)/stdevrtns</f>
        <v>-0.72571647044057652</v>
      </c>
    </row>
    <row r="2042" spans="1:4" x14ac:dyDescent="0.3">
      <c r="A2042" s="1">
        <v>40829</v>
      </c>
      <c r="B2042">
        <v>1.574778</v>
      </c>
      <c r="C2042">
        <f t="shared" si="33"/>
        <v>1.0188627200677463E-2</v>
      </c>
      <c r="D2042">
        <f>(C2042-meanrtn)/stdevrtns</f>
        <v>1.6966901976426045</v>
      </c>
    </row>
    <row r="2043" spans="1:4" x14ac:dyDescent="0.3">
      <c r="A2043" s="1">
        <v>40830</v>
      </c>
      <c r="B2043">
        <v>1.574506</v>
      </c>
      <c r="C2043">
        <f t="shared" si="33"/>
        <v>-1.7272275838248311E-4</v>
      </c>
      <c r="D2043">
        <f>(C2043-meanrtn)/stdevrtns</f>
        <v>-2.0602594690354255E-2</v>
      </c>
    </row>
    <row r="2044" spans="1:4" x14ac:dyDescent="0.3">
      <c r="A2044" s="1">
        <v>40833</v>
      </c>
      <c r="B2044">
        <v>1.5826290000000001</v>
      </c>
      <c r="C2044">
        <f t="shared" si="33"/>
        <v>5.1590784665159119E-3</v>
      </c>
      <c r="D2044">
        <f>(C2044-meanrtn)/stdevrtns</f>
        <v>0.8630915040369872</v>
      </c>
    </row>
    <row r="2045" spans="1:4" x14ac:dyDescent="0.3">
      <c r="A2045" s="1">
        <v>40834</v>
      </c>
      <c r="B2045">
        <v>1.574506</v>
      </c>
      <c r="C2045">
        <f t="shared" si="33"/>
        <v>-5.1325989856119796E-3</v>
      </c>
      <c r="D2045">
        <f>(C2045-meanrtn)/stdevrtns</f>
        <v>-0.84265374917694358</v>
      </c>
    </row>
    <row r="2046" spans="1:4" x14ac:dyDescent="0.3">
      <c r="A2046" s="1">
        <v>40835</v>
      </c>
      <c r="B2046">
        <v>1.57087</v>
      </c>
      <c r="C2046">
        <f t="shared" si="33"/>
        <v>-2.3092957410133542E-3</v>
      </c>
      <c r="D2046">
        <f>(C2046-meanrtn)/stdevrtns</f>
        <v>-0.37471874730201793</v>
      </c>
    </row>
    <row r="2047" spans="1:4" x14ac:dyDescent="0.3">
      <c r="A2047" s="1">
        <v>40836</v>
      </c>
      <c r="B2047">
        <v>1.5777099999999999</v>
      </c>
      <c r="C2047">
        <f t="shared" si="33"/>
        <v>4.3542750195751127E-3</v>
      </c>
      <c r="D2047">
        <f>(C2047-meanrtn)/stdevrtns</f>
        <v>0.72970317489676118</v>
      </c>
    </row>
    <row r="2048" spans="1:4" x14ac:dyDescent="0.3">
      <c r="A2048" s="1">
        <v>40837</v>
      </c>
      <c r="B2048">
        <v>1.579604</v>
      </c>
      <c r="C2048">
        <f t="shared" si="33"/>
        <v>1.2004741048735588E-3</v>
      </c>
      <c r="D2048">
        <f>(C2048-meanrtn)/stdevrtns</f>
        <v>0.2069914046477184</v>
      </c>
    </row>
    <row r="2049" spans="1:4" x14ac:dyDescent="0.3">
      <c r="A2049" s="1">
        <v>40840</v>
      </c>
      <c r="B2049">
        <v>1.594311</v>
      </c>
      <c r="C2049">
        <f t="shared" si="33"/>
        <v>9.3105613812069516E-3</v>
      </c>
      <c r="D2049">
        <f>(C2049-meanrtn)/stdevrtns</f>
        <v>1.5511593441410161</v>
      </c>
    </row>
    <row r="2050" spans="1:4" x14ac:dyDescent="0.3">
      <c r="A2050" s="1">
        <v>40841</v>
      </c>
      <c r="B2050">
        <v>1.599667</v>
      </c>
      <c r="C2050">
        <f t="shared" si="33"/>
        <v>3.3594449263662585E-3</v>
      </c>
      <c r="D2050">
        <f>(C2050-meanrtn)/stdevrtns</f>
        <v>0.5648197808010279</v>
      </c>
    </row>
    <row r="2051" spans="1:4" x14ac:dyDescent="0.3">
      <c r="A2051" s="1">
        <v>40842</v>
      </c>
      <c r="B2051">
        <v>1.5998460000000001</v>
      </c>
      <c r="C2051">
        <f t="shared" si="33"/>
        <v>1.1189828883145759E-4</v>
      </c>
      <c r="D2051">
        <f>(C2051-meanrtn)/stdevrtns</f>
        <v>2.6570570472296468E-2</v>
      </c>
    </row>
    <row r="2052" spans="1:4" x14ac:dyDescent="0.3">
      <c r="A2052" s="1">
        <v>40843</v>
      </c>
      <c r="B2052">
        <v>1.5959650000000001</v>
      </c>
      <c r="C2052">
        <f t="shared" ref="C2052:C2115" si="34">(B2052-B2051)/B2051</f>
        <v>-2.4258584888795691E-3</v>
      </c>
      <c r="D2052">
        <f>(C2052-meanrtn)/stdevrtns</f>
        <v>-0.3940378869465721</v>
      </c>
    </row>
    <row r="2053" spans="1:4" x14ac:dyDescent="0.3">
      <c r="A2053" s="1">
        <v>40844</v>
      </c>
      <c r="B2053">
        <v>1.6087769999999999</v>
      </c>
      <c r="C2053">
        <f t="shared" si="34"/>
        <v>8.0277449693444553E-3</v>
      </c>
      <c r="D2053">
        <f>(C2053-meanrtn)/stdevrtns</f>
        <v>1.338545023933482</v>
      </c>
    </row>
    <row r="2054" spans="1:4" x14ac:dyDescent="0.3">
      <c r="A2054" s="1">
        <v>40847</v>
      </c>
      <c r="B2054">
        <v>1.6111880000000001</v>
      </c>
      <c r="C2054">
        <f t="shared" si="34"/>
        <v>1.4986539464451338E-3</v>
      </c>
      <c r="D2054">
        <f>(C2054-meanrtn)/stdevrtns</f>
        <v>0.25641180785513085</v>
      </c>
    </row>
    <row r="2055" spans="1:4" x14ac:dyDescent="0.3">
      <c r="A2055" s="1">
        <v>40848</v>
      </c>
      <c r="B2055">
        <v>1.608001</v>
      </c>
      <c r="C2055">
        <f t="shared" si="34"/>
        <v>-1.9780435306122257E-3</v>
      </c>
      <c r="D2055">
        <f>(C2055-meanrtn)/stdevrtns</f>
        <v>-0.31981692122588862</v>
      </c>
    </row>
    <row r="2056" spans="1:4" x14ac:dyDescent="0.3">
      <c r="A2056" s="1">
        <v>40849</v>
      </c>
      <c r="B2056">
        <v>1.594007</v>
      </c>
      <c r="C2056">
        <f t="shared" si="34"/>
        <v>-8.7027309062619133E-3</v>
      </c>
      <c r="D2056">
        <f>(C2056-meanrtn)/stdevrtns</f>
        <v>-1.4343683268366869</v>
      </c>
    </row>
    <row r="2057" spans="1:4" x14ac:dyDescent="0.3">
      <c r="A2057" s="1">
        <v>40850</v>
      </c>
      <c r="B2057">
        <v>1.591191</v>
      </c>
      <c r="C2057">
        <f t="shared" si="34"/>
        <v>-1.7666170851194064E-3</v>
      </c>
      <c r="D2057">
        <f>(C2057-meanrtn)/stdevrtns</f>
        <v>-0.28477504807345078</v>
      </c>
    </row>
    <row r="2058" spans="1:4" x14ac:dyDescent="0.3">
      <c r="A2058" s="1">
        <v>40851</v>
      </c>
      <c r="B2058">
        <v>1.603721</v>
      </c>
      <c r="C2058">
        <f t="shared" si="34"/>
        <v>7.8746046200612804E-3</v>
      </c>
      <c r="D2058">
        <f>(C2058-meanrtn)/stdevrtns</f>
        <v>1.3131635032746423</v>
      </c>
    </row>
    <row r="2059" spans="1:4" x14ac:dyDescent="0.3">
      <c r="A2059" s="1">
        <v>40854</v>
      </c>
      <c r="B2059">
        <v>1.6032839999999999</v>
      </c>
      <c r="C2059">
        <f t="shared" si="34"/>
        <v>-2.7249128744963791E-4</v>
      </c>
      <c r="D2059">
        <f>(C2059-meanrtn)/stdevrtns</f>
        <v>-3.7138256215701541E-2</v>
      </c>
    </row>
    <row r="2060" spans="1:4" x14ac:dyDescent="0.3">
      <c r="A2060" s="1">
        <v>40855</v>
      </c>
      <c r="B2060">
        <v>1.606193</v>
      </c>
      <c r="C2060">
        <f t="shared" si="34"/>
        <v>1.8144009420664401E-3</v>
      </c>
      <c r="D2060">
        <f>(C2060-meanrtn)/stdevrtns</f>
        <v>0.30874379566788984</v>
      </c>
    </row>
    <row r="2061" spans="1:4" x14ac:dyDescent="0.3">
      <c r="A2061" s="1">
        <v>40856</v>
      </c>
      <c r="B2061">
        <v>1.609891</v>
      </c>
      <c r="C2061">
        <f t="shared" si="34"/>
        <v>2.3023385110008442E-3</v>
      </c>
      <c r="D2061">
        <f>(C2061-meanrtn)/stdevrtns</f>
        <v>0.38961469314267616</v>
      </c>
    </row>
    <row r="2062" spans="1:4" x14ac:dyDescent="0.3">
      <c r="A2062" s="1">
        <v>40857</v>
      </c>
      <c r="B2062">
        <v>1.5914950000000001</v>
      </c>
      <c r="C2062">
        <f t="shared" si="34"/>
        <v>-1.1426860576274952E-2</v>
      </c>
      <c r="D2062">
        <f>(C2062-meanrtn)/stdevrtns</f>
        <v>-1.8858662750942115</v>
      </c>
    </row>
    <row r="2063" spans="1:4" x14ac:dyDescent="0.3">
      <c r="A2063" s="1">
        <v>40858</v>
      </c>
      <c r="B2063">
        <v>1.5942099999999999</v>
      </c>
      <c r="C2063">
        <f t="shared" si="34"/>
        <v>1.7059431540782728E-3</v>
      </c>
      <c r="D2063">
        <f>(C2063-meanrtn)/stdevrtns</f>
        <v>0.29076797414652561</v>
      </c>
    </row>
    <row r="2064" spans="1:4" x14ac:dyDescent="0.3">
      <c r="A2064" s="1">
        <v>40861</v>
      </c>
      <c r="B2064">
        <v>1.607691</v>
      </c>
      <c r="C2064">
        <f t="shared" si="34"/>
        <v>8.4562259677207381E-3</v>
      </c>
      <c r="D2064">
        <f>(C2064-meanrtn)/stdevrtns</f>
        <v>1.4095615741967817</v>
      </c>
    </row>
    <row r="2065" spans="1:4" x14ac:dyDescent="0.3">
      <c r="A2065" s="1">
        <v>40862</v>
      </c>
      <c r="B2065">
        <v>1.5900019999999999</v>
      </c>
      <c r="C2065">
        <f t="shared" si="34"/>
        <v>-1.100273622232137E-2</v>
      </c>
      <c r="D2065">
        <f>(C2065-meanrtn)/stdevrtns</f>
        <v>-1.8155717961918274</v>
      </c>
    </row>
    <row r="2066" spans="1:4" x14ac:dyDescent="0.3">
      <c r="A2066" s="1">
        <v>40863</v>
      </c>
      <c r="B2066">
        <v>1.580578</v>
      </c>
      <c r="C2066">
        <f t="shared" si="34"/>
        <v>-5.9270365697652438E-3</v>
      </c>
      <c r="D2066">
        <f>(C2066-meanrtn)/stdevrtns</f>
        <v>-0.97432403756749086</v>
      </c>
    </row>
    <row r="2067" spans="1:4" x14ac:dyDescent="0.3">
      <c r="A2067" s="1">
        <v>40864</v>
      </c>
      <c r="B2067">
        <v>1.5707960000000001</v>
      </c>
      <c r="C2067">
        <f t="shared" si="34"/>
        <v>-6.1888752089425247E-3</v>
      </c>
      <c r="D2067">
        <f>(C2067-meanrtn)/stdevrtns</f>
        <v>-1.0177212405950982</v>
      </c>
    </row>
    <row r="2068" spans="1:4" x14ac:dyDescent="0.3">
      <c r="A2068" s="1">
        <v>40865</v>
      </c>
      <c r="B2068">
        <v>1.5751999999999999</v>
      </c>
      <c r="C2068">
        <f t="shared" si="34"/>
        <v>2.8036740607945603E-3</v>
      </c>
      <c r="D2068">
        <f>(C2068-meanrtn)/stdevrtns</f>
        <v>0.47270617539188109</v>
      </c>
    </row>
    <row r="2069" spans="1:4" x14ac:dyDescent="0.3">
      <c r="A2069" s="1">
        <v>40868</v>
      </c>
      <c r="B2069">
        <v>1.5777099999999999</v>
      </c>
      <c r="C2069">
        <f t="shared" si="34"/>
        <v>1.5934484509903583E-3</v>
      </c>
      <c r="D2069">
        <f>(C2069-meanrtn)/stdevrtns</f>
        <v>0.27212307328400914</v>
      </c>
    </row>
    <row r="2070" spans="1:4" x14ac:dyDescent="0.3">
      <c r="A2070" s="1">
        <v>40869</v>
      </c>
      <c r="B2070">
        <v>1.563893</v>
      </c>
      <c r="C2070">
        <f t="shared" si="34"/>
        <v>-8.7576297291644019E-3</v>
      </c>
      <c r="D2070">
        <f>(C2070-meanrtn)/stdevrtns</f>
        <v>-1.4434672717859953</v>
      </c>
    </row>
    <row r="2071" spans="1:4" x14ac:dyDescent="0.3">
      <c r="A2071" s="1">
        <v>40870</v>
      </c>
      <c r="B2071">
        <v>1.5648960000000001</v>
      </c>
      <c r="C2071">
        <f t="shared" si="34"/>
        <v>6.4134822523029852E-4</v>
      </c>
      <c r="D2071">
        <f>(C2071-meanrtn)/stdevrtns</f>
        <v>0.1143217383482403</v>
      </c>
    </row>
    <row r="2072" spans="1:4" x14ac:dyDescent="0.3">
      <c r="A2072" s="1">
        <v>40871</v>
      </c>
      <c r="B2072">
        <v>1.552867</v>
      </c>
      <c r="C2072">
        <f t="shared" si="34"/>
        <v>-7.6867727951250861E-3</v>
      </c>
      <c r="D2072">
        <f>(C2072-meanrtn)/stdevrtns</f>
        <v>-1.2659831696456665</v>
      </c>
    </row>
    <row r="2073" spans="1:4" x14ac:dyDescent="0.3">
      <c r="A2073" s="1">
        <v>40872</v>
      </c>
      <c r="B2073">
        <v>1.5477000000000001</v>
      </c>
      <c r="C2073">
        <f t="shared" si="34"/>
        <v>-3.3273937819529435E-3</v>
      </c>
      <c r="D2073">
        <f>(C2073-meanrtn)/stdevrtns</f>
        <v>-0.54345857700587696</v>
      </c>
    </row>
    <row r="2074" spans="1:4" x14ac:dyDescent="0.3">
      <c r="A2074" s="1">
        <v>40875</v>
      </c>
      <c r="B2074">
        <v>1.5489949999999999</v>
      </c>
      <c r="C2074">
        <f t="shared" si="34"/>
        <v>8.3672546359102155E-4</v>
      </c>
      <c r="D2074">
        <f>(C2074-meanrtn)/stdevrtns</f>
        <v>0.14670361180570518</v>
      </c>
    </row>
    <row r="2075" spans="1:4" x14ac:dyDescent="0.3">
      <c r="A2075" s="1">
        <v>40876</v>
      </c>
      <c r="B2075">
        <v>1.5500989999999999</v>
      </c>
      <c r="C2075">
        <f t="shared" si="34"/>
        <v>7.1272018308644891E-4</v>
      </c>
      <c r="D2075">
        <f>(C2075-meanrtn)/stdevrtns</f>
        <v>0.12615094489809597</v>
      </c>
    </row>
    <row r="2076" spans="1:4" x14ac:dyDescent="0.3">
      <c r="A2076" s="1">
        <v>40877</v>
      </c>
      <c r="B2076">
        <v>1.559795</v>
      </c>
      <c r="C2076">
        <f t="shared" si="34"/>
        <v>6.2550843526769252E-3</v>
      </c>
      <c r="D2076">
        <f>(C2076-meanrtn)/stdevrtns</f>
        <v>1.0447437999343037</v>
      </c>
    </row>
    <row r="2077" spans="1:4" x14ac:dyDescent="0.3">
      <c r="A2077" s="1">
        <v>40878</v>
      </c>
      <c r="B2077">
        <v>1.570722</v>
      </c>
      <c r="C2077">
        <f t="shared" si="34"/>
        <v>7.0054077619173729E-3</v>
      </c>
      <c r="D2077">
        <f>(C2077-meanrtn)/stdevrtns</f>
        <v>1.1691025936917359</v>
      </c>
    </row>
    <row r="2078" spans="1:4" x14ac:dyDescent="0.3">
      <c r="A2078" s="1">
        <v>40879</v>
      </c>
      <c r="B2078">
        <v>1.568308</v>
      </c>
      <c r="C2078">
        <f t="shared" si="34"/>
        <v>-1.5368728521023556E-3</v>
      </c>
      <c r="D2078">
        <f>(C2078-meanrtn)/stdevrtns</f>
        <v>-0.24669718013161354</v>
      </c>
    </row>
    <row r="2079" spans="1:4" x14ac:dyDescent="0.3">
      <c r="A2079" s="1">
        <v>40882</v>
      </c>
      <c r="B2079">
        <v>1.560988</v>
      </c>
      <c r="C2079">
        <f t="shared" si="34"/>
        <v>-4.6674505262996767E-3</v>
      </c>
      <c r="D2079">
        <f>(C2079-meanrtn)/stdevrtns</f>
        <v>-0.7655599245596858</v>
      </c>
    </row>
    <row r="2080" spans="1:4" x14ac:dyDescent="0.3">
      <c r="A2080" s="1">
        <v>40883</v>
      </c>
      <c r="B2080">
        <v>1.5643089999999999</v>
      </c>
      <c r="C2080">
        <f t="shared" si="34"/>
        <v>2.1274987379787079E-3</v>
      </c>
      <c r="D2080">
        <f>(C2080-meanrtn)/stdevrtns</f>
        <v>0.36063670444328799</v>
      </c>
    </row>
    <row r="2081" spans="1:4" x14ac:dyDescent="0.3">
      <c r="A2081" s="1">
        <v>40884</v>
      </c>
      <c r="B2081">
        <v>1.5606960000000001</v>
      </c>
      <c r="C2081">
        <f t="shared" si="34"/>
        <v>-2.3096459842651715E-3</v>
      </c>
      <c r="D2081">
        <f>(C2081-meanrtn)/stdevrtns</f>
        <v>-0.37477679670815572</v>
      </c>
    </row>
    <row r="2082" spans="1:4" x14ac:dyDescent="0.3">
      <c r="A2082" s="1">
        <v>40885</v>
      </c>
      <c r="B2082">
        <v>1.570031</v>
      </c>
      <c r="C2082">
        <f t="shared" si="34"/>
        <v>5.9813057763971143E-3</v>
      </c>
      <c r="D2082">
        <f>(C2082-meanrtn)/stdevrtns</f>
        <v>0.99936766867745008</v>
      </c>
    </row>
    <row r="2083" spans="1:4" x14ac:dyDescent="0.3">
      <c r="A2083" s="1">
        <v>40886</v>
      </c>
      <c r="B2083">
        <v>1.563795</v>
      </c>
      <c r="C2083">
        <f t="shared" si="34"/>
        <v>-3.9718960963190586E-3</v>
      </c>
      <c r="D2083">
        <f>(C2083-meanrtn)/stdevrtns</f>
        <v>-0.65027855543301782</v>
      </c>
    </row>
    <row r="2084" spans="1:4" x14ac:dyDescent="0.3">
      <c r="A2084" s="1">
        <v>40889</v>
      </c>
      <c r="B2084">
        <v>1.5654110000000001</v>
      </c>
      <c r="C2084">
        <f t="shared" si="34"/>
        <v>1.0333835317289427E-3</v>
      </c>
      <c r="D2084">
        <f>(C2084-meanrtn)/stdevrtns</f>
        <v>0.1792977703180402</v>
      </c>
    </row>
    <row r="2085" spans="1:4" x14ac:dyDescent="0.3">
      <c r="A2085" s="1">
        <v>40890</v>
      </c>
      <c r="B2085">
        <v>1.5580689999999999</v>
      </c>
      <c r="C2085">
        <f t="shared" si="34"/>
        <v>-4.6901420777036712E-3</v>
      </c>
      <c r="D2085">
        <f>(C2085-meanrtn)/stdevrtns</f>
        <v>-0.76932082809319291</v>
      </c>
    </row>
    <row r="2086" spans="1:4" x14ac:dyDescent="0.3">
      <c r="A2086" s="1">
        <v>40891</v>
      </c>
      <c r="B2086">
        <v>1.5480119999999999</v>
      </c>
      <c r="C2086">
        <f t="shared" si="34"/>
        <v>-6.4547847367478484E-3</v>
      </c>
      <c r="D2086">
        <f>(C2086-meanrtn)/stdevrtns</f>
        <v>-1.0617931537451268</v>
      </c>
    </row>
    <row r="2087" spans="1:4" x14ac:dyDescent="0.3">
      <c r="A2087" s="1">
        <v>40892</v>
      </c>
      <c r="B2087">
        <v>1.5475080000000001</v>
      </c>
      <c r="C2087">
        <f t="shared" si="34"/>
        <v>-3.2557887148151172E-4</v>
      </c>
      <c r="D2087">
        <f>(C2087-meanrtn)/stdevrtns</f>
        <v>-4.5937005971334592E-2</v>
      </c>
    </row>
    <row r="2088" spans="1:4" x14ac:dyDescent="0.3">
      <c r="A2088" s="1">
        <v>40893</v>
      </c>
      <c r="B2088">
        <v>1.552289</v>
      </c>
      <c r="C2088">
        <f t="shared" si="34"/>
        <v>3.089483220765207E-3</v>
      </c>
      <c r="D2088">
        <f>(C2088-meanrtn)/stdevrtns</f>
        <v>0.52007625866671137</v>
      </c>
    </row>
    <row r="2089" spans="1:4" x14ac:dyDescent="0.3">
      <c r="A2089" s="1">
        <v>40896</v>
      </c>
      <c r="B2089">
        <v>1.5525059999999999</v>
      </c>
      <c r="C2089">
        <f t="shared" si="34"/>
        <v>1.3979355648330413E-4</v>
      </c>
      <c r="D2089">
        <f>(C2089-meanrtn)/stdevrtns</f>
        <v>3.1193939267675042E-2</v>
      </c>
    </row>
    <row r="2090" spans="1:4" x14ac:dyDescent="0.3">
      <c r="A2090" s="1">
        <v>40897</v>
      </c>
      <c r="B2090">
        <v>1.550989</v>
      </c>
      <c r="C2090">
        <f t="shared" si="34"/>
        <v>-9.7712987904716034E-4</v>
      </c>
      <c r="D2090">
        <f>(C2090-meanrtn)/stdevrtns</f>
        <v>-0.15392523661220758</v>
      </c>
    </row>
    <row r="2091" spans="1:4" x14ac:dyDescent="0.3">
      <c r="A2091" s="1">
        <v>40898</v>
      </c>
      <c r="B2091">
        <v>1.5671029999999999</v>
      </c>
      <c r="C2091">
        <f t="shared" si="34"/>
        <v>1.0389499861056372E-2</v>
      </c>
      <c r="D2091">
        <f>(C2091-meanrtn)/stdevrtns</f>
        <v>1.7299828837509255</v>
      </c>
    </row>
    <row r="2092" spans="1:4" x14ac:dyDescent="0.3">
      <c r="A2092" s="1">
        <v>40899</v>
      </c>
      <c r="B2092">
        <v>1.5671029999999999</v>
      </c>
      <c r="C2092">
        <f t="shared" si="34"/>
        <v>0</v>
      </c>
      <c r="D2092">
        <f>(C2092-meanrtn)/stdevrtns</f>
        <v>8.0245194611897972E-3</v>
      </c>
    </row>
    <row r="2093" spans="1:4" x14ac:dyDescent="0.3">
      <c r="A2093" s="1">
        <v>40900</v>
      </c>
      <c r="B2093">
        <v>1.5679879999999999</v>
      </c>
      <c r="C2093">
        <f t="shared" si="34"/>
        <v>5.6473633194501231E-4</v>
      </c>
      <c r="D2093">
        <f>(C2093-meanrtn)/stdevrtns</f>
        <v>0.10162406356014345</v>
      </c>
    </row>
    <row r="2094" spans="1:4" x14ac:dyDescent="0.3">
      <c r="A2094" s="1">
        <v>40903</v>
      </c>
      <c r="B2094">
        <v>1.5596969999999999</v>
      </c>
      <c r="C2094">
        <f t="shared" si="34"/>
        <v>-5.2876680178675145E-3</v>
      </c>
      <c r="D2094">
        <f>(C2094-meanrtn)/stdevrtns</f>
        <v>-0.86835493024492072</v>
      </c>
    </row>
    <row r="2095" spans="1:4" x14ac:dyDescent="0.3">
      <c r="A2095" s="1">
        <v>40904</v>
      </c>
      <c r="B2095">
        <v>1.56189</v>
      </c>
      <c r="C2095">
        <f t="shared" si="34"/>
        <v>1.4060423274521343E-3</v>
      </c>
      <c r="D2095">
        <f>(C2095-meanrtn)/stdevrtns</f>
        <v>0.24106233443599412</v>
      </c>
    </row>
    <row r="2096" spans="1:4" x14ac:dyDescent="0.3">
      <c r="A2096" s="1">
        <v>40905</v>
      </c>
      <c r="B2096">
        <v>1.5664899999999999</v>
      </c>
      <c r="C2096">
        <f t="shared" si="34"/>
        <v>2.9451497864766006E-3</v>
      </c>
      <c r="D2096">
        <f>(C2096-meanrtn)/stdevrtns</f>
        <v>0.49615439835161262</v>
      </c>
    </row>
    <row r="2097" spans="1:4" x14ac:dyDescent="0.3">
      <c r="A2097" s="1">
        <v>40906</v>
      </c>
      <c r="B2097">
        <v>1.5444020000000001</v>
      </c>
      <c r="C2097">
        <f t="shared" si="34"/>
        <v>-1.4100313439600564E-2</v>
      </c>
      <c r="D2097">
        <f>(C2097-meanrtn)/stdevrtns</f>
        <v>-2.3289650364497754</v>
      </c>
    </row>
    <row r="2098" spans="1:4" x14ac:dyDescent="0.3">
      <c r="A2098" s="1">
        <v>40907</v>
      </c>
      <c r="B2098">
        <v>1.5415920000000001</v>
      </c>
      <c r="C2098">
        <f t="shared" si="34"/>
        <v>-1.8194744632550198E-3</v>
      </c>
      <c r="D2098">
        <f>(C2098-meanrtn)/stdevrtns</f>
        <v>-0.29353564344495797</v>
      </c>
    </row>
    <row r="2099" spans="1:4" x14ac:dyDescent="0.3">
      <c r="A2099" s="1">
        <v>40910</v>
      </c>
      <c r="B2099">
        <v>1.5512049999999999</v>
      </c>
      <c r="C2099">
        <f t="shared" si="34"/>
        <v>6.23576147255556E-3</v>
      </c>
      <c r="D2099">
        <f>(C2099-meanrtn)/stdevrtns</f>
        <v>1.0415412208407833</v>
      </c>
    </row>
    <row r="2100" spans="1:4" x14ac:dyDescent="0.3">
      <c r="A2100" s="1">
        <v>40911</v>
      </c>
      <c r="B2100">
        <v>1.552</v>
      </c>
      <c r="C2100">
        <f t="shared" si="34"/>
        <v>5.1250479465970078E-4</v>
      </c>
      <c r="D2100">
        <f>(C2100-meanrtn)/stdevrtns</f>
        <v>9.2967195211236364E-2</v>
      </c>
    </row>
    <row r="2101" spans="1:4" x14ac:dyDescent="0.3">
      <c r="A2101" s="1">
        <v>40912</v>
      </c>
      <c r="B2101">
        <v>1.5644070000000001</v>
      </c>
      <c r="C2101">
        <f t="shared" si="34"/>
        <v>7.9942010309278708E-3</v>
      </c>
      <c r="D2101">
        <f>(C2101-meanrtn)/stdevrtns</f>
        <v>1.3329854430007975</v>
      </c>
    </row>
    <row r="2102" spans="1:4" x14ac:dyDescent="0.3">
      <c r="A2102" s="1">
        <v>40913</v>
      </c>
      <c r="B2102">
        <v>1.5609390000000001</v>
      </c>
      <c r="C2102">
        <f t="shared" si="34"/>
        <v>-2.2168144223338468E-3</v>
      </c>
      <c r="D2102">
        <f>(C2102-meanrtn)/stdevrtns</f>
        <v>-0.35939086989016622</v>
      </c>
    </row>
    <row r="2103" spans="1:4" x14ac:dyDescent="0.3">
      <c r="A2103" s="1">
        <v>40914</v>
      </c>
      <c r="B2103">
        <v>1.550171</v>
      </c>
      <c r="C2103">
        <f t="shared" si="34"/>
        <v>-6.8984117893140665E-3</v>
      </c>
      <c r="D2103">
        <f>(C2103-meanrtn)/stdevrtns</f>
        <v>-1.1353200149037668</v>
      </c>
    </row>
    <row r="2104" spans="1:4" x14ac:dyDescent="0.3">
      <c r="A2104" s="1">
        <v>40917</v>
      </c>
      <c r="B2104">
        <v>1.541949</v>
      </c>
      <c r="C2104">
        <f t="shared" si="34"/>
        <v>-5.3039309856783229E-3</v>
      </c>
      <c r="D2104">
        <f>(C2104-meanrtn)/stdevrtns</f>
        <v>-0.87105035868945691</v>
      </c>
    </row>
    <row r="2105" spans="1:4" x14ac:dyDescent="0.3">
      <c r="A2105" s="1">
        <v>40918</v>
      </c>
      <c r="B2105">
        <v>1.545906</v>
      </c>
      <c r="C2105">
        <f t="shared" si="34"/>
        <v>2.5662327353239232E-3</v>
      </c>
      <c r="D2105">
        <f>(C2105-meanrtn)/stdevrtns</f>
        <v>0.43335258937810417</v>
      </c>
    </row>
    <row r="2106" spans="1:4" x14ac:dyDescent="0.3">
      <c r="A2106" s="1">
        <v>40919</v>
      </c>
      <c r="B2106">
        <v>1.547461</v>
      </c>
      <c r="C2106">
        <f t="shared" si="34"/>
        <v>1.0058826345198046E-3</v>
      </c>
      <c r="D2106">
        <f>(C2106-meanrtn)/stdevrtns</f>
        <v>0.17473976458070409</v>
      </c>
    </row>
    <row r="2107" spans="1:4" x14ac:dyDescent="0.3">
      <c r="A2107" s="1">
        <v>40920</v>
      </c>
      <c r="B2107">
        <v>1.533601</v>
      </c>
      <c r="C2107">
        <f t="shared" si="34"/>
        <v>-8.9566069839562886E-3</v>
      </c>
      <c r="D2107">
        <f>(C2107-meanrtn)/stdevrtns</f>
        <v>-1.4764458128875362</v>
      </c>
    </row>
    <row r="2108" spans="1:4" x14ac:dyDescent="0.3">
      <c r="A2108" s="1">
        <v>40921</v>
      </c>
      <c r="B2108">
        <v>1.534213</v>
      </c>
      <c r="C2108">
        <f t="shared" si="34"/>
        <v>3.9906077265211548E-4</v>
      </c>
      <c r="D2108">
        <f>(C2108-meanrtn)/stdevrtns</f>
        <v>7.4164953988166721E-2</v>
      </c>
    </row>
    <row r="2109" spans="1:4" x14ac:dyDescent="0.3">
      <c r="A2109" s="1">
        <v>40924</v>
      </c>
      <c r="B2109">
        <v>1.530011</v>
      </c>
      <c r="C2109">
        <f t="shared" si="34"/>
        <v>-2.7388635085219843E-3</v>
      </c>
      <c r="D2109">
        <f>(C2109-meanrtn)/stdevrtns</f>
        <v>-0.44591541895927556</v>
      </c>
    </row>
    <row r="2110" spans="1:4" x14ac:dyDescent="0.3">
      <c r="A2110" s="1">
        <v>40925</v>
      </c>
      <c r="B2110">
        <v>1.532497</v>
      </c>
      <c r="C2110">
        <f t="shared" si="34"/>
        <v>1.6248249195593941E-3</v>
      </c>
      <c r="D2110">
        <f>(C2110-meanrtn)/stdevrtns</f>
        <v>0.27732341720978804</v>
      </c>
    </row>
    <row r="2111" spans="1:4" x14ac:dyDescent="0.3">
      <c r="A2111" s="1">
        <v>40926</v>
      </c>
      <c r="B2111">
        <v>1.53386</v>
      </c>
      <c r="C2111">
        <f t="shared" si="34"/>
        <v>8.8939815216604215E-4</v>
      </c>
      <c r="D2111">
        <f>(C2111-meanrtn)/stdevrtns</f>
        <v>0.15543359668220172</v>
      </c>
    </row>
    <row r="2112" spans="1:4" x14ac:dyDescent="0.3">
      <c r="A2112" s="1">
        <v>40927</v>
      </c>
      <c r="B2112">
        <v>1.542996</v>
      </c>
      <c r="C2112">
        <f t="shared" si="34"/>
        <v>5.9562150391822156E-3</v>
      </c>
      <c r="D2112">
        <f>(C2112-meanrtn)/stdevrtns</f>
        <v>0.99520912347400492</v>
      </c>
    </row>
    <row r="2113" spans="1:4" x14ac:dyDescent="0.3">
      <c r="A2113" s="1">
        <v>40928</v>
      </c>
      <c r="B2113">
        <v>1.548827</v>
      </c>
      <c r="C2113">
        <f t="shared" si="34"/>
        <v>3.779011740795128E-3</v>
      </c>
      <c r="D2113">
        <f>(C2113-meanrtn)/stdevrtns</f>
        <v>0.6343588919369062</v>
      </c>
    </row>
    <row r="2114" spans="1:4" x14ac:dyDescent="0.3">
      <c r="A2114" s="1">
        <v>40931</v>
      </c>
      <c r="B2114">
        <v>1.554557</v>
      </c>
      <c r="C2114">
        <f t="shared" si="34"/>
        <v>3.6995739356300047E-3</v>
      </c>
      <c r="D2114">
        <f>(C2114-meanrtn)/stdevrtns</f>
        <v>0.62119284979106282</v>
      </c>
    </row>
    <row r="2115" spans="1:4" x14ac:dyDescent="0.3">
      <c r="A2115" s="1">
        <v>40932</v>
      </c>
      <c r="B2115">
        <v>1.5578989999999999</v>
      </c>
      <c r="C2115">
        <f t="shared" si="34"/>
        <v>2.1498085949887692E-3</v>
      </c>
      <c r="D2115">
        <f>(C2115-meanrtn)/stdevrtns</f>
        <v>0.36433434585031882</v>
      </c>
    </row>
    <row r="2116" spans="1:4" x14ac:dyDescent="0.3">
      <c r="A2116" s="1">
        <v>40933</v>
      </c>
      <c r="B2116">
        <v>1.5626949999999999</v>
      </c>
      <c r="C2116">
        <f t="shared" ref="C2116:C2179" si="35">(B2116-B2115)/B2115</f>
        <v>3.0785050892259526E-3</v>
      </c>
      <c r="D2116">
        <f>(C2116-meanrtn)/stdevrtns</f>
        <v>0.518256740337523</v>
      </c>
    </row>
    <row r="2117" spans="1:4" x14ac:dyDescent="0.3">
      <c r="A2117" s="1">
        <v>40934</v>
      </c>
      <c r="B2117">
        <v>1.5660970000000001</v>
      </c>
      <c r="C2117">
        <f t="shared" si="35"/>
        <v>2.1770083093630727E-3</v>
      </c>
      <c r="D2117">
        <f>(C2117-meanrtn)/stdevrtns</f>
        <v>0.368842433467576</v>
      </c>
    </row>
    <row r="2118" spans="1:4" x14ac:dyDescent="0.3">
      <c r="A2118" s="1">
        <v>40935</v>
      </c>
      <c r="B2118">
        <v>1.568209</v>
      </c>
      <c r="C2118">
        <f t="shared" si="35"/>
        <v>1.348575471378779E-3</v>
      </c>
      <c r="D2118">
        <f>(C2118-meanrtn)/stdevrtns</f>
        <v>0.23153776301212126</v>
      </c>
    </row>
    <row r="2119" spans="1:4" x14ac:dyDescent="0.3">
      <c r="A2119" s="1">
        <v>40938</v>
      </c>
      <c r="B2119">
        <v>1.5724009999999999</v>
      </c>
      <c r="C2119">
        <f t="shared" si="35"/>
        <v>2.6731130863296751E-3</v>
      </c>
      <c r="D2119">
        <f>(C2119-meanrtn)/stdevrtns</f>
        <v>0.45106696609054242</v>
      </c>
    </row>
    <row r="2120" spans="1:4" x14ac:dyDescent="0.3">
      <c r="A2120" s="1">
        <v>40939</v>
      </c>
      <c r="B2120">
        <v>1.570845</v>
      </c>
      <c r="C2120">
        <f t="shared" si="35"/>
        <v>-9.8956945461106346E-4</v>
      </c>
      <c r="D2120">
        <f>(C2120-meanrtn)/stdevrtns</f>
        <v>-0.15598697504783418</v>
      </c>
    </row>
    <row r="2121" spans="1:4" x14ac:dyDescent="0.3">
      <c r="A2121" s="1">
        <v>40940</v>
      </c>
      <c r="B2121">
        <v>1.576044</v>
      </c>
      <c r="C2121">
        <f t="shared" si="35"/>
        <v>3.309683641606876E-3</v>
      </c>
      <c r="D2121">
        <f>(C2121-meanrtn)/stdevrtns</f>
        <v>0.55657233273758377</v>
      </c>
    </row>
    <row r="2122" spans="1:4" x14ac:dyDescent="0.3">
      <c r="A2122" s="1">
        <v>40941</v>
      </c>
      <c r="B2122">
        <v>1.584284</v>
      </c>
      <c r="C2122">
        <f t="shared" si="35"/>
        <v>5.2282804287190109E-3</v>
      </c>
      <c r="D2122">
        <f>(C2122-meanrtn)/stdevrtns</f>
        <v>0.8745610549522872</v>
      </c>
    </row>
    <row r="2123" spans="1:4" x14ac:dyDescent="0.3">
      <c r="A2123" s="1">
        <v>40942</v>
      </c>
      <c r="B2123">
        <v>1.5802780000000001</v>
      </c>
      <c r="C2123">
        <f t="shared" si="35"/>
        <v>-2.5285870462618786E-3</v>
      </c>
      <c r="D2123">
        <f>(C2123-meanrtn)/stdevrtns</f>
        <v>-0.41106414432195842</v>
      </c>
    </row>
    <row r="2124" spans="1:4" x14ac:dyDescent="0.3">
      <c r="A2124" s="1">
        <v>40945</v>
      </c>
      <c r="B2124">
        <v>1.580303</v>
      </c>
      <c r="C2124">
        <f t="shared" si="35"/>
        <v>1.5820001290875234E-5</v>
      </c>
      <c r="D2124">
        <f>(C2124-meanrtn)/stdevrtns</f>
        <v>1.0646530521414906E-2</v>
      </c>
    </row>
    <row r="2125" spans="1:4" x14ac:dyDescent="0.3">
      <c r="A2125" s="1">
        <v>40946</v>
      </c>
      <c r="B2125">
        <v>1.581278</v>
      </c>
      <c r="C2125">
        <f t="shared" si="35"/>
        <v>6.1697028987475701E-4</v>
      </c>
      <c r="D2125">
        <f>(C2125-meanrtn)/stdevrtns</f>
        <v>0.110281333107278</v>
      </c>
    </row>
    <row r="2126" spans="1:4" x14ac:dyDescent="0.3">
      <c r="A2126" s="1">
        <v>40947</v>
      </c>
      <c r="B2126">
        <v>1.5893200000000001</v>
      </c>
      <c r="C2126">
        <f t="shared" si="35"/>
        <v>5.0857597462306472E-3</v>
      </c>
      <c r="D2126">
        <f>(C2126-meanrtn)/stdevrtns</f>
        <v>0.85093964058420746</v>
      </c>
    </row>
    <row r="2127" spans="1:4" x14ac:dyDescent="0.3">
      <c r="A2127" s="1">
        <v>40948</v>
      </c>
      <c r="B2127">
        <v>1.581278</v>
      </c>
      <c r="C2127">
        <f t="shared" si="35"/>
        <v>-5.060025671356369E-3</v>
      </c>
      <c r="D2127">
        <f>(C2127-meanrtn)/stdevrtns</f>
        <v>-0.83062542951017093</v>
      </c>
    </row>
    <row r="2128" spans="1:4" x14ac:dyDescent="0.3">
      <c r="A2128" s="1">
        <v>40949</v>
      </c>
      <c r="B2128">
        <v>1.581278</v>
      </c>
      <c r="C2128">
        <f t="shared" si="35"/>
        <v>0</v>
      </c>
      <c r="D2128">
        <f>(C2128-meanrtn)/stdevrtns</f>
        <v>8.0245194611897972E-3</v>
      </c>
    </row>
    <row r="2129" spans="1:4" x14ac:dyDescent="0.3">
      <c r="A2129" s="1">
        <v>40952</v>
      </c>
      <c r="B2129">
        <v>1.5782080000000001</v>
      </c>
      <c r="C2129">
        <f t="shared" si="35"/>
        <v>-1.9414675977278545E-3</v>
      </c>
      <c r="D2129">
        <f>(C2129-meanrtn)/stdevrtns</f>
        <v>-0.31375481675462114</v>
      </c>
    </row>
    <row r="2130" spans="1:4" x14ac:dyDescent="0.3">
      <c r="A2130" s="1">
        <v>40953</v>
      </c>
      <c r="B2130">
        <v>1.5725739999999999</v>
      </c>
      <c r="C2130">
        <f t="shared" si="35"/>
        <v>-3.5698716518989503E-3</v>
      </c>
      <c r="D2130">
        <f>(C2130-meanrtn)/stdevrtns</f>
        <v>-0.5836469211891967</v>
      </c>
    </row>
    <row r="2131" spans="1:4" x14ac:dyDescent="0.3">
      <c r="A2131" s="1">
        <v>40954</v>
      </c>
      <c r="B2131">
        <v>1.5691200000000001</v>
      </c>
      <c r="C2131">
        <f t="shared" si="35"/>
        <v>-2.1963990247834738E-3</v>
      </c>
      <c r="D2131">
        <f>(C2131-meanrtn)/stdevrtns</f>
        <v>-0.3560072166785293</v>
      </c>
    </row>
    <row r="2132" spans="1:4" x14ac:dyDescent="0.3">
      <c r="A2132" s="1">
        <v>40955</v>
      </c>
      <c r="B2132">
        <v>1.5688740000000001</v>
      </c>
      <c r="C2132">
        <f t="shared" si="35"/>
        <v>-1.5677577240744394E-4</v>
      </c>
      <c r="D2132">
        <f>(C2132-meanrtn)/stdevrtns</f>
        <v>-1.7959537156096994E-2</v>
      </c>
    </row>
    <row r="2133" spans="1:4" x14ac:dyDescent="0.3">
      <c r="A2133" s="1">
        <v>40956</v>
      </c>
      <c r="B2133">
        <v>1.580778</v>
      </c>
      <c r="C2133">
        <f t="shared" si="35"/>
        <v>7.5876074178040515E-3</v>
      </c>
      <c r="D2133">
        <f>(C2133-meanrtn)/stdevrtns</f>
        <v>1.2655965135673686</v>
      </c>
    </row>
    <row r="2134" spans="1:4" x14ac:dyDescent="0.3">
      <c r="A2134" s="1">
        <v>40959</v>
      </c>
      <c r="B2134">
        <v>1.586924</v>
      </c>
      <c r="C2134">
        <f t="shared" si="35"/>
        <v>3.8879589670402707E-3</v>
      </c>
      <c r="D2134">
        <f>(C2134-meanrtn)/stdevrtns</f>
        <v>0.65241583308016504</v>
      </c>
    </row>
    <row r="2135" spans="1:4" x14ac:dyDescent="0.3">
      <c r="A2135" s="1">
        <v>40960</v>
      </c>
      <c r="B2135">
        <v>1.582829</v>
      </c>
      <c r="C2135">
        <f t="shared" si="35"/>
        <v>-2.5804638407384093E-3</v>
      </c>
      <c r="D2135">
        <f>(C2135-meanrtn)/stdevrtns</f>
        <v>-0.41966221750700572</v>
      </c>
    </row>
    <row r="2136" spans="1:4" x14ac:dyDescent="0.3">
      <c r="A2136" s="1">
        <v>40961</v>
      </c>
      <c r="B2136">
        <v>1.5790310000000001</v>
      </c>
      <c r="C2136">
        <f t="shared" si="35"/>
        <v>-2.3995011463651271E-3</v>
      </c>
      <c r="D2136">
        <f>(C2136-meanrtn)/stdevrtns</f>
        <v>-0.3896694142568215</v>
      </c>
    </row>
    <row r="2137" spans="1:4" x14ac:dyDescent="0.3">
      <c r="A2137" s="1">
        <v>40962</v>
      </c>
      <c r="B2137">
        <v>1.567202</v>
      </c>
      <c r="C2137">
        <f t="shared" si="35"/>
        <v>-7.4913032106399997E-3</v>
      </c>
      <c r="D2137">
        <f>(C2137-meanrtn)/stdevrtns</f>
        <v>-1.2335859907179303</v>
      </c>
    </row>
    <row r="2138" spans="1:4" x14ac:dyDescent="0.3">
      <c r="A2138" s="1">
        <v>40963</v>
      </c>
      <c r="B2138">
        <v>1.5745549999999999</v>
      </c>
      <c r="C2138">
        <f t="shared" si="35"/>
        <v>4.6918010569154088E-3</v>
      </c>
      <c r="D2138">
        <f>(C2138-meanrtn)/stdevrtns</f>
        <v>0.78564482665444235</v>
      </c>
    </row>
    <row r="2139" spans="1:4" x14ac:dyDescent="0.3">
      <c r="A2139" s="1">
        <v>40966</v>
      </c>
      <c r="B2139">
        <v>1.5886880000000001</v>
      </c>
      <c r="C2139">
        <f t="shared" si="35"/>
        <v>8.9758693726165011E-3</v>
      </c>
      <c r="D2139">
        <f>(C2139-meanrtn)/stdevrtns</f>
        <v>1.4956874050331928</v>
      </c>
    </row>
    <row r="2140" spans="1:4" x14ac:dyDescent="0.3">
      <c r="A2140" s="1">
        <v>40967</v>
      </c>
      <c r="B2140">
        <v>1.58328</v>
      </c>
      <c r="C2140">
        <f t="shared" si="35"/>
        <v>-3.4040667519362388E-3</v>
      </c>
      <c r="D2140">
        <f>(C2140-meanrtn)/stdevrtns</f>
        <v>-0.55616637466152341</v>
      </c>
    </row>
    <row r="2141" spans="1:4" x14ac:dyDescent="0.3">
      <c r="A2141" s="1">
        <v>40968</v>
      </c>
      <c r="B2141">
        <v>1.5922050000000001</v>
      </c>
      <c r="C2141">
        <f t="shared" si="35"/>
        <v>5.6370319842353033E-3</v>
      </c>
      <c r="D2141">
        <f>(C2141-meanrtn)/stdevrtns</f>
        <v>0.94230764230978048</v>
      </c>
    </row>
    <row r="2142" spans="1:4" x14ac:dyDescent="0.3">
      <c r="A2142" s="1">
        <v>40969</v>
      </c>
      <c r="B2142">
        <v>1.592357</v>
      </c>
      <c r="C2142">
        <f t="shared" si="35"/>
        <v>9.5465094004810915E-5</v>
      </c>
      <c r="D2142">
        <f>(C2142-meanrtn)/stdevrtns</f>
        <v>2.3846928558616334E-2</v>
      </c>
    </row>
    <row r="2143" spans="1:4" x14ac:dyDescent="0.3">
      <c r="A2143" s="1">
        <v>40970</v>
      </c>
      <c r="B2143">
        <v>1.5959140000000001</v>
      </c>
      <c r="C2143">
        <f t="shared" si="35"/>
        <v>2.2337955621760902E-3</v>
      </c>
      <c r="D2143">
        <f>(C2143-meanrtn)/stdevrtns</f>
        <v>0.37825436727325862</v>
      </c>
    </row>
    <row r="2144" spans="1:4" x14ac:dyDescent="0.3">
      <c r="A2144" s="1">
        <v>40973</v>
      </c>
      <c r="B2144">
        <v>1.5833060000000001</v>
      </c>
      <c r="C2144">
        <f t="shared" si="35"/>
        <v>-7.9001750720903204E-3</v>
      </c>
      <c r="D2144">
        <f>(C2144-meanrtn)/stdevrtns</f>
        <v>-1.3013525176117</v>
      </c>
    </row>
    <row r="2145" spans="1:4" x14ac:dyDescent="0.3">
      <c r="A2145" s="1">
        <v>40974</v>
      </c>
      <c r="B2145">
        <v>1.5875539999999999</v>
      </c>
      <c r="C2145">
        <f t="shared" si="35"/>
        <v>2.6829936853645518E-3</v>
      </c>
      <c r="D2145">
        <f>(C2145-meanrtn)/stdevrtns</f>
        <v>0.45270457910173978</v>
      </c>
    </row>
    <row r="2146" spans="1:4" x14ac:dyDescent="0.3">
      <c r="A2146" s="1">
        <v>40975</v>
      </c>
      <c r="B2146">
        <v>1.572327</v>
      </c>
      <c r="C2146">
        <f t="shared" si="35"/>
        <v>-9.5914847620930561E-3</v>
      </c>
      <c r="D2146">
        <f>(C2146-meanrtn)/stdevrtns</f>
        <v>-1.5816706182183611</v>
      </c>
    </row>
    <row r="2147" spans="1:4" x14ac:dyDescent="0.3">
      <c r="A2147" s="1">
        <v>40976</v>
      </c>
      <c r="B2147">
        <v>1.573564</v>
      </c>
      <c r="C2147">
        <f t="shared" si="35"/>
        <v>7.8673202202845377E-4</v>
      </c>
      <c r="D2147">
        <f>(C2147-meanrtn)/stdevrtns</f>
        <v>0.1384176860143225</v>
      </c>
    </row>
    <row r="2148" spans="1:4" x14ac:dyDescent="0.3">
      <c r="A2148" s="1">
        <v>40977</v>
      </c>
      <c r="B2148">
        <v>1.5825290000000001</v>
      </c>
      <c r="C2148">
        <f t="shared" si="35"/>
        <v>5.6972579443861906E-3</v>
      </c>
      <c r="D2148">
        <f>(C2148-meanrtn)/stdevrtns</f>
        <v>0.95228950834915849</v>
      </c>
    </row>
    <row r="2149" spans="1:4" x14ac:dyDescent="0.3">
      <c r="A2149" s="1">
        <v>40980</v>
      </c>
      <c r="B2149">
        <v>1.5672999999999999</v>
      </c>
      <c r="C2149">
        <f t="shared" si="35"/>
        <v>-9.6232043772974517E-3</v>
      </c>
      <c r="D2149">
        <f>(C2149-meanrtn)/stdevrtns</f>
        <v>-1.5869278353552509</v>
      </c>
    </row>
    <row r="2150" spans="1:4" x14ac:dyDescent="0.3">
      <c r="A2150" s="1">
        <v>40981</v>
      </c>
      <c r="B2150">
        <v>1.5654349999999999</v>
      </c>
      <c r="C2150">
        <f t="shared" si="35"/>
        <v>-1.1899444905251104E-3</v>
      </c>
      <c r="D2150">
        <f>(C2150-meanrtn)/stdevrtns</f>
        <v>-0.18919718475007169</v>
      </c>
    </row>
    <row r="2151" spans="1:4" x14ac:dyDescent="0.3">
      <c r="A2151" s="1">
        <v>40982</v>
      </c>
      <c r="B2151">
        <v>1.5705979999999999</v>
      </c>
      <c r="C2151">
        <f t="shared" si="35"/>
        <v>3.2981248023712445E-3</v>
      </c>
      <c r="D2151">
        <f>(C2151-meanrtn)/stdevrtns</f>
        <v>0.55465656776627048</v>
      </c>
    </row>
    <row r="2152" spans="1:4" x14ac:dyDescent="0.3">
      <c r="A2152" s="1">
        <v>40983</v>
      </c>
      <c r="B2152">
        <v>1.5654349999999999</v>
      </c>
      <c r="C2152">
        <f t="shared" si="35"/>
        <v>-3.2872829329975138E-3</v>
      </c>
      <c r="D2152">
        <f>(C2152-meanrtn)/stdevrtns</f>
        <v>-0.53681059464086822</v>
      </c>
    </row>
    <row r="2153" spans="1:4" x14ac:dyDescent="0.3">
      <c r="A2153" s="1">
        <v>40984</v>
      </c>
      <c r="B2153">
        <v>1.570352</v>
      </c>
      <c r="C2153">
        <f t="shared" si="35"/>
        <v>3.1409799831995967E-3</v>
      </c>
      <c r="D2153">
        <f>(C2153-meanrtn)/stdevrtns</f>
        <v>0.52861134524389364</v>
      </c>
    </row>
    <row r="2154" spans="1:4" x14ac:dyDescent="0.3">
      <c r="A2154" s="1">
        <v>40987</v>
      </c>
      <c r="B2154">
        <v>1.583707</v>
      </c>
      <c r="C2154">
        <f t="shared" si="35"/>
        <v>8.5044626937145346E-3</v>
      </c>
      <c r="D2154">
        <f>(C2154-meanrtn)/stdevrtns</f>
        <v>1.4175563415004819</v>
      </c>
    </row>
    <row r="2155" spans="1:4" x14ac:dyDescent="0.3">
      <c r="A2155" s="1">
        <v>40988</v>
      </c>
      <c r="B2155">
        <v>1.5888150000000001</v>
      </c>
      <c r="C2155">
        <f t="shared" si="35"/>
        <v>3.2253440819546247E-3</v>
      </c>
      <c r="D2155">
        <f>(C2155-meanrtn)/stdevrtns</f>
        <v>0.54259387254932401</v>
      </c>
    </row>
    <row r="2156" spans="1:4" x14ac:dyDescent="0.3">
      <c r="A2156" s="1">
        <v>40989</v>
      </c>
      <c r="B2156">
        <v>1.5862940000000001</v>
      </c>
      <c r="C2156">
        <f t="shared" si="35"/>
        <v>-1.5867171445385368E-3</v>
      </c>
      <c r="D2156">
        <f>(C2156-meanrtn)/stdevrtns</f>
        <v>-0.25495838590864112</v>
      </c>
    </row>
    <row r="2157" spans="1:4" x14ac:dyDescent="0.3">
      <c r="A2157" s="1">
        <v>40990</v>
      </c>
      <c r="B2157">
        <v>1.5875539999999999</v>
      </c>
      <c r="C2157">
        <f t="shared" si="35"/>
        <v>7.9430420842530882E-4</v>
      </c>
      <c r="D2157">
        <f>(C2157-meanrtn)/stdevrtns</f>
        <v>0.13967270212447236</v>
      </c>
    </row>
    <row r="2158" spans="1:4" x14ac:dyDescent="0.3">
      <c r="A2158" s="1">
        <v>40991</v>
      </c>
      <c r="B2158">
        <v>1.5827789999999999</v>
      </c>
      <c r="C2158">
        <f t="shared" si="35"/>
        <v>-3.0077717041435909E-3</v>
      </c>
      <c r="D2158">
        <f>(C2158-meanrtn)/stdevrtns</f>
        <v>-0.49048433208014303</v>
      </c>
    </row>
    <row r="2159" spans="1:4" x14ac:dyDescent="0.3">
      <c r="A2159" s="1">
        <v>40994</v>
      </c>
      <c r="B2159">
        <v>1.5878060000000001</v>
      </c>
      <c r="C2159">
        <f t="shared" si="35"/>
        <v>3.1760593235063863E-3</v>
      </c>
      <c r="D2159">
        <f>(C2159-meanrtn)/stdevrtns</f>
        <v>0.53442540407856987</v>
      </c>
    </row>
    <row r="2160" spans="1:4" x14ac:dyDescent="0.3">
      <c r="A2160" s="1">
        <v>40995</v>
      </c>
      <c r="B2160">
        <v>1.5961689999999999</v>
      </c>
      <c r="C2160">
        <f t="shared" si="35"/>
        <v>5.2670162475767805E-3</v>
      </c>
      <c r="D2160">
        <f>(C2160-meanrtn)/stdevrtns</f>
        <v>0.8809811394772189</v>
      </c>
    </row>
    <row r="2161" spans="1:4" x14ac:dyDescent="0.3">
      <c r="A2161" s="1">
        <v>40996</v>
      </c>
      <c r="B2161">
        <v>1.595405</v>
      </c>
      <c r="C2161">
        <f t="shared" si="35"/>
        <v>-4.7864605815548786E-4</v>
      </c>
      <c r="D2161">
        <f>(C2161-meanrtn)/stdevrtns</f>
        <v>-7.130640064061293E-2</v>
      </c>
    </row>
    <row r="2162" spans="1:4" x14ac:dyDescent="0.3">
      <c r="A2162" s="1">
        <v>40997</v>
      </c>
      <c r="B2162">
        <v>1.5893200000000001</v>
      </c>
      <c r="C2162">
        <f t="shared" si="35"/>
        <v>-3.8140785568554041E-3</v>
      </c>
      <c r="D2162">
        <f>(C2162-meanrtn)/stdevrtns</f>
        <v>-0.62412183607738236</v>
      </c>
    </row>
    <row r="2163" spans="1:4" x14ac:dyDescent="0.3">
      <c r="A2163" s="1">
        <v>40998</v>
      </c>
      <c r="B2163">
        <v>1.5959140000000001</v>
      </c>
      <c r="C2163">
        <f t="shared" si="35"/>
        <v>4.148944202552028E-3</v>
      </c>
      <c r="D2163">
        <f>(C2163-meanrtn)/stdevrtns</f>
        <v>0.69567159276597357</v>
      </c>
    </row>
    <row r="2164" spans="1:4" x14ac:dyDescent="0.3">
      <c r="A2164" s="1">
        <v>41001</v>
      </c>
      <c r="B2164">
        <v>1.6014090000000001</v>
      </c>
      <c r="C2164">
        <f t="shared" si="35"/>
        <v>3.4431679902551314E-3</v>
      </c>
      <c r="D2164">
        <f>(C2164-meanrtn)/stdevrtns</f>
        <v>0.5786960628237845</v>
      </c>
    </row>
    <row r="2165" spans="1:4" x14ac:dyDescent="0.3">
      <c r="A2165" s="1">
        <v>41002</v>
      </c>
      <c r="B2165">
        <v>1.6038490000000001</v>
      </c>
      <c r="C2165">
        <f t="shared" si="35"/>
        <v>1.5236582284725499E-3</v>
      </c>
      <c r="D2165">
        <f>(C2165-meanrtn)/stdevrtns</f>
        <v>0.2605560239536901</v>
      </c>
    </row>
    <row r="2166" spans="1:4" x14ac:dyDescent="0.3">
      <c r="A2166" s="1">
        <v>41003</v>
      </c>
      <c r="B2166">
        <v>1.59066</v>
      </c>
      <c r="C2166">
        <f t="shared" si="35"/>
        <v>-8.2233427211664666E-3</v>
      </c>
      <c r="D2166">
        <f>(C2166-meanrtn)/stdevrtns</f>
        <v>-1.3549144064260419</v>
      </c>
    </row>
    <row r="2167" spans="1:4" x14ac:dyDescent="0.3">
      <c r="A2167" s="1">
        <v>41004</v>
      </c>
      <c r="B2167">
        <v>1.5903309999999999</v>
      </c>
      <c r="C2167">
        <f t="shared" si="35"/>
        <v>-2.0683238404185919E-4</v>
      </c>
      <c r="D2167">
        <f>(C2167-meanrtn)/stdevrtns</f>
        <v>-2.6255932771344654E-2</v>
      </c>
    </row>
    <row r="2168" spans="1:4" x14ac:dyDescent="0.3">
      <c r="A2168" s="1">
        <v>41005</v>
      </c>
      <c r="B2168">
        <v>1.5830299999999999</v>
      </c>
      <c r="C2168">
        <f t="shared" si="35"/>
        <v>-4.5908681903327059E-3</v>
      </c>
      <c r="D2168">
        <f>(C2168-meanrtn)/stdevrtns</f>
        <v>-0.75286714860908643</v>
      </c>
    </row>
    <row r="2169" spans="1:4" x14ac:dyDescent="0.3">
      <c r="A2169" s="1">
        <v>41008</v>
      </c>
      <c r="B2169">
        <v>1.588058</v>
      </c>
      <c r="C2169">
        <f t="shared" si="35"/>
        <v>3.1761874380144611E-3</v>
      </c>
      <c r="D2169">
        <f>(C2169-meanrtn)/stdevrtns</f>
        <v>0.53444663780990598</v>
      </c>
    </row>
    <row r="2170" spans="1:4" x14ac:dyDescent="0.3">
      <c r="A2170" s="1">
        <v>41009</v>
      </c>
      <c r="B2170">
        <v>1.590811</v>
      </c>
      <c r="C2170">
        <f t="shared" si="35"/>
        <v>1.7335638874650709E-3</v>
      </c>
      <c r="D2170">
        <f>(C2170-meanrtn)/stdevrtns</f>
        <v>0.29534584156259752</v>
      </c>
    </row>
    <row r="2171" spans="1:4" x14ac:dyDescent="0.3">
      <c r="A2171" s="1">
        <v>41010</v>
      </c>
      <c r="B2171">
        <v>1.5855399999999999</v>
      </c>
      <c r="C2171">
        <f t="shared" si="35"/>
        <v>-3.313404295041979E-3</v>
      </c>
      <c r="D2171">
        <f>(C2171-meanrtn)/stdevrtns</f>
        <v>-0.54113995586716823</v>
      </c>
    </row>
    <row r="2172" spans="1:4" x14ac:dyDescent="0.3">
      <c r="A2172" s="1">
        <v>41011</v>
      </c>
      <c r="B2172">
        <v>1.592357</v>
      </c>
      <c r="C2172">
        <f t="shared" si="35"/>
        <v>4.2994815646404845E-3</v>
      </c>
      <c r="D2172">
        <f>(C2172-meanrtn)/stdevrtns</f>
        <v>0.72062169366139572</v>
      </c>
    </row>
    <row r="2173" spans="1:4" x14ac:dyDescent="0.3">
      <c r="A2173" s="1">
        <v>41012</v>
      </c>
      <c r="B2173">
        <v>1.5959140000000001</v>
      </c>
      <c r="C2173">
        <f t="shared" si="35"/>
        <v>2.2337955621760902E-3</v>
      </c>
      <c r="D2173">
        <f>(C2173-meanrtn)/stdevrtns</f>
        <v>0.37825436727325862</v>
      </c>
    </row>
    <row r="2174" spans="1:4" x14ac:dyDescent="0.3">
      <c r="A2174" s="1">
        <v>41015</v>
      </c>
      <c r="B2174">
        <v>1.585037</v>
      </c>
      <c r="C2174">
        <f t="shared" si="35"/>
        <v>-6.81553016014649E-3</v>
      </c>
      <c r="D2174">
        <f>(C2174-meanrtn)/stdevrtns</f>
        <v>-1.1215831924869313</v>
      </c>
    </row>
    <row r="2175" spans="1:4" x14ac:dyDescent="0.3">
      <c r="A2175" s="1">
        <v>41016</v>
      </c>
      <c r="B2175">
        <v>1.589572</v>
      </c>
      <c r="C2175">
        <f t="shared" si="35"/>
        <v>2.8611319483393483E-3</v>
      </c>
      <c r="D2175">
        <f>(C2175-meanrtn)/stdevrtns</f>
        <v>0.48222926036953534</v>
      </c>
    </row>
    <row r="2176" spans="1:4" x14ac:dyDescent="0.3">
      <c r="A2176" s="1">
        <v>41017</v>
      </c>
      <c r="B2176">
        <v>1.5942099999999999</v>
      </c>
      <c r="C2176">
        <f t="shared" si="35"/>
        <v>2.9177665434468648E-3</v>
      </c>
      <c r="D2176">
        <f>(C2176-meanrtn)/stdevrtns</f>
        <v>0.49161589264806299</v>
      </c>
    </row>
    <row r="2177" spans="1:4" x14ac:dyDescent="0.3">
      <c r="A2177" s="1">
        <v>41018</v>
      </c>
      <c r="B2177">
        <v>1.6023069999999999</v>
      </c>
      <c r="C2177">
        <f t="shared" si="35"/>
        <v>5.0790046480702171E-3</v>
      </c>
      <c r="D2177">
        <f>(C2177-meanrtn)/stdevrtns</f>
        <v>0.84982004888734897</v>
      </c>
    </row>
    <row r="2178" spans="1:4" x14ac:dyDescent="0.3">
      <c r="A2178" s="1">
        <v>41019</v>
      </c>
      <c r="B2178">
        <v>1.606168</v>
      </c>
      <c r="C2178">
        <f t="shared" si="35"/>
        <v>2.4096505850627341E-3</v>
      </c>
      <c r="D2178">
        <f>(C2178-meanrtn)/stdevrtns</f>
        <v>0.40740062374486036</v>
      </c>
    </row>
    <row r="2179" spans="1:4" x14ac:dyDescent="0.3">
      <c r="A2179" s="1">
        <v>41022</v>
      </c>
      <c r="B2179">
        <v>1.6131629999999999</v>
      </c>
      <c r="C2179">
        <f t="shared" si="35"/>
        <v>4.3550861429189616E-3</v>
      </c>
      <c r="D2179">
        <f>(C2179-meanrtn)/stdevrtns</f>
        <v>0.72983761068723141</v>
      </c>
    </row>
    <row r="2180" spans="1:4" x14ac:dyDescent="0.3">
      <c r="A2180" s="1">
        <v>41023</v>
      </c>
      <c r="B2180">
        <v>1.612123</v>
      </c>
      <c r="C2180">
        <f t="shared" ref="C2180:C2243" si="36">(B2180-B2179)/B2179</f>
        <v>-6.4469616523558373E-4</v>
      </c>
      <c r="D2180">
        <f>(C2180-meanrtn)/stdevrtns</f>
        <v>-9.8827587858637947E-2</v>
      </c>
    </row>
    <row r="2181" spans="1:4" x14ac:dyDescent="0.3">
      <c r="A2181" s="1">
        <v>41024</v>
      </c>
      <c r="B2181">
        <v>1.614466</v>
      </c>
      <c r="C2181">
        <f t="shared" si="36"/>
        <v>1.4533630498417204E-3</v>
      </c>
      <c r="D2181">
        <f>(C2181-meanrtn)/stdevrtns</f>
        <v>0.24890528306804649</v>
      </c>
    </row>
    <row r="2182" spans="1:4" x14ac:dyDescent="0.3">
      <c r="A2182" s="1">
        <v>41025</v>
      </c>
      <c r="B2182">
        <v>1.6178090000000001</v>
      </c>
      <c r="C2182">
        <f t="shared" si="36"/>
        <v>2.0706537022149095E-3</v>
      </c>
      <c r="D2182">
        <f>(C2182-meanrtn)/stdevrtns</f>
        <v>0.35121519367656384</v>
      </c>
    </row>
    <row r="2183" spans="1:4" x14ac:dyDescent="0.3">
      <c r="A2183" s="1">
        <v>41026</v>
      </c>
      <c r="B2183">
        <v>1.617861</v>
      </c>
      <c r="C2183">
        <f t="shared" si="36"/>
        <v>3.2142236815310693E-5</v>
      </c>
      <c r="D2183">
        <f>(C2183-meanrtn)/stdevrtns</f>
        <v>1.3351782011966537E-2</v>
      </c>
    </row>
    <row r="2184" spans="1:4" x14ac:dyDescent="0.3">
      <c r="A2184" s="1">
        <v>41029</v>
      </c>
      <c r="B2184">
        <v>1.628134</v>
      </c>
      <c r="C2184">
        <f t="shared" si="36"/>
        <v>6.3497420359350876E-3</v>
      </c>
      <c r="D2184">
        <f>(C2184-meanrtn)/stdevrtns</f>
        <v>1.0604323885680695</v>
      </c>
    </row>
    <row r="2185" spans="1:4" x14ac:dyDescent="0.3">
      <c r="A2185" s="1">
        <v>41030</v>
      </c>
      <c r="B2185">
        <v>1.6233770000000001</v>
      </c>
      <c r="C2185">
        <f t="shared" si="36"/>
        <v>-2.9217496839940081E-3</v>
      </c>
      <c r="D2185">
        <f>(C2185-meanrtn)/stdevrtns</f>
        <v>-0.47622702045873322</v>
      </c>
    </row>
    <row r="2186" spans="1:4" x14ac:dyDescent="0.3">
      <c r="A2186" s="1">
        <v>41031</v>
      </c>
      <c r="B2186">
        <v>1.622323</v>
      </c>
      <c r="C2186">
        <f t="shared" si="36"/>
        <v>-6.4926384937085497E-4</v>
      </c>
      <c r="D2186">
        <f>(C2186-meanrtn)/stdevrtns</f>
        <v>-9.9584636995492554E-2</v>
      </c>
    </row>
    <row r="2187" spans="1:4" x14ac:dyDescent="0.3">
      <c r="A2187" s="1">
        <v>41032</v>
      </c>
      <c r="B2187">
        <v>1.619302</v>
      </c>
      <c r="C2187">
        <f t="shared" si="36"/>
        <v>-1.8621445914284273E-3</v>
      </c>
      <c r="D2187">
        <f>(C2187-meanrtn)/stdevrtns</f>
        <v>-0.30060780140214027</v>
      </c>
    </row>
    <row r="2188" spans="1:4" x14ac:dyDescent="0.3">
      <c r="A2188" s="1">
        <v>41033</v>
      </c>
      <c r="B2188">
        <v>1.619197</v>
      </c>
      <c r="C2188">
        <f t="shared" si="36"/>
        <v>-6.4842753235666819E-5</v>
      </c>
      <c r="D2188">
        <f>(C2188-meanrtn)/stdevrtns</f>
        <v>-2.7225350448948594E-3</v>
      </c>
    </row>
    <row r="2189" spans="1:4" x14ac:dyDescent="0.3">
      <c r="A2189" s="1">
        <v>41036</v>
      </c>
      <c r="B2189">
        <v>1.6123050000000001</v>
      </c>
      <c r="C2189">
        <f t="shared" si="36"/>
        <v>-4.2564308110748092E-3</v>
      </c>
      <c r="D2189">
        <f>(C2189-meanrtn)/stdevrtns</f>
        <v>-0.69743741183196695</v>
      </c>
    </row>
    <row r="2190" spans="1:4" x14ac:dyDescent="0.3">
      <c r="A2190" s="1">
        <v>41037</v>
      </c>
      <c r="B2190">
        <v>1.6194329999999999</v>
      </c>
      <c r="C2190">
        <f t="shared" si="36"/>
        <v>4.4209997488067086E-3</v>
      </c>
      <c r="D2190">
        <f>(C2190-meanrtn)/stdevrtns</f>
        <v>0.74076214858576339</v>
      </c>
    </row>
    <row r="2191" spans="1:4" x14ac:dyDescent="0.3">
      <c r="A2191" s="1">
        <v>41038</v>
      </c>
      <c r="B2191">
        <v>1.6147260000000001</v>
      </c>
      <c r="C2191">
        <f t="shared" si="36"/>
        <v>-2.9065728560550481E-3</v>
      </c>
      <c r="D2191">
        <f>(C2191-meanrtn)/stdevrtns</f>
        <v>-0.47371160911435878</v>
      </c>
    </row>
    <row r="2192" spans="1:4" x14ac:dyDescent="0.3">
      <c r="A2192" s="1">
        <v>41039</v>
      </c>
      <c r="B2192">
        <v>1.6138140000000001</v>
      </c>
      <c r="C2192">
        <f t="shared" si="36"/>
        <v>-5.6480170629569584E-4</v>
      </c>
      <c r="D2192">
        <f>(C2192-meanrtn)/stdevrtns</f>
        <v>-8.5585859799366906E-2</v>
      </c>
    </row>
    <row r="2193" spans="1:4" x14ac:dyDescent="0.3">
      <c r="A2193" s="1">
        <v>41040</v>
      </c>
      <c r="B2193">
        <v>1.6136839999999999</v>
      </c>
      <c r="C2193">
        <f t="shared" si="36"/>
        <v>-8.0554512478008938E-5</v>
      </c>
      <c r="D2193">
        <f>(C2193-meanrtn)/stdevrtns</f>
        <v>-5.3266060403110629E-3</v>
      </c>
    </row>
    <row r="2194" spans="1:4" x14ac:dyDescent="0.3">
      <c r="A2194" s="1">
        <v>41043</v>
      </c>
      <c r="B2194">
        <v>1.6077170000000001</v>
      </c>
      <c r="C2194">
        <f t="shared" si="36"/>
        <v>-3.6977499931831969E-3</v>
      </c>
      <c r="D2194">
        <f>(C2194-meanrtn)/stdevrtns</f>
        <v>-0.60484151018104026</v>
      </c>
    </row>
    <row r="2195" spans="1:4" x14ac:dyDescent="0.3">
      <c r="A2195" s="1">
        <v>41044</v>
      </c>
      <c r="B2195">
        <v>1.6097870000000001</v>
      </c>
      <c r="C2195">
        <f t="shared" si="36"/>
        <v>1.2875400334760509E-3</v>
      </c>
      <c r="D2195">
        <f>(C2195-meanrtn)/stdevrtns</f>
        <v>0.2214217339231134</v>
      </c>
    </row>
    <row r="2196" spans="1:4" x14ac:dyDescent="0.3">
      <c r="A2196" s="1">
        <v>41045</v>
      </c>
      <c r="B2196">
        <v>1.5987210000000001</v>
      </c>
      <c r="C2196">
        <f t="shared" si="36"/>
        <v>-6.8742013694979643E-3</v>
      </c>
      <c r="D2196">
        <f>(C2196-meanrtn)/stdevrtns</f>
        <v>-1.1313073737311565</v>
      </c>
    </row>
    <row r="2197" spans="1:4" x14ac:dyDescent="0.3">
      <c r="A2197" s="1">
        <v>41046</v>
      </c>
      <c r="B2197">
        <v>1.592103</v>
      </c>
      <c r="C2197">
        <f t="shared" si="36"/>
        <v>-4.1395590600236138E-3</v>
      </c>
      <c r="D2197">
        <f>(C2197-meanrtn)/stdevrtns</f>
        <v>-0.67806705792050048</v>
      </c>
    </row>
    <row r="2198" spans="1:4" x14ac:dyDescent="0.3">
      <c r="A2198" s="1">
        <v>41047</v>
      </c>
      <c r="B2198">
        <v>1.578532</v>
      </c>
      <c r="C2198">
        <f t="shared" si="36"/>
        <v>-8.5239460009810912E-3</v>
      </c>
      <c r="D2198">
        <f>(C2198-meanrtn)/stdevrtns</f>
        <v>-1.404736470907699</v>
      </c>
    </row>
    <row r="2199" spans="1:4" x14ac:dyDescent="0.3">
      <c r="A2199" s="1">
        <v>41050</v>
      </c>
      <c r="B2199">
        <v>1.581278</v>
      </c>
      <c r="C2199">
        <f t="shared" si="36"/>
        <v>1.739590961728945E-3</v>
      </c>
      <c r="D2199">
        <f>(C2199-meanrtn)/stdevrtns</f>
        <v>0.29634477039263446</v>
      </c>
    </row>
    <row r="2200" spans="1:4" x14ac:dyDescent="0.3">
      <c r="A2200" s="1">
        <v>41051</v>
      </c>
      <c r="B2200">
        <v>1.5827789999999999</v>
      </c>
      <c r="C2200">
        <f t="shared" si="36"/>
        <v>9.4923220331907137E-4</v>
      </c>
      <c r="D2200">
        <f>(C2200-meanrtn)/stdevrtns</f>
        <v>0.16535050762403627</v>
      </c>
    </row>
    <row r="2201" spans="1:4" x14ac:dyDescent="0.3">
      <c r="A2201" s="1">
        <v>41052</v>
      </c>
      <c r="B2201">
        <v>1.5760940000000001</v>
      </c>
      <c r="C2201">
        <f t="shared" si="36"/>
        <v>-4.2235839621323195E-3</v>
      </c>
      <c r="D2201">
        <f>(C2201-meanrtn)/stdevrtns</f>
        <v>-0.69199336668701317</v>
      </c>
    </row>
    <row r="2202" spans="1:4" x14ac:dyDescent="0.3">
      <c r="A2202" s="1">
        <v>41053</v>
      </c>
      <c r="B2202">
        <v>1.568381</v>
      </c>
      <c r="C2202">
        <f t="shared" si="36"/>
        <v>-4.8937436472698201E-3</v>
      </c>
      <c r="D2202">
        <f>(C2202-meanrtn)/stdevrtns</f>
        <v>-0.80306580430817898</v>
      </c>
    </row>
    <row r="2203" spans="1:4" x14ac:dyDescent="0.3">
      <c r="A2203" s="1">
        <v>41054</v>
      </c>
      <c r="B2203">
        <v>1.565925</v>
      </c>
      <c r="C2203">
        <f t="shared" si="36"/>
        <v>-1.5659460296955992E-3</v>
      </c>
      <c r="D2203">
        <f>(C2203-meanrtn)/stdevrtns</f>
        <v>-0.25151577602195285</v>
      </c>
    </row>
    <row r="2204" spans="1:4" x14ac:dyDescent="0.3">
      <c r="A2204" s="1">
        <v>41057</v>
      </c>
      <c r="B2204">
        <v>1.5681350000000001</v>
      </c>
      <c r="C2204">
        <f t="shared" si="36"/>
        <v>1.4113064163354216E-3</v>
      </c>
      <c r="D2204">
        <f>(C2204-meanrtn)/stdevrtns</f>
        <v>0.24193480587390409</v>
      </c>
    </row>
    <row r="2205" spans="1:4" x14ac:dyDescent="0.3">
      <c r="A2205" s="1">
        <v>41058</v>
      </c>
      <c r="B2205">
        <v>1.566907</v>
      </c>
      <c r="C2205">
        <f t="shared" si="36"/>
        <v>-7.8309584315126369E-4</v>
      </c>
      <c r="D2205">
        <f>(C2205-meanrtn)/stdevrtns</f>
        <v>-0.1217659858748134</v>
      </c>
    </row>
    <row r="2206" spans="1:4" x14ac:dyDescent="0.3">
      <c r="A2206" s="1">
        <v>41059</v>
      </c>
      <c r="B2206">
        <v>1.563477</v>
      </c>
      <c r="C2206">
        <f t="shared" si="36"/>
        <v>-2.1890258962402008E-3</v>
      </c>
      <c r="D2206">
        <f>(C2206-meanrtn)/stdevrtns</f>
        <v>-0.3547851924679451</v>
      </c>
    </row>
    <row r="2207" spans="1:4" x14ac:dyDescent="0.3">
      <c r="A2207" s="1">
        <v>41060</v>
      </c>
      <c r="B2207">
        <v>1.5482990000000001</v>
      </c>
      <c r="C2207">
        <f t="shared" si="36"/>
        <v>-9.7078498756297104E-3</v>
      </c>
      <c r="D2207">
        <f>(C2207-meanrtn)/stdevrtns</f>
        <v>-1.600957001898585</v>
      </c>
    </row>
    <row r="2208" spans="1:4" x14ac:dyDescent="0.3">
      <c r="A2208" s="1">
        <v>41061</v>
      </c>
      <c r="B2208">
        <v>1.5396460000000001</v>
      </c>
      <c r="C2208">
        <f t="shared" si="36"/>
        <v>-5.5887138078627068E-3</v>
      </c>
      <c r="D2208">
        <f>(C2208-meanrtn)/stdevrtns</f>
        <v>-0.91825033647708598</v>
      </c>
    </row>
    <row r="2209" spans="1:4" x14ac:dyDescent="0.3">
      <c r="A2209" s="1">
        <v>41064</v>
      </c>
      <c r="B2209">
        <v>1.535155</v>
      </c>
      <c r="C2209">
        <f t="shared" si="36"/>
        <v>-2.9169042753983856E-3</v>
      </c>
      <c r="D2209">
        <f>(C2209-meanrtn)/stdevrtns</f>
        <v>-0.47542394119878656</v>
      </c>
    </row>
    <row r="2210" spans="1:4" x14ac:dyDescent="0.3">
      <c r="A2210" s="1">
        <v>41065</v>
      </c>
      <c r="B2210">
        <v>1.538462</v>
      </c>
      <c r="C2210">
        <f t="shared" si="36"/>
        <v>2.1541798710879023E-3</v>
      </c>
      <c r="D2210">
        <f>(C2210-meanrtn)/stdevrtns</f>
        <v>0.36505884226902868</v>
      </c>
    </row>
    <row r="2211" spans="1:4" x14ac:dyDescent="0.3">
      <c r="A2211" s="1">
        <v>41066</v>
      </c>
      <c r="B2211">
        <v>1.538462</v>
      </c>
      <c r="C2211">
        <f t="shared" si="36"/>
        <v>0</v>
      </c>
      <c r="D2211">
        <f>(C2211-meanrtn)/stdevrtns</f>
        <v>8.0245194611897972E-3</v>
      </c>
    </row>
    <row r="2212" spans="1:4" x14ac:dyDescent="0.3">
      <c r="A2212" s="1">
        <v>41067</v>
      </c>
      <c r="B2212">
        <v>1.548227</v>
      </c>
      <c r="C2212">
        <f t="shared" si="36"/>
        <v>6.3472480958255868E-3</v>
      </c>
      <c r="D2212">
        <f>(C2212-meanrtn)/stdevrtns</f>
        <v>1.0600190422964468</v>
      </c>
    </row>
    <row r="2213" spans="1:4" x14ac:dyDescent="0.3">
      <c r="A2213" s="1">
        <v>41068</v>
      </c>
      <c r="B2213">
        <v>1.5523130000000001</v>
      </c>
      <c r="C2213">
        <f t="shared" si="36"/>
        <v>2.6391478768940432E-3</v>
      </c>
      <c r="D2213">
        <f>(C2213-meanrtn)/stdevrtns</f>
        <v>0.44543756359141268</v>
      </c>
    </row>
    <row r="2214" spans="1:4" x14ac:dyDescent="0.3">
      <c r="A2214" s="1">
        <v>41071</v>
      </c>
      <c r="B2214">
        <v>1.55376</v>
      </c>
      <c r="C2214">
        <f t="shared" si="36"/>
        <v>9.3215736774733961E-4</v>
      </c>
      <c r="D2214">
        <f>(C2214-meanrtn)/stdevrtns</f>
        <v>0.16252052000915354</v>
      </c>
    </row>
    <row r="2215" spans="1:4" x14ac:dyDescent="0.3">
      <c r="A2215" s="1">
        <v>41072</v>
      </c>
      <c r="B2215">
        <v>1.548611</v>
      </c>
      <c r="C2215">
        <f t="shared" si="36"/>
        <v>-3.3138966120894284E-3</v>
      </c>
      <c r="D2215">
        <f>(C2215-meanrtn)/stdevrtns</f>
        <v>-0.54122155262053229</v>
      </c>
    </row>
    <row r="2216" spans="1:4" x14ac:dyDescent="0.3">
      <c r="A2216" s="1">
        <v>41073</v>
      </c>
      <c r="B2216">
        <v>1.556905</v>
      </c>
      <c r="C2216">
        <f t="shared" si="36"/>
        <v>5.3557672004138053E-3</v>
      </c>
      <c r="D2216">
        <f>(C2216-meanrtn)/stdevrtns</f>
        <v>0.8956907451002234</v>
      </c>
    </row>
    <row r="2217" spans="1:4" x14ac:dyDescent="0.3">
      <c r="A2217" s="1">
        <v>41074</v>
      </c>
      <c r="B2217">
        <v>1.5520719999999999</v>
      </c>
      <c r="C2217">
        <f t="shared" si="36"/>
        <v>-3.1042356470048506E-3</v>
      </c>
      <c r="D2217">
        <f>(C2217-meanrtn)/stdevrtns</f>
        <v>-0.50647229064251253</v>
      </c>
    </row>
    <row r="2218" spans="1:4" x14ac:dyDescent="0.3">
      <c r="A2218" s="1">
        <v>41075</v>
      </c>
      <c r="B2218">
        <v>1.5554520000000001</v>
      </c>
      <c r="C2218">
        <f t="shared" si="36"/>
        <v>2.1777340226485373E-3</v>
      </c>
      <c r="D2218">
        <f>(C2218-meanrtn)/stdevrtns</f>
        <v>0.36896271337312431</v>
      </c>
    </row>
    <row r="2219" spans="1:4" x14ac:dyDescent="0.3">
      <c r="A2219" s="1">
        <v>41078</v>
      </c>
      <c r="B2219">
        <v>1.5715859999999999</v>
      </c>
      <c r="C2219">
        <f t="shared" si="36"/>
        <v>1.0372547658172589E-2</v>
      </c>
      <c r="D2219">
        <f>(C2219-meanrtn)/stdevrtns</f>
        <v>1.7271732213091091</v>
      </c>
    </row>
    <row r="2220" spans="1:4" x14ac:dyDescent="0.3">
      <c r="A2220" s="1">
        <v>41079</v>
      </c>
      <c r="B2220">
        <v>1.568627</v>
      </c>
      <c r="C2220">
        <f t="shared" si="36"/>
        <v>-1.8828113765329635E-3</v>
      </c>
      <c r="D2220">
        <f>(C2220-meanrtn)/stdevrtns</f>
        <v>-0.30403311965130148</v>
      </c>
    </row>
    <row r="2221" spans="1:4" x14ac:dyDescent="0.3">
      <c r="A2221" s="1">
        <v>41080</v>
      </c>
      <c r="B2221">
        <v>1.5719810000000001</v>
      </c>
      <c r="C2221">
        <f t="shared" si="36"/>
        <v>2.1381756147255395E-3</v>
      </c>
      <c r="D2221">
        <f>(C2221-meanrtn)/stdevrtns</f>
        <v>0.3624062927261284</v>
      </c>
    </row>
    <row r="2222" spans="1:4" x14ac:dyDescent="0.3">
      <c r="A2222" s="1">
        <v>41081</v>
      </c>
      <c r="B2222">
        <v>1.5705979999999999</v>
      </c>
      <c r="C2222">
        <f t="shared" si="36"/>
        <v>-8.7978162585943096E-4</v>
      </c>
      <c r="D2222">
        <f>(C2222-meanrtn)/stdevrtns</f>
        <v>-0.13779071223014927</v>
      </c>
    </row>
    <row r="2223" spans="1:4" x14ac:dyDescent="0.3">
      <c r="A2223" s="1">
        <v>41082</v>
      </c>
      <c r="B2223">
        <v>1.560063</v>
      </c>
      <c r="C2223">
        <f t="shared" si="36"/>
        <v>-6.7076361997149888E-3</v>
      </c>
      <c r="D2223">
        <f>(C2223-meanrtn)/stdevrtns</f>
        <v>-1.103700819889019</v>
      </c>
    </row>
    <row r="2224" spans="1:4" x14ac:dyDescent="0.3">
      <c r="A2224" s="1">
        <v>41085</v>
      </c>
      <c r="B2224">
        <v>1.5583610000000001</v>
      </c>
      <c r="C2224">
        <f t="shared" si="36"/>
        <v>-1.0909815821539708E-3</v>
      </c>
      <c r="D2224">
        <f>(C2224-meanrtn)/stdevrtns</f>
        <v>-0.17279504700493525</v>
      </c>
    </row>
    <row r="2225" spans="1:4" x14ac:dyDescent="0.3">
      <c r="A2225" s="1">
        <v>41086</v>
      </c>
      <c r="B2225">
        <v>1.556662</v>
      </c>
      <c r="C2225">
        <f t="shared" si="36"/>
        <v>-1.0902480234041515E-3</v>
      </c>
      <c r="D2225">
        <f>(C2225-meanrtn)/stdevrtns</f>
        <v>-0.17267346679011816</v>
      </c>
    </row>
    <row r="2226" spans="1:4" x14ac:dyDescent="0.3">
      <c r="A2226" s="1">
        <v>41087</v>
      </c>
      <c r="B2226">
        <v>1.5637220000000001</v>
      </c>
      <c r="C2226">
        <f t="shared" si="36"/>
        <v>4.5353455021064732E-3</v>
      </c>
      <c r="D2226">
        <f>(C2226-meanrtn)/stdevrtns</f>
        <v>0.75971384298383426</v>
      </c>
    </row>
    <row r="2227" spans="1:4" x14ac:dyDescent="0.3">
      <c r="A2227" s="1">
        <v>41088</v>
      </c>
      <c r="B2227">
        <v>1.5571470000000001</v>
      </c>
      <c r="C2227">
        <f t="shared" si="36"/>
        <v>-4.2047115791681621E-3</v>
      </c>
      <c r="D2227">
        <f>(C2227-meanrtn)/stdevrtns</f>
        <v>-0.68886545310755187</v>
      </c>
    </row>
    <row r="2228" spans="1:4" x14ac:dyDescent="0.3">
      <c r="A2228" s="1">
        <v>41089</v>
      </c>
      <c r="B2228">
        <v>1.551831</v>
      </c>
      <c r="C2228">
        <f t="shared" si="36"/>
        <v>-3.4139358711798551E-3</v>
      </c>
      <c r="D2228">
        <f>(C2228-meanrtn)/stdevrtns</f>
        <v>-0.55780208500918116</v>
      </c>
    </row>
    <row r="2229" spans="1:4" x14ac:dyDescent="0.3">
      <c r="A2229" s="1">
        <v>41092</v>
      </c>
      <c r="B2229">
        <v>1.568209</v>
      </c>
      <c r="C2229">
        <f t="shared" si="36"/>
        <v>1.0553984293392776E-2</v>
      </c>
      <c r="D2229">
        <f>(C2229-meanrtn)/stdevrtns</f>
        <v>1.757244575636479</v>
      </c>
    </row>
    <row r="2230" spans="1:4" x14ac:dyDescent="0.3">
      <c r="A2230" s="1">
        <v>41093</v>
      </c>
      <c r="B2230">
        <v>1.5691200000000001</v>
      </c>
      <c r="C2230">
        <f t="shared" si="36"/>
        <v>5.8091746699585715E-4</v>
      </c>
      <c r="D2230">
        <f>(C2230-meanrtn)/stdevrtns</f>
        <v>0.10430592902211296</v>
      </c>
    </row>
    <row r="2231" spans="1:4" x14ac:dyDescent="0.3">
      <c r="A2231" s="1">
        <v>41094</v>
      </c>
      <c r="B2231">
        <v>1.5691200000000001</v>
      </c>
      <c r="C2231">
        <f t="shared" si="36"/>
        <v>0</v>
      </c>
      <c r="D2231">
        <f>(C2231-meanrtn)/stdevrtns</f>
        <v>8.0245194611897972E-3</v>
      </c>
    </row>
    <row r="2232" spans="1:4" x14ac:dyDescent="0.3">
      <c r="A2232" s="1">
        <v>41095</v>
      </c>
      <c r="B2232">
        <v>1.5584089999999999</v>
      </c>
      <c r="C2232">
        <f t="shared" si="36"/>
        <v>-6.8261190986031259E-3</v>
      </c>
      <c r="D2232">
        <f>(C2232-meanrtn)/stdevrtns</f>
        <v>-1.1233382058550627</v>
      </c>
    </row>
    <row r="2233" spans="1:4" x14ac:dyDescent="0.3">
      <c r="A2233" s="1">
        <v>41096</v>
      </c>
      <c r="B2233">
        <v>1.5530360000000001</v>
      </c>
      <c r="C2233">
        <f t="shared" si="36"/>
        <v>-3.4477470291815887E-3</v>
      </c>
      <c r="D2233">
        <f>(C2233-meanrtn)/stdevrtns</f>
        <v>-0.56340595498425494</v>
      </c>
    </row>
    <row r="2234" spans="1:4" x14ac:dyDescent="0.3">
      <c r="A2234" s="1">
        <v>41099</v>
      </c>
      <c r="B2234">
        <v>1.5479879999999999</v>
      </c>
      <c r="C2234">
        <f t="shared" si="36"/>
        <v>-3.2504075887488525E-3</v>
      </c>
      <c r="D2234">
        <f>(C2234-meanrtn)/stdevrtns</f>
        <v>-0.53069886565350288</v>
      </c>
    </row>
    <row r="2235" spans="1:4" x14ac:dyDescent="0.3">
      <c r="A2235" s="1">
        <v>41100</v>
      </c>
      <c r="B2235">
        <v>1.5530360000000001</v>
      </c>
      <c r="C2235">
        <f t="shared" si="36"/>
        <v>3.2610071912703223E-3</v>
      </c>
      <c r="D2235">
        <f>(C2235-meanrtn)/stdevrtns</f>
        <v>0.548504685408847</v>
      </c>
    </row>
    <row r="2236" spans="1:4" x14ac:dyDescent="0.3">
      <c r="A2236" s="1">
        <v>41101</v>
      </c>
      <c r="B2236">
        <v>1.551831</v>
      </c>
      <c r="C2236">
        <f t="shared" si="36"/>
        <v>-7.7589959279767025E-4</v>
      </c>
      <c r="D2236">
        <f>(C2236-meanrtn)/stdevrtns</f>
        <v>-0.12057327750062671</v>
      </c>
    </row>
    <row r="2237" spans="1:4" x14ac:dyDescent="0.3">
      <c r="A2237" s="1">
        <v>41102</v>
      </c>
      <c r="B2237">
        <v>1.5511090000000001</v>
      </c>
      <c r="C2237">
        <f t="shared" si="36"/>
        <v>-4.6525684820053823E-4</v>
      </c>
      <c r="D2237">
        <f>(C2237-meanrtn)/stdevrtns</f>
        <v>-6.9087269558126677E-2</v>
      </c>
    </row>
    <row r="2238" spans="1:4" x14ac:dyDescent="0.3">
      <c r="A2238" s="1">
        <v>41103</v>
      </c>
      <c r="B2238">
        <v>1.542734</v>
      </c>
      <c r="C2238">
        <f t="shared" si="36"/>
        <v>-5.3993626495623592E-3</v>
      </c>
      <c r="D2238">
        <f>(C2238-meanrtn)/stdevrtns</f>
        <v>-0.88686722707011578</v>
      </c>
    </row>
    <row r="2239" spans="1:4" x14ac:dyDescent="0.3">
      <c r="A2239" s="1">
        <v>41106</v>
      </c>
      <c r="B2239">
        <v>1.5583610000000001</v>
      </c>
      <c r="C2239">
        <f t="shared" si="36"/>
        <v>1.0129419588859814E-2</v>
      </c>
      <c r="D2239">
        <f>(C2239-meanrtn)/stdevrtns</f>
        <v>1.6868771129164402</v>
      </c>
    </row>
    <row r="2240" spans="1:4" x14ac:dyDescent="0.3">
      <c r="A2240" s="1">
        <v>41107</v>
      </c>
      <c r="B2240">
        <v>1.5625</v>
      </c>
      <c r="C2240">
        <f t="shared" si="36"/>
        <v>2.6559956261738406E-3</v>
      </c>
      <c r="D2240">
        <f>(C2240-meanrtn)/stdevrtns</f>
        <v>0.44822991386618843</v>
      </c>
    </row>
    <row r="2241" spans="1:4" x14ac:dyDescent="0.3">
      <c r="A2241" s="1">
        <v>41108</v>
      </c>
      <c r="B2241">
        <v>1.566416</v>
      </c>
      <c r="C2241">
        <f t="shared" si="36"/>
        <v>2.5062400000000194E-3</v>
      </c>
      <c r="D2241">
        <f>(C2241-meanrtn)/stdevrtns</f>
        <v>0.42340937808120227</v>
      </c>
    </row>
    <row r="2242" spans="1:4" x14ac:dyDescent="0.3">
      <c r="A2242" s="1">
        <v>41109</v>
      </c>
      <c r="B2242">
        <v>1.5647</v>
      </c>
      <c r="C2242">
        <f t="shared" si="36"/>
        <v>-1.0954944280446898E-3</v>
      </c>
      <c r="D2242">
        <f>(C2242-meanrtn)/stdevrtns</f>
        <v>-0.17354300723711183</v>
      </c>
    </row>
    <row r="2243" spans="1:4" x14ac:dyDescent="0.3">
      <c r="A2243" s="1">
        <v>41110</v>
      </c>
      <c r="B2243">
        <v>1.571833</v>
      </c>
      <c r="C2243">
        <f t="shared" si="36"/>
        <v>4.5587013485013459E-3</v>
      </c>
      <c r="D2243">
        <f>(C2243-meanrtn)/stdevrtns</f>
        <v>0.76358484693903605</v>
      </c>
    </row>
    <row r="2244" spans="1:4" x14ac:dyDescent="0.3">
      <c r="A2244" s="1">
        <v>41113</v>
      </c>
      <c r="B2244">
        <v>1.5607930000000001</v>
      </c>
      <c r="C2244">
        <f t="shared" ref="C2244:C2307" si="37">(B2244-B2243)/B2243</f>
        <v>-7.0236469141441481E-3</v>
      </c>
      <c r="D2244">
        <f>(C2244-meanrtn)/stdevrtns</f>
        <v>-1.1560765165244427</v>
      </c>
    </row>
    <row r="2245" spans="1:4" x14ac:dyDescent="0.3">
      <c r="A2245" s="1">
        <v>41114</v>
      </c>
      <c r="B2245">
        <v>1.551831</v>
      </c>
      <c r="C2245">
        <f t="shared" si="37"/>
        <v>-5.7419529687794194E-3</v>
      </c>
      <c r="D2245">
        <f>(C2245-meanrtn)/stdevrtns</f>
        <v>-0.94364823420134125</v>
      </c>
    </row>
    <row r="2246" spans="1:4" x14ac:dyDescent="0.3">
      <c r="A2246" s="1">
        <v>41115</v>
      </c>
      <c r="B2246">
        <v>1.5501469999999999</v>
      </c>
      <c r="C2246">
        <f t="shared" si="37"/>
        <v>-1.0851697124235943E-3</v>
      </c>
      <c r="D2246">
        <f>(C2246-meanrtn)/stdevrtns</f>
        <v>-0.17183178622932305</v>
      </c>
    </row>
    <row r="2247" spans="1:4" x14ac:dyDescent="0.3">
      <c r="A2247" s="1">
        <v>41116</v>
      </c>
      <c r="B2247">
        <v>1.5487070000000001</v>
      </c>
      <c r="C2247">
        <f t="shared" si="37"/>
        <v>-9.2894415819911647E-4</v>
      </c>
      <c r="D2247">
        <f>(C2247-meanrtn)/stdevrtns</f>
        <v>-0.14593892291441013</v>
      </c>
    </row>
    <row r="2248" spans="1:4" x14ac:dyDescent="0.3">
      <c r="A2248" s="1">
        <v>41117</v>
      </c>
      <c r="B2248">
        <v>1.568627</v>
      </c>
      <c r="C2248">
        <f t="shared" si="37"/>
        <v>1.2862342586428509E-2</v>
      </c>
      <c r="D2248">
        <f>(C2248-meanrtn)/stdevrtns</f>
        <v>2.1398324695321049</v>
      </c>
    </row>
    <row r="2249" spans="1:4" x14ac:dyDescent="0.3">
      <c r="A2249" s="1">
        <v>41120</v>
      </c>
      <c r="B2249">
        <v>1.5728219999999999</v>
      </c>
      <c r="C2249">
        <f t="shared" si="37"/>
        <v>2.674313268865032E-3</v>
      </c>
      <c r="D2249">
        <f>(C2249-meanrtn)/stdevrtns</f>
        <v>0.45126588465092271</v>
      </c>
    </row>
    <row r="2250" spans="1:4" x14ac:dyDescent="0.3">
      <c r="A2250" s="1">
        <v>41121</v>
      </c>
      <c r="B2250">
        <v>1.571339</v>
      </c>
      <c r="C2250">
        <f t="shared" si="37"/>
        <v>-9.4289118539790336E-4</v>
      </c>
      <c r="D2250">
        <f>(C2250-meanrtn)/stdevrtns</f>
        <v>-0.14825050676956267</v>
      </c>
    </row>
    <row r="2251" spans="1:4" x14ac:dyDescent="0.3">
      <c r="A2251" s="1">
        <v>41122</v>
      </c>
      <c r="B2251">
        <v>1.566784</v>
      </c>
      <c r="C2251">
        <f t="shared" si="37"/>
        <v>-2.8988015953273524E-3</v>
      </c>
      <c r="D2251">
        <f>(C2251-meanrtn)/stdevrtns</f>
        <v>-0.47242359837369818</v>
      </c>
    </row>
    <row r="2252" spans="1:4" x14ac:dyDescent="0.3">
      <c r="A2252" s="1">
        <v>41123</v>
      </c>
      <c r="B2252">
        <v>1.5544849999999999</v>
      </c>
      <c r="C2252">
        <f t="shared" si="37"/>
        <v>-7.8498376291818526E-3</v>
      </c>
      <c r="D2252">
        <f>(C2252-meanrtn)/stdevrtns</f>
        <v>-1.2930095769492629</v>
      </c>
    </row>
    <row r="2253" spans="1:4" x14ac:dyDescent="0.3">
      <c r="A2253" s="1">
        <v>41124</v>
      </c>
      <c r="B2253">
        <v>1.55159</v>
      </c>
      <c r="C2253">
        <f t="shared" si="37"/>
        <v>-1.8623531265981146E-3</v>
      </c>
      <c r="D2253">
        <f>(C2253-meanrtn)/stdevrtns</f>
        <v>-0.30064236407450118</v>
      </c>
    </row>
    <row r="2254" spans="1:4" x14ac:dyDescent="0.3">
      <c r="A2254" s="1">
        <v>41127</v>
      </c>
      <c r="B2254">
        <v>1.5654110000000001</v>
      </c>
      <c r="C2254">
        <f t="shared" si="37"/>
        <v>8.9076366823710399E-3</v>
      </c>
      <c r="D2254">
        <f>(C2254-meanrtn)/stdevrtns</f>
        <v>1.4843785015000619</v>
      </c>
    </row>
    <row r="2255" spans="1:4" x14ac:dyDescent="0.3">
      <c r="A2255" s="1">
        <v>41128</v>
      </c>
      <c r="B2255">
        <v>1.5587979999999999</v>
      </c>
      <c r="C2255">
        <f t="shared" si="37"/>
        <v>-4.2244496812659437E-3</v>
      </c>
      <c r="D2255">
        <f>(C2255-meanrtn)/stdevrtns</f>
        <v>-0.69213685119764468</v>
      </c>
    </row>
    <row r="2256" spans="1:4" x14ac:dyDescent="0.3">
      <c r="A2256" s="1">
        <v>41129</v>
      </c>
      <c r="B2256">
        <v>1.5616220000000001</v>
      </c>
      <c r="C2256">
        <f t="shared" si="37"/>
        <v>1.8116523115889037E-3</v>
      </c>
      <c r="D2256">
        <f>(C2256-meanrtn)/stdevrtns</f>
        <v>0.30828823694952684</v>
      </c>
    </row>
    <row r="2257" spans="1:4" x14ac:dyDescent="0.3">
      <c r="A2257" s="1">
        <v>41130</v>
      </c>
      <c r="B2257">
        <v>1.5670299999999999</v>
      </c>
      <c r="C2257">
        <f t="shared" si="37"/>
        <v>3.4630659660275388E-3</v>
      </c>
      <c r="D2257">
        <f>(C2257-meanrtn)/stdevrtns</f>
        <v>0.5819939584176006</v>
      </c>
    </row>
    <row r="2258" spans="1:4" x14ac:dyDescent="0.3">
      <c r="A2258" s="1">
        <v>41131</v>
      </c>
      <c r="B2258">
        <v>1.5631109999999999</v>
      </c>
      <c r="C2258">
        <f t="shared" si="37"/>
        <v>-2.5009093635731325E-3</v>
      </c>
      <c r="D2258">
        <f>(C2258-meanrtn)/stdevrtns</f>
        <v>-0.40647683811401575</v>
      </c>
    </row>
    <row r="2259" spans="1:4" x14ac:dyDescent="0.3">
      <c r="A2259" s="1">
        <v>41134</v>
      </c>
      <c r="B2259">
        <v>1.566907</v>
      </c>
      <c r="C2259">
        <f t="shared" si="37"/>
        <v>2.4284903631284871E-3</v>
      </c>
      <c r="D2259">
        <f>(C2259-meanrtn)/stdevrtns</f>
        <v>0.41052313338012081</v>
      </c>
    </row>
    <row r="2260" spans="1:4" x14ac:dyDescent="0.3">
      <c r="A2260" s="1">
        <v>41135</v>
      </c>
      <c r="B2260">
        <v>1.56789</v>
      </c>
      <c r="C2260">
        <f t="shared" si="37"/>
        <v>6.2735057026355495E-4</v>
      </c>
      <c r="D2260">
        <f>(C2260-meanrtn)/stdevrtns</f>
        <v>0.11200176343387756</v>
      </c>
    </row>
    <row r="2261" spans="1:4" x14ac:dyDescent="0.3">
      <c r="A2261" s="1">
        <v>41136</v>
      </c>
      <c r="B2261">
        <v>1.567644</v>
      </c>
      <c r="C2261">
        <f t="shared" si="37"/>
        <v>-1.5689876203047948E-4</v>
      </c>
      <c r="D2261">
        <f>(C2261-meanrtn)/stdevrtns</f>
        <v>-1.7979921487675913E-2</v>
      </c>
    </row>
    <row r="2262" spans="1:4" x14ac:dyDescent="0.3">
      <c r="A2262" s="1">
        <v>41137</v>
      </c>
      <c r="B2262">
        <v>1.5681350000000001</v>
      </c>
      <c r="C2262">
        <f t="shared" si="37"/>
        <v>3.1320886629873824E-4</v>
      </c>
      <c r="D2262">
        <f>(C2262-meanrtn)/stdevrtns</f>
        <v>5.9935837070849998E-2</v>
      </c>
    </row>
    <row r="2263" spans="1:4" x14ac:dyDescent="0.3">
      <c r="A2263" s="1">
        <v>41138</v>
      </c>
      <c r="B2263">
        <v>1.573564</v>
      </c>
      <c r="C2263">
        <f t="shared" si="37"/>
        <v>3.4620743749740335E-3</v>
      </c>
      <c r="D2263">
        <f>(C2263-meanrtn)/stdevrtns</f>
        <v>0.58182961186277382</v>
      </c>
    </row>
    <row r="2264" spans="1:4" x14ac:dyDescent="0.3">
      <c r="A2264" s="1">
        <v>41141</v>
      </c>
      <c r="B2264">
        <v>1.5688740000000001</v>
      </c>
      <c r="C2264">
        <f t="shared" si="37"/>
        <v>-2.98049523247854E-3</v>
      </c>
      <c r="D2264">
        <f>(C2264-meanrtn)/stdevrtns</f>
        <v>-0.48596352268988519</v>
      </c>
    </row>
    <row r="2265" spans="1:4" x14ac:dyDescent="0.3">
      <c r="A2265" s="1">
        <v>41142</v>
      </c>
      <c r="B2265">
        <v>1.5710919999999999</v>
      </c>
      <c r="C2265">
        <f t="shared" si="37"/>
        <v>1.4137527934045889E-3</v>
      </c>
      <c r="D2265">
        <f>(C2265-meanrtn)/stdevrtns</f>
        <v>0.24234026903505676</v>
      </c>
    </row>
    <row r="2266" spans="1:4" x14ac:dyDescent="0.3">
      <c r="A2266" s="1">
        <v>41143</v>
      </c>
      <c r="B2266">
        <v>1.577909</v>
      </c>
      <c r="C2266">
        <f t="shared" si="37"/>
        <v>4.3390202483368726E-3</v>
      </c>
      <c r="D2266">
        <f>(C2266-meanrtn)/stdevrtns</f>
        <v>0.72717484521002851</v>
      </c>
    </row>
    <row r="2267" spans="1:4" x14ac:dyDescent="0.3">
      <c r="A2267" s="1">
        <v>41144</v>
      </c>
      <c r="B2267">
        <v>1.58836</v>
      </c>
      <c r="C2267">
        <f t="shared" si="37"/>
        <v>6.623322384243951E-3</v>
      </c>
      <c r="D2267">
        <f>(C2267-meanrtn)/stdevrtns</f>
        <v>1.1057756654703177</v>
      </c>
    </row>
    <row r="2268" spans="1:4" x14ac:dyDescent="0.3">
      <c r="A2268" s="1">
        <v>41145</v>
      </c>
      <c r="B2268">
        <v>1.585791</v>
      </c>
      <c r="C2268">
        <f t="shared" si="37"/>
        <v>-1.6173915233322694E-3</v>
      </c>
      <c r="D2268">
        <f>(C2268-meanrtn)/stdevrtns</f>
        <v>-0.26004236529548802</v>
      </c>
    </row>
    <row r="2269" spans="1:4" x14ac:dyDescent="0.3">
      <c r="A2269" s="1">
        <v>41148</v>
      </c>
      <c r="B2269">
        <v>1.580303</v>
      </c>
      <c r="C2269">
        <f t="shared" si="37"/>
        <v>-3.4607334762272817E-3</v>
      </c>
      <c r="D2269">
        <f>(C2269-meanrtn)/stdevrtns</f>
        <v>-0.56555833203914641</v>
      </c>
    </row>
    <row r="2270" spans="1:4" x14ac:dyDescent="0.3">
      <c r="A2270" s="1">
        <v>41149</v>
      </c>
      <c r="B2270">
        <v>1.57928</v>
      </c>
      <c r="C2270">
        <f t="shared" si="37"/>
        <v>-6.4734421183785401E-4</v>
      </c>
      <c r="D2270">
        <f>(C2270-meanrtn)/stdevrtns</f>
        <v>-9.9266475779788046E-2</v>
      </c>
    </row>
    <row r="2271" spans="1:4" x14ac:dyDescent="0.3">
      <c r="A2271" s="1">
        <v>41150</v>
      </c>
      <c r="B2271">
        <v>1.5826039999999999</v>
      </c>
      <c r="C2271">
        <f t="shared" si="37"/>
        <v>2.1047565979432923E-3</v>
      </c>
      <c r="D2271">
        <f>(C2271-meanrtn)/stdevrtns</f>
        <v>0.35686741633707009</v>
      </c>
    </row>
    <row r="2272" spans="1:4" x14ac:dyDescent="0.3">
      <c r="A2272" s="1">
        <v>41151</v>
      </c>
      <c r="B2272">
        <v>1.5827789999999999</v>
      </c>
      <c r="C2272">
        <f t="shared" si="37"/>
        <v>1.1057725116329559E-4</v>
      </c>
      <c r="D2272">
        <f>(C2272-meanrtn)/stdevrtns</f>
        <v>2.6351621351294017E-2</v>
      </c>
    </row>
    <row r="2273" spans="1:4" x14ac:dyDescent="0.3">
      <c r="A2273" s="1">
        <v>41152</v>
      </c>
      <c r="B2273">
        <v>1.5790310000000001</v>
      </c>
      <c r="C2273">
        <f t="shared" si="37"/>
        <v>-2.3679869394273379E-3</v>
      </c>
      <c r="D2273">
        <f>(C2273-meanrtn)/stdevrtns</f>
        <v>-0.38444624153857609</v>
      </c>
    </row>
    <row r="2274" spans="1:4" x14ac:dyDescent="0.3">
      <c r="A2274" s="1">
        <v>41155</v>
      </c>
      <c r="B2274">
        <v>1.587302</v>
      </c>
      <c r="C2274">
        <f t="shared" si="37"/>
        <v>5.2380225594050511E-3</v>
      </c>
      <c r="D2274">
        <f>(C2274-meanrtn)/stdevrtns</f>
        <v>0.87617571818393236</v>
      </c>
    </row>
    <row r="2275" spans="1:4" x14ac:dyDescent="0.3">
      <c r="A2275" s="1">
        <v>41156</v>
      </c>
      <c r="B2275">
        <v>1.588058</v>
      </c>
      <c r="C2275">
        <f t="shared" si="37"/>
        <v>4.7627987616721893E-4</v>
      </c>
      <c r="D2275">
        <f>(C2275-meanrtn)/stdevrtns</f>
        <v>8.6963267955059403E-2</v>
      </c>
    </row>
    <row r="2276" spans="1:4" x14ac:dyDescent="0.3">
      <c r="A2276" s="1">
        <v>41157</v>
      </c>
      <c r="B2276">
        <v>1.586546</v>
      </c>
      <c r="C2276">
        <f t="shared" si="37"/>
        <v>-9.5210628327174317E-4</v>
      </c>
      <c r="D2276">
        <f>(C2276-meanrtn)/stdevrtns</f>
        <v>-0.1497778194481148</v>
      </c>
    </row>
    <row r="2277" spans="1:4" x14ac:dyDescent="0.3">
      <c r="A2277" s="1">
        <v>41158</v>
      </c>
      <c r="B2277">
        <v>1.590584</v>
      </c>
      <c r="C2277">
        <f t="shared" si="37"/>
        <v>2.545151543037508E-3</v>
      </c>
      <c r="D2277">
        <f>(C2277-meanrtn)/stdevrtns</f>
        <v>0.42985858717662556</v>
      </c>
    </row>
    <row r="2278" spans="1:4" x14ac:dyDescent="0.3">
      <c r="A2278" s="1">
        <v>41159</v>
      </c>
      <c r="B2278">
        <v>1.593372</v>
      </c>
      <c r="C2278">
        <f t="shared" si="37"/>
        <v>1.7528153181473047E-3</v>
      </c>
      <c r="D2278">
        <f>(C2278-meanrtn)/stdevrtns</f>
        <v>0.29853657860780175</v>
      </c>
    </row>
    <row r="2279" spans="1:4" x14ac:dyDescent="0.3">
      <c r="A2279" s="1">
        <v>41162</v>
      </c>
      <c r="B2279">
        <v>1.6008199999999999</v>
      </c>
      <c r="C2279">
        <f t="shared" si="37"/>
        <v>4.6743635510099963E-3</v>
      </c>
      <c r="D2279">
        <f>(C2279-meanrtn)/stdevrtns</f>
        <v>0.78275472996569528</v>
      </c>
    </row>
    <row r="2280" spans="1:4" x14ac:dyDescent="0.3">
      <c r="A2280" s="1">
        <v>41163</v>
      </c>
      <c r="B2280">
        <v>1.599207</v>
      </c>
      <c r="C2280">
        <f t="shared" si="37"/>
        <v>-1.007608600592112E-3</v>
      </c>
      <c r="D2280">
        <f>(C2280-meanrtn)/stdevrtns</f>
        <v>-0.15897678771659837</v>
      </c>
    </row>
    <row r="2281" spans="1:4" x14ac:dyDescent="0.3">
      <c r="A2281" s="1">
        <v>41164</v>
      </c>
      <c r="B2281">
        <v>1.6072</v>
      </c>
      <c r="C2281">
        <f t="shared" si="37"/>
        <v>4.9981021843950885E-3</v>
      </c>
      <c r="D2281">
        <f>(C2281-meanrtn)/stdevrtns</f>
        <v>0.83641125386544213</v>
      </c>
    </row>
    <row r="2282" spans="1:4" x14ac:dyDescent="0.3">
      <c r="A2282" s="1">
        <v>41165</v>
      </c>
      <c r="B2282">
        <v>1.610825</v>
      </c>
      <c r="C2282">
        <f t="shared" si="37"/>
        <v>2.2554753608760511E-3</v>
      </c>
      <c r="D2282">
        <f>(C2282-meanrtn)/stdevrtns</f>
        <v>0.38184758265482366</v>
      </c>
    </row>
    <row r="2283" spans="1:4" x14ac:dyDescent="0.3">
      <c r="A2283" s="1">
        <v>41166</v>
      </c>
      <c r="B2283">
        <v>1.6155090000000001</v>
      </c>
      <c r="C2283">
        <f t="shared" si="37"/>
        <v>2.9078267347478048E-3</v>
      </c>
      <c r="D2283">
        <f>(C2283-meanrtn)/stdevrtns</f>
        <v>0.48996846621197987</v>
      </c>
    </row>
    <row r="2284" spans="1:4" x14ac:dyDescent="0.3">
      <c r="A2284" s="1">
        <v>41169</v>
      </c>
      <c r="B2284">
        <v>1.6225860000000001</v>
      </c>
      <c r="C2284">
        <f t="shared" si="37"/>
        <v>4.3806626889729486E-3</v>
      </c>
      <c r="D2284">
        <f>(C2284-meanrtn)/stdevrtns</f>
        <v>0.73407667397192222</v>
      </c>
    </row>
    <row r="2285" spans="1:4" x14ac:dyDescent="0.3">
      <c r="A2285" s="1">
        <v>41170</v>
      </c>
      <c r="B2285">
        <v>1.624695</v>
      </c>
      <c r="C2285">
        <f t="shared" si="37"/>
        <v>1.2997770226046055E-3</v>
      </c>
      <c r="D2285">
        <f>(C2285-meanrtn)/stdevrtns</f>
        <v>0.22344989563112988</v>
      </c>
    </row>
    <row r="2286" spans="1:4" x14ac:dyDescent="0.3">
      <c r="A2286" s="1">
        <v>41171</v>
      </c>
      <c r="B2286">
        <v>1.624431</v>
      </c>
      <c r="C2286">
        <f t="shared" si="37"/>
        <v>-1.6249203696696424E-4</v>
      </c>
      <c r="D2286">
        <f>(C2286-meanrtn)/stdevrtns</f>
        <v>-1.8906952306238605E-2</v>
      </c>
    </row>
    <row r="2287" spans="1:4" x14ac:dyDescent="0.3">
      <c r="A2287" s="1">
        <v>41172</v>
      </c>
      <c r="B2287">
        <v>1.623113</v>
      </c>
      <c r="C2287">
        <f t="shared" si="37"/>
        <v>-8.1136102426014427E-4</v>
      </c>
      <c r="D2287">
        <f>(C2287-meanrtn)/stdevrtns</f>
        <v>-0.1264506642211734</v>
      </c>
    </row>
    <row r="2288" spans="1:4" x14ac:dyDescent="0.3">
      <c r="A2288" s="1">
        <v>41173</v>
      </c>
      <c r="B2288">
        <v>1.6221920000000001</v>
      </c>
      <c r="C2288">
        <f t="shared" si="37"/>
        <v>-5.6742814579142031E-4</v>
      </c>
      <c r="D2288">
        <f>(C2288-meanrtn)/stdevrtns</f>
        <v>-8.6021166553151659E-2</v>
      </c>
    </row>
    <row r="2289" spans="1:4" x14ac:dyDescent="0.3">
      <c r="A2289" s="1">
        <v>41176</v>
      </c>
      <c r="B2289">
        <v>1.623113</v>
      </c>
      <c r="C2289">
        <f t="shared" si="37"/>
        <v>5.6775030329329055E-4</v>
      </c>
      <c r="D2289">
        <f>(C2289-meanrtn)/stdevrtns</f>
        <v>0.10212359994228934</v>
      </c>
    </row>
    <row r="2290" spans="1:4" x14ac:dyDescent="0.3">
      <c r="A2290" s="1">
        <v>41177</v>
      </c>
      <c r="B2290">
        <v>1.6225860000000001</v>
      </c>
      <c r="C2290">
        <f t="shared" si="37"/>
        <v>-3.2468472620202299E-4</v>
      </c>
      <c r="D2290">
        <f>(C2290-meanrtn)/stdevrtns</f>
        <v>-4.5788810104016947E-2</v>
      </c>
    </row>
    <row r="2291" spans="1:4" x14ac:dyDescent="0.3">
      <c r="A2291" s="1">
        <v>41178</v>
      </c>
      <c r="B2291">
        <v>1.6194329999999999</v>
      </c>
      <c r="C2291">
        <f t="shared" si="37"/>
        <v>-1.9431943823009586E-3</v>
      </c>
      <c r="D2291">
        <f>(C2291-meanrtn)/stdevrtns</f>
        <v>-0.31404101447142641</v>
      </c>
    </row>
    <row r="2292" spans="1:4" x14ac:dyDescent="0.3">
      <c r="A2292" s="1">
        <v>41179</v>
      </c>
      <c r="B2292">
        <v>1.617861</v>
      </c>
      <c r="C2292">
        <f t="shared" si="37"/>
        <v>-9.7071011891193212E-4</v>
      </c>
      <c r="D2292">
        <f>(C2292-meanrtn)/stdevrtns</f>
        <v>-0.15286122392541537</v>
      </c>
    </row>
    <row r="2293" spans="1:4" x14ac:dyDescent="0.3">
      <c r="A2293" s="1">
        <v>41180</v>
      </c>
      <c r="B2293">
        <v>1.6232979999999999</v>
      </c>
      <c r="C2293">
        <f t="shared" si="37"/>
        <v>3.3606100894946565E-3</v>
      </c>
      <c r="D2293">
        <f>(C2293-meanrtn)/stdevrtns</f>
        <v>0.56501289523594189</v>
      </c>
    </row>
    <row r="2294" spans="1:4" x14ac:dyDescent="0.3">
      <c r="A2294" s="1">
        <v>41183</v>
      </c>
      <c r="B2294">
        <v>1.612487</v>
      </c>
      <c r="C2294">
        <f t="shared" si="37"/>
        <v>-6.6598985522066216E-3</v>
      </c>
      <c r="D2294">
        <f>(C2294-meanrtn)/stdevrtns</f>
        <v>-1.0957887699811431</v>
      </c>
    </row>
    <row r="2295" spans="1:4" x14ac:dyDescent="0.3">
      <c r="A2295" s="1">
        <v>41184</v>
      </c>
      <c r="B2295">
        <v>1.612903</v>
      </c>
      <c r="C2295">
        <f t="shared" si="37"/>
        <v>2.5798657601578924E-4</v>
      </c>
      <c r="D2295">
        <f>(C2295-meanrtn)/stdevrtns</f>
        <v>5.0783280555170777E-2</v>
      </c>
    </row>
    <row r="2296" spans="1:4" x14ac:dyDescent="0.3">
      <c r="A2296" s="1">
        <v>41185</v>
      </c>
      <c r="B2296">
        <v>1.6131629999999999</v>
      </c>
      <c r="C2296">
        <f t="shared" si="37"/>
        <v>1.6120002256795788E-4</v>
      </c>
      <c r="D2296">
        <f>(C2296-meanrtn)/stdevrtns</f>
        <v>3.4741852431668878E-2</v>
      </c>
    </row>
    <row r="2297" spans="1:4" x14ac:dyDescent="0.3">
      <c r="A2297" s="1">
        <v>41186</v>
      </c>
      <c r="B2297">
        <v>1.610047</v>
      </c>
      <c r="C2297">
        <f t="shared" si="37"/>
        <v>-1.9316088950712957E-3</v>
      </c>
      <c r="D2297">
        <f>(C2297-meanrtn)/stdevrtns</f>
        <v>-0.31212083285476661</v>
      </c>
    </row>
    <row r="2298" spans="1:4" x14ac:dyDescent="0.3">
      <c r="A2298" s="1">
        <v>41187</v>
      </c>
      <c r="B2298">
        <v>1.6186469999999999</v>
      </c>
      <c r="C2298">
        <f t="shared" si="37"/>
        <v>5.3414589760422777E-3</v>
      </c>
      <c r="D2298">
        <f>(C2298-meanrtn)/stdevrtns</f>
        <v>0.89331929633327756</v>
      </c>
    </row>
    <row r="2299" spans="1:4" x14ac:dyDescent="0.3">
      <c r="A2299" s="1">
        <v>41190</v>
      </c>
      <c r="B2299">
        <v>1.6138920000000001</v>
      </c>
      <c r="C2299">
        <f t="shared" si="37"/>
        <v>-2.9376386574712352E-3</v>
      </c>
      <c r="D2299">
        <f>(C2299-meanrtn)/stdevrtns</f>
        <v>-0.47886046298676532</v>
      </c>
    </row>
    <row r="2300" spans="1:4" x14ac:dyDescent="0.3">
      <c r="A2300" s="1">
        <v>41191</v>
      </c>
      <c r="B2300">
        <v>1.6034120000000001</v>
      </c>
      <c r="C2300">
        <f t="shared" si="37"/>
        <v>-6.4936191517152601E-3</v>
      </c>
      <c r="D2300">
        <f>(C2300-meanrtn)/stdevrtns</f>
        <v>-1.0682295796144885</v>
      </c>
    </row>
    <row r="2301" spans="1:4" x14ac:dyDescent="0.3">
      <c r="A2301" s="1">
        <v>41192</v>
      </c>
      <c r="B2301">
        <v>1.599693</v>
      </c>
      <c r="C2301">
        <f t="shared" si="37"/>
        <v>-2.3194288180455351E-3</v>
      </c>
      <c r="D2301">
        <f>(C2301-meanrtn)/stdevrtns</f>
        <v>-0.37639820608106467</v>
      </c>
    </row>
    <row r="2302" spans="1:4" x14ac:dyDescent="0.3">
      <c r="A2302" s="1">
        <v>41193</v>
      </c>
      <c r="B2302">
        <v>1.600768</v>
      </c>
      <c r="C2302">
        <f t="shared" si="37"/>
        <v>6.7200394075609326E-4</v>
      </c>
      <c r="D2302">
        <f>(C2302-meanrtn)/stdevrtns</f>
        <v>0.1194026244802857</v>
      </c>
    </row>
    <row r="2303" spans="1:4" x14ac:dyDescent="0.3">
      <c r="A2303" s="1">
        <v>41194</v>
      </c>
      <c r="B2303">
        <v>1.6045959999999999</v>
      </c>
      <c r="C2303">
        <f t="shared" si="37"/>
        <v>2.3913521509674996E-3</v>
      </c>
      <c r="D2303">
        <f>(C2303-meanrtn)/stdevrtns</f>
        <v>0.40436783659773295</v>
      </c>
    </row>
    <row r="2304" spans="1:4" x14ac:dyDescent="0.3">
      <c r="A2304" s="1">
        <v>41197</v>
      </c>
      <c r="B2304">
        <v>1.6059099999999999</v>
      </c>
      <c r="C2304">
        <f t="shared" si="37"/>
        <v>8.1889771630992312E-4</v>
      </c>
      <c r="D2304">
        <f>(C2304-meanrtn)/stdevrtns</f>
        <v>0.1437488364115401</v>
      </c>
    </row>
    <row r="2305" spans="1:4" x14ac:dyDescent="0.3">
      <c r="A2305" s="1">
        <v>41198</v>
      </c>
      <c r="B2305">
        <v>1.6081049999999999</v>
      </c>
      <c r="C2305">
        <f t="shared" si="37"/>
        <v>1.3668262854082402E-3</v>
      </c>
      <c r="D2305">
        <f>(C2305-meanrtn)/stdevrtns</f>
        <v>0.23456265759736764</v>
      </c>
    </row>
    <row r="2306" spans="1:4" x14ac:dyDescent="0.3">
      <c r="A2306" s="1">
        <v>41199</v>
      </c>
      <c r="B2306">
        <v>1.6130070000000001</v>
      </c>
      <c r="C2306">
        <f t="shared" si="37"/>
        <v>3.0483084126970467E-3</v>
      </c>
      <c r="D2306">
        <f>(C2306-meanrtn)/stdevrtns</f>
        <v>0.51325193544623016</v>
      </c>
    </row>
    <row r="2307" spans="1:4" x14ac:dyDescent="0.3">
      <c r="A2307" s="1">
        <v>41200</v>
      </c>
      <c r="B2307">
        <v>1.61371</v>
      </c>
      <c r="C2307">
        <f t="shared" si="37"/>
        <v>4.3583195857172235E-4</v>
      </c>
      <c r="D2307">
        <f>(C2307-meanrtn)/stdevrtns</f>
        <v>8.0259419747433988E-2</v>
      </c>
    </row>
    <row r="2308" spans="1:4" x14ac:dyDescent="0.3">
      <c r="A2308" s="1">
        <v>41201</v>
      </c>
      <c r="B2308">
        <v>1.6057030000000001</v>
      </c>
      <c r="C2308">
        <f t="shared" ref="C2308:C2371" si="38">(B2308-B2307)/B2307</f>
        <v>-4.9618580785890124E-3</v>
      </c>
      <c r="D2308">
        <f>(C2308-meanrtn)/stdevrtns</f>
        <v>-0.81435510757662299</v>
      </c>
    </row>
    <row r="2309" spans="1:4" x14ac:dyDescent="0.3">
      <c r="A2309" s="1">
        <v>41204</v>
      </c>
      <c r="B2309">
        <v>1.5997950000000001</v>
      </c>
      <c r="C2309">
        <f t="shared" si="38"/>
        <v>-3.679385291053217E-3</v>
      </c>
      <c r="D2309">
        <f>(C2309-meanrtn)/stdevrtns</f>
        <v>-0.60179773975288475</v>
      </c>
    </row>
    <row r="2310" spans="1:4" x14ac:dyDescent="0.3">
      <c r="A2310" s="1">
        <v>41205</v>
      </c>
      <c r="B2310">
        <v>1.602282</v>
      </c>
      <c r="C2310">
        <f t="shared" si="38"/>
        <v>1.5545741798167301E-3</v>
      </c>
      <c r="D2310">
        <f>(C2310-meanrtn)/stdevrtns</f>
        <v>0.26568004163683512</v>
      </c>
    </row>
    <row r="2311" spans="1:4" x14ac:dyDescent="0.3">
      <c r="A2311" s="1">
        <v>41206</v>
      </c>
      <c r="B2311">
        <v>1.5948960000000001</v>
      </c>
      <c r="C2311">
        <f t="shared" si="38"/>
        <v>-4.6096754503888162E-3</v>
      </c>
      <c r="D2311">
        <f>(C2311-meanrtn)/stdevrtns</f>
        <v>-0.75598426870111157</v>
      </c>
    </row>
    <row r="2312" spans="1:4" x14ac:dyDescent="0.3">
      <c r="A2312" s="1">
        <v>41207</v>
      </c>
      <c r="B2312">
        <v>1.6031550000000001</v>
      </c>
      <c r="C2312">
        <f t="shared" si="38"/>
        <v>5.1783940771059781E-3</v>
      </c>
      <c r="D2312">
        <f>(C2312-meanrtn)/stdevrtns</f>
        <v>0.86629287827653079</v>
      </c>
    </row>
    <row r="2313" spans="1:4" x14ac:dyDescent="0.3">
      <c r="A2313" s="1">
        <v>41208</v>
      </c>
      <c r="B2313">
        <v>1.6118110000000001</v>
      </c>
      <c r="C2313">
        <f t="shared" si="38"/>
        <v>5.3993531505063435E-3</v>
      </c>
      <c r="D2313">
        <f>(C2313-meanrtn)/stdevrtns</f>
        <v>0.90291469161652183</v>
      </c>
    </row>
    <row r="2314" spans="1:4" x14ac:dyDescent="0.3">
      <c r="A2314" s="1">
        <v>41211</v>
      </c>
      <c r="B2314">
        <v>1.6095280000000001</v>
      </c>
      <c r="C2314">
        <f t="shared" si="38"/>
        <v>-1.4164191707340592E-3</v>
      </c>
      <c r="D2314">
        <f>(C2314-meanrtn)/stdevrtns</f>
        <v>-0.22673315617324186</v>
      </c>
    </row>
    <row r="2315" spans="1:4" x14ac:dyDescent="0.3">
      <c r="A2315" s="1">
        <v>41212</v>
      </c>
      <c r="B2315">
        <v>1.603078</v>
      </c>
      <c r="C2315">
        <f t="shared" si="38"/>
        <v>-4.0073860162731347E-3</v>
      </c>
      <c r="D2315">
        <f>(C2315-meanrtn)/stdevrtns</f>
        <v>-0.65616066384344918</v>
      </c>
    </row>
    <row r="2316" spans="1:4" x14ac:dyDescent="0.3">
      <c r="A2316" s="1">
        <v>41213</v>
      </c>
      <c r="B2316">
        <v>1.607459</v>
      </c>
      <c r="C2316">
        <f t="shared" si="38"/>
        <v>2.732867645866245E-3</v>
      </c>
      <c r="D2316">
        <f>(C2316-meanrtn)/stdevrtns</f>
        <v>0.46097070207153351</v>
      </c>
    </row>
    <row r="2317" spans="1:4" x14ac:dyDescent="0.3">
      <c r="A2317" s="1">
        <v>41214</v>
      </c>
      <c r="B2317">
        <v>1.613424</v>
      </c>
      <c r="C2317">
        <f t="shared" si="38"/>
        <v>3.7108255949296364E-3</v>
      </c>
      <c r="D2317">
        <f>(C2317-meanrtn)/stdevrtns</f>
        <v>0.62305770268121619</v>
      </c>
    </row>
    <row r="2318" spans="1:4" x14ac:dyDescent="0.3">
      <c r="A2318" s="1">
        <v>41215</v>
      </c>
      <c r="B2318">
        <v>1.613424</v>
      </c>
      <c r="C2318">
        <f t="shared" si="38"/>
        <v>0</v>
      </c>
      <c r="D2318">
        <f>(C2318-meanrtn)/stdevrtns</f>
        <v>8.0245194611897972E-3</v>
      </c>
    </row>
    <row r="2319" spans="1:4" x14ac:dyDescent="0.3">
      <c r="A2319" s="1">
        <v>41218</v>
      </c>
      <c r="B2319">
        <v>1.6021019999999999</v>
      </c>
      <c r="C2319">
        <f t="shared" si="38"/>
        <v>-7.0173742302085838E-3</v>
      </c>
      <c r="D2319">
        <f>(C2319-meanrtn)/stdevrtns</f>
        <v>-1.1550368802846003</v>
      </c>
    </row>
    <row r="2320" spans="1:4" x14ac:dyDescent="0.3">
      <c r="A2320" s="1">
        <v>41219</v>
      </c>
      <c r="B2320">
        <v>1.5984659999999999</v>
      </c>
      <c r="C2320">
        <f t="shared" si="38"/>
        <v>-2.2695184201754776E-3</v>
      </c>
      <c r="D2320">
        <f>(C2320-meanrtn)/stdevrtns</f>
        <v>-0.36812604397251875</v>
      </c>
    </row>
    <row r="2321" spans="1:4" x14ac:dyDescent="0.3">
      <c r="A2321" s="1">
        <v>41220</v>
      </c>
      <c r="B2321">
        <v>1.599232</v>
      </c>
      <c r="C2321">
        <f t="shared" si="38"/>
        <v>4.7920944205259573E-4</v>
      </c>
      <c r="D2321">
        <f>(C2321-meanrtn)/stdevrtns</f>
        <v>8.7448814954195653E-2</v>
      </c>
    </row>
    <row r="2322" spans="1:4" x14ac:dyDescent="0.3">
      <c r="A2322" s="1">
        <v>41221</v>
      </c>
      <c r="B2322">
        <v>1.5982099999999999</v>
      </c>
      <c r="C2322">
        <f t="shared" si="38"/>
        <v>-6.3905674723872363E-4</v>
      </c>
      <c r="D2322">
        <f>(C2322-meanrtn)/stdevrtns</f>
        <v>-9.7892909277446649E-2</v>
      </c>
    </row>
    <row r="2323" spans="1:4" x14ac:dyDescent="0.3">
      <c r="A2323" s="1">
        <v>41222</v>
      </c>
      <c r="B2323">
        <v>1.59775</v>
      </c>
      <c r="C2323">
        <f t="shared" si="38"/>
        <v>-2.8782200086340654E-4</v>
      </c>
      <c r="D2323">
        <f>(C2323-meanrtn)/stdevrtns</f>
        <v>-3.9679172578030032E-2</v>
      </c>
    </row>
    <row r="2324" spans="1:4" x14ac:dyDescent="0.3">
      <c r="A2324" s="1">
        <v>41225</v>
      </c>
      <c r="B2324">
        <v>1.589421</v>
      </c>
      <c r="C2324">
        <f t="shared" si="38"/>
        <v>-5.2129557189798349E-3</v>
      </c>
      <c r="D2324">
        <f>(C2324-meanrtn)/stdevrtns</f>
        <v>-0.85597209471814162</v>
      </c>
    </row>
    <row r="2325" spans="1:4" x14ac:dyDescent="0.3">
      <c r="A2325" s="1">
        <v>41226</v>
      </c>
      <c r="B2325">
        <v>1.5878060000000001</v>
      </c>
      <c r="C2325">
        <f t="shared" si="38"/>
        <v>-1.0160932817673367E-3</v>
      </c>
      <c r="D2325">
        <f>(C2325-meanrtn)/stdevrtns</f>
        <v>-0.16038304094470365</v>
      </c>
    </row>
    <row r="2326" spans="1:4" x14ac:dyDescent="0.3">
      <c r="A2326" s="1">
        <v>41227</v>
      </c>
      <c r="B2326">
        <v>1.5878060000000001</v>
      </c>
      <c r="C2326">
        <f t="shared" si="38"/>
        <v>0</v>
      </c>
      <c r="D2326">
        <f>(C2326-meanrtn)/stdevrtns</f>
        <v>8.0245194611897972E-3</v>
      </c>
    </row>
    <row r="2327" spans="1:4" x14ac:dyDescent="0.3">
      <c r="A2327" s="1">
        <v>41228</v>
      </c>
      <c r="B2327">
        <v>1.5841080000000001</v>
      </c>
      <c r="C2327">
        <f t="shared" si="38"/>
        <v>-2.3289998904148109E-3</v>
      </c>
      <c r="D2327">
        <f>(C2327-meanrtn)/stdevrtns</f>
        <v>-0.37798451806353783</v>
      </c>
    </row>
    <row r="2328" spans="1:4" x14ac:dyDescent="0.3">
      <c r="A2328" s="1">
        <v>41229</v>
      </c>
      <c r="B2328">
        <v>1.586546</v>
      </c>
      <c r="C2328">
        <f t="shared" si="38"/>
        <v>1.5390364798359331E-3</v>
      </c>
      <c r="D2328">
        <f>(C2328-meanrtn)/stdevrtns</f>
        <v>0.26310481926794643</v>
      </c>
    </row>
    <row r="2329" spans="1:4" x14ac:dyDescent="0.3">
      <c r="A2329" s="1">
        <v>41232</v>
      </c>
      <c r="B2329">
        <v>1.5905590000000001</v>
      </c>
      <c r="C2329">
        <f t="shared" si="38"/>
        <v>2.5293940421519732E-3</v>
      </c>
      <c r="D2329">
        <f>(C2329-meanrtn)/stdevrtns</f>
        <v>0.42724693494956728</v>
      </c>
    </row>
    <row r="2330" spans="1:4" x14ac:dyDescent="0.3">
      <c r="A2330" s="1">
        <v>41233</v>
      </c>
      <c r="B2330">
        <v>1.589421</v>
      </c>
      <c r="C2330">
        <f t="shared" si="38"/>
        <v>-7.1547173037912043E-4</v>
      </c>
      <c r="D2330">
        <f>(C2330-meanrtn)/stdevrtns</f>
        <v>-0.1105579481277659</v>
      </c>
    </row>
    <row r="2331" spans="1:4" x14ac:dyDescent="0.3">
      <c r="A2331" s="1">
        <v>41234</v>
      </c>
      <c r="B2331">
        <v>1.5926100000000001</v>
      </c>
      <c r="C2331">
        <f t="shared" si="38"/>
        <v>2.0063910065364109E-3</v>
      </c>
      <c r="D2331">
        <f>(C2331-meanrtn)/stdevrtns</f>
        <v>0.34056427805836531</v>
      </c>
    </row>
    <row r="2332" spans="1:4" x14ac:dyDescent="0.3">
      <c r="A2332" s="1">
        <v>41235</v>
      </c>
      <c r="B2332">
        <v>1.5969340000000001</v>
      </c>
      <c r="C2332">
        <f t="shared" si="38"/>
        <v>2.7150400914222532E-3</v>
      </c>
      <c r="D2332">
        <f>(C2332-meanrtn)/stdevrtns</f>
        <v>0.4580159586382398</v>
      </c>
    </row>
    <row r="2333" spans="1:4" x14ac:dyDescent="0.3">
      <c r="A2333" s="1">
        <v>41236</v>
      </c>
      <c r="B2333">
        <v>1.594133</v>
      </c>
      <c r="C2333">
        <f t="shared" si="38"/>
        <v>-1.7539860758178192E-3</v>
      </c>
      <c r="D2333">
        <f>(C2333-meanrtn)/stdevrtns</f>
        <v>-0.28268158136117749</v>
      </c>
    </row>
    <row r="2334" spans="1:4" x14ac:dyDescent="0.3">
      <c r="A2334" s="1">
        <v>41239</v>
      </c>
      <c r="B2334">
        <v>1.602795</v>
      </c>
      <c r="C2334">
        <f t="shared" si="38"/>
        <v>5.4336746055692643E-3</v>
      </c>
      <c r="D2334">
        <f>(C2334-meanrtn)/stdevrtns</f>
        <v>0.90860313835703521</v>
      </c>
    </row>
    <row r="2335" spans="1:4" x14ac:dyDescent="0.3">
      <c r="A2335" s="1">
        <v>41240</v>
      </c>
      <c r="B2335">
        <v>1.603335</v>
      </c>
      <c r="C2335">
        <f t="shared" si="38"/>
        <v>3.3691145779715117E-4</v>
      </c>
      <c r="D2335">
        <f>(C2335-meanrtn)/stdevrtns</f>
        <v>6.3864310648199363E-2</v>
      </c>
    </row>
    <row r="2336" spans="1:4" x14ac:dyDescent="0.3">
      <c r="A2336" s="1">
        <v>41241</v>
      </c>
      <c r="B2336">
        <v>1.6023069999999999</v>
      </c>
      <c r="C2336">
        <f t="shared" si="38"/>
        <v>-6.4116357467405686E-4</v>
      </c>
      <c r="D2336">
        <f>(C2336-meanrtn)/stdevrtns</f>
        <v>-9.8242095395441195E-2</v>
      </c>
    </row>
    <row r="2337" spans="1:4" x14ac:dyDescent="0.3">
      <c r="A2337" s="1">
        <v>41242</v>
      </c>
      <c r="B2337">
        <v>1.601537</v>
      </c>
      <c r="C2337">
        <f t="shared" si="38"/>
        <v>-4.8055709673610453E-4</v>
      </c>
      <c r="D2337">
        <f>(C2337-meanrtn)/stdevrtns</f>
        <v>-7.162313666374992E-2</v>
      </c>
    </row>
    <row r="2338" spans="1:4" x14ac:dyDescent="0.3">
      <c r="A2338" s="1">
        <v>41243</v>
      </c>
      <c r="B2338">
        <v>1.6041069999999999</v>
      </c>
      <c r="C2338">
        <f t="shared" si="38"/>
        <v>1.6047084769193352E-3</v>
      </c>
      <c r="D2338">
        <f>(C2338-meanrtn)/stdevrtns</f>
        <v>0.27398931286145012</v>
      </c>
    </row>
    <row r="2339" spans="1:4" x14ac:dyDescent="0.3">
      <c r="A2339" s="1">
        <v>41246</v>
      </c>
      <c r="B2339">
        <v>1.6023069999999999</v>
      </c>
      <c r="C2339">
        <f t="shared" si="38"/>
        <v>-1.1221196591000625E-3</v>
      </c>
      <c r="D2339">
        <f>(C2339-meanrtn)/stdevrtns</f>
        <v>-0.17795587984215405</v>
      </c>
    </row>
    <row r="2340" spans="1:4" x14ac:dyDescent="0.3">
      <c r="A2340" s="1">
        <v>41247</v>
      </c>
      <c r="B2340">
        <v>1.6097870000000001</v>
      </c>
      <c r="C2340">
        <f t="shared" si="38"/>
        <v>4.6682689397226336E-3</v>
      </c>
      <c r="D2340">
        <f>(C2340-meanrtn)/stdevrtns</f>
        <v>0.7817446075321115</v>
      </c>
    </row>
    <row r="2341" spans="1:4" x14ac:dyDescent="0.3">
      <c r="A2341" s="1">
        <v>41248</v>
      </c>
      <c r="B2341">
        <v>1.6100989999999999</v>
      </c>
      <c r="C2341">
        <f t="shared" si="38"/>
        <v>1.9381446116776191E-4</v>
      </c>
      <c r="D2341">
        <f>(C2341-meanrtn)/stdevrtns</f>
        <v>4.0147377826982404E-2</v>
      </c>
    </row>
    <row r="2342" spans="1:4" x14ac:dyDescent="0.3">
      <c r="A2342" s="1">
        <v>41249</v>
      </c>
      <c r="B2342">
        <v>1.609321</v>
      </c>
      <c r="C2342">
        <f t="shared" si="38"/>
        <v>-4.8320010136019301E-4</v>
      </c>
      <c r="D2342">
        <f>(C2342-meanrtn)/stdevrtns</f>
        <v>-7.2061188926146588E-2</v>
      </c>
    </row>
    <row r="2343" spans="1:4" x14ac:dyDescent="0.3">
      <c r="A2343" s="1">
        <v>41250</v>
      </c>
      <c r="B2343">
        <v>1.605008</v>
      </c>
      <c r="C2343">
        <f t="shared" si="38"/>
        <v>-2.6800122536150407E-3</v>
      </c>
      <c r="D2343">
        <f>(C2343-meanrtn)/stdevrtns</f>
        <v>-0.43616139691863665</v>
      </c>
    </row>
    <row r="2344" spans="1:4" x14ac:dyDescent="0.3">
      <c r="A2344" s="1">
        <v>41253</v>
      </c>
      <c r="B2344">
        <v>1.603566</v>
      </c>
      <c r="C2344">
        <f t="shared" si="38"/>
        <v>-8.9843788940612338E-4</v>
      </c>
      <c r="D2344">
        <f>(C2344-meanrtn)/stdevrtns</f>
        <v>-0.1408828061220832</v>
      </c>
    </row>
    <row r="2345" spans="1:4" x14ac:dyDescent="0.3">
      <c r="A2345" s="1">
        <v>41254</v>
      </c>
      <c r="B2345">
        <v>1.607407</v>
      </c>
      <c r="C2345">
        <f t="shared" si="38"/>
        <v>2.3952865052015216E-3</v>
      </c>
      <c r="D2345">
        <f>(C2345-meanrtn)/stdevrtns</f>
        <v>0.40501991747476801</v>
      </c>
    </row>
    <row r="2346" spans="1:4" x14ac:dyDescent="0.3">
      <c r="A2346" s="1">
        <v>41255</v>
      </c>
      <c r="B2346">
        <v>1.611863</v>
      </c>
      <c r="C2346">
        <f t="shared" si="38"/>
        <v>2.7721666012403925E-3</v>
      </c>
      <c r="D2346">
        <f>(C2346-meanrtn)/stdevrtns</f>
        <v>0.46748412098672293</v>
      </c>
    </row>
    <row r="2347" spans="1:4" x14ac:dyDescent="0.3">
      <c r="A2347" s="1">
        <v>41256</v>
      </c>
      <c r="B2347">
        <v>1.6136839999999999</v>
      </c>
      <c r="C2347">
        <f t="shared" si="38"/>
        <v>1.1297486200749385E-3</v>
      </c>
      <c r="D2347">
        <f>(C2347-meanrtn)/stdevrtns</f>
        <v>0.19526934470776591</v>
      </c>
    </row>
    <row r="2348" spans="1:4" x14ac:dyDescent="0.3">
      <c r="A2348" s="1">
        <v>41257</v>
      </c>
      <c r="B2348">
        <v>1.6116029999999999</v>
      </c>
      <c r="C2348">
        <f t="shared" si="38"/>
        <v>-1.2895957324978123E-3</v>
      </c>
      <c r="D2348">
        <f>(C2348-meanrtn)/stdevrtns</f>
        <v>-0.20571340708238589</v>
      </c>
    </row>
    <row r="2349" spans="1:4" x14ac:dyDescent="0.3">
      <c r="A2349" s="1">
        <v>41260</v>
      </c>
      <c r="B2349">
        <v>1.617599</v>
      </c>
      <c r="C2349">
        <f t="shared" si="38"/>
        <v>3.7205192593958393E-3</v>
      </c>
      <c r="D2349">
        <f>(C2349-meanrtn)/stdevrtns</f>
        <v>0.62466433310918934</v>
      </c>
    </row>
    <row r="2350" spans="1:4" x14ac:dyDescent="0.3">
      <c r="A2350" s="1">
        <v>41261</v>
      </c>
      <c r="B2350">
        <v>1.6204829999999999</v>
      </c>
      <c r="C2350">
        <f t="shared" si="38"/>
        <v>1.7828893316575287E-3</v>
      </c>
      <c r="D2350">
        <f>(C2350-meanrtn)/stdevrtns</f>
        <v>0.30352105329900475</v>
      </c>
    </row>
    <row r="2351" spans="1:4" x14ac:dyDescent="0.3">
      <c r="A2351" s="1">
        <v>41262</v>
      </c>
      <c r="B2351">
        <v>1.624959</v>
      </c>
      <c r="C2351">
        <f t="shared" si="38"/>
        <v>2.7621394362052219E-3</v>
      </c>
      <c r="D2351">
        <f>(C2351-meanrtn)/stdevrtns</f>
        <v>0.4658222160891497</v>
      </c>
    </row>
    <row r="2352" spans="1:4" x14ac:dyDescent="0.3">
      <c r="A2352" s="1">
        <v>41263</v>
      </c>
      <c r="B2352">
        <v>1.625224</v>
      </c>
      <c r="C2352">
        <f t="shared" si="38"/>
        <v>1.6308103773692733E-4</v>
      </c>
      <c r="D2352">
        <f>(C2352-meanrtn)/stdevrtns</f>
        <v>3.5053612366880378E-2</v>
      </c>
    </row>
    <row r="2353" spans="1:4" x14ac:dyDescent="0.3">
      <c r="A2353" s="1">
        <v>41264</v>
      </c>
      <c r="B2353">
        <v>1.6273390000000001</v>
      </c>
      <c r="C2353">
        <f t="shared" si="38"/>
        <v>1.3013590741953658E-3</v>
      </c>
      <c r="D2353">
        <f>(C2353-meanrtn)/stdevrtns</f>
        <v>0.22371210526642321</v>
      </c>
    </row>
    <row r="2354" spans="1:4" x14ac:dyDescent="0.3">
      <c r="A2354" s="1">
        <v>41267</v>
      </c>
      <c r="B2354">
        <v>1.6156919999999999</v>
      </c>
      <c r="C2354">
        <f t="shared" si="38"/>
        <v>-7.1570828204818937E-3</v>
      </c>
      <c r="D2354">
        <f>(C2354-meanrtn)/stdevrtns</f>
        <v>-1.1781922177697095</v>
      </c>
    </row>
    <row r="2355" spans="1:4" x14ac:dyDescent="0.3">
      <c r="A2355" s="1">
        <v>41268</v>
      </c>
      <c r="B2355">
        <v>1.6131629999999999</v>
      </c>
      <c r="C2355">
        <f t="shared" si="38"/>
        <v>-1.5652735793703278E-3</v>
      </c>
      <c r="D2355">
        <f>(C2355-meanrtn)/stdevrtns</f>
        <v>-0.25140432393305001</v>
      </c>
    </row>
    <row r="2356" spans="1:4" x14ac:dyDescent="0.3">
      <c r="A2356" s="1">
        <v>41269</v>
      </c>
      <c r="B2356">
        <v>1.6136839999999999</v>
      </c>
      <c r="C2356">
        <f t="shared" si="38"/>
        <v>3.2296798277669012E-4</v>
      </c>
      <c r="D2356">
        <f>(C2356-meanrtn)/stdevrtns</f>
        <v>6.155331553199108E-2</v>
      </c>
    </row>
    <row r="2357" spans="1:4" x14ac:dyDescent="0.3">
      <c r="A2357" s="1">
        <v>41270</v>
      </c>
      <c r="B2357">
        <v>1.612643</v>
      </c>
      <c r="C2357">
        <f t="shared" si="38"/>
        <v>-6.4510771625662E-4</v>
      </c>
      <c r="D2357">
        <f>(C2357-meanrtn)/stdevrtns</f>
        <v>-9.8895798430126733E-2</v>
      </c>
    </row>
    <row r="2358" spans="1:4" x14ac:dyDescent="0.3">
      <c r="A2358" s="1">
        <v>41271</v>
      </c>
      <c r="B2358">
        <v>1.6116029999999999</v>
      </c>
      <c r="C2358">
        <f t="shared" si="38"/>
        <v>-6.449040488193307E-4</v>
      </c>
      <c r="D2358">
        <f>(C2358-meanrtn)/stdevrtns</f>
        <v>-9.8862042536978473E-2</v>
      </c>
    </row>
    <row r="2359" spans="1:4" x14ac:dyDescent="0.3">
      <c r="A2359" s="1">
        <v>41274</v>
      </c>
      <c r="B2359">
        <v>1.6162920000000001</v>
      </c>
      <c r="C2359">
        <f t="shared" si="38"/>
        <v>2.9095254848744792E-3</v>
      </c>
      <c r="D2359">
        <f>(C2359-meanrtn)/stdevrtns</f>
        <v>0.49025001749246355</v>
      </c>
    </row>
    <row r="2360" spans="1:4" x14ac:dyDescent="0.3">
      <c r="A2360" s="1">
        <v>41275</v>
      </c>
      <c r="B2360">
        <v>1.62364</v>
      </c>
      <c r="C2360">
        <f t="shared" si="38"/>
        <v>4.5462082346506135E-3</v>
      </c>
      <c r="D2360">
        <f>(C2360-meanrtn)/stdevrtns</f>
        <v>0.7615142350540568</v>
      </c>
    </row>
    <row r="2361" spans="1:4" x14ac:dyDescent="0.3">
      <c r="A2361" s="1">
        <v>41276</v>
      </c>
      <c r="B2361">
        <v>1.624695</v>
      </c>
      <c r="C2361">
        <f t="shared" si="38"/>
        <v>6.4977458057206535E-4</v>
      </c>
      <c r="D2361">
        <f>(C2361-meanrtn)/stdevrtns</f>
        <v>0.11571832463779029</v>
      </c>
    </row>
    <row r="2362" spans="1:4" x14ac:dyDescent="0.3">
      <c r="A2362" s="1">
        <v>41277</v>
      </c>
      <c r="B2362">
        <v>1.6252500000000001</v>
      </c>
      <c r="C2362">
        <f t="shared" si="38"/>
        <v>3.4160257771463762E-4</v>
      </c>
      <c r="D2362">
        <f>(C2362-meanrtn)/stdevrtns</f>
        <v>6.4641818063169446E-2</v>
      </c>
    </row>
    <row r="2363" spans="1:4" x14ac:dyDescent="0.3">
      <c r="A2363" s="1">
        <v>41278</v>
      </c>
      <c r="B2363">
        <v>1.6082339999999999</v>
      </c>
      <c r="C2363">
        <f t="shared" si="38"/>
        <v>-1.0469773880941481E-2</v>
      </c>
      <c r="D2363">
        <f>(C2363-meanrtn)/stdevrtns</f>
        <v>-1.727238481415958</v>
      </c>
    </row>
    <row r="2364" spans="1:4" x14ac:dyDescent="0.3">
      <c r="A2364" s="1">
        <v>41281</v>
      </c>
      <c r="B2364">
        <v>1.606787</v>
      </c>
      <c r="C2364">
        <f t="shared" si="38"/>
        <v>-8.9974468889476042E-4</v>
      </c>
      <c r="D2364">
        <f>(C2364-meanrtn)/stdevrtns</f>
        <v>-0.14109939540356947</v>
      </c>
    </row>
    <row r="2365" spans="1:4" x14ac:dyDescent="0.3">
      <c r="A2365" s="1">
        <v>41282</v>
      </c>
      <c r="B2365">
        <v>1.612201</v>
      </c>
      <c r="C2365">
        <f t="shared" si="38"/>
        <v>3.3694571838084513E-3</v>
      </c>
      <c r="D2365">
        <f>(C2365-meanrtn)/stdevrtns</f>
        <v>0.56647921491032804</v>
      </c>
    </row>
    <row r="2366" spans="1:4" x14ac:dyDescent="0.3">
      <c r="A2366" s="1">
        <v>41283</v>
      </c>
      <c r="B2366">
        <v>1.606168</v>
      </c>
      <c r="C2366">
        <f t="shared" si="38"/>
        <v>-3.7420892308092819E-3</v>
      </c>
      <c r="D2366">
        <f>(C2366-meanrtn)/stdevrtns</f>
        <v>-0.61219030676581676</v>
      </c>
    </row>
    <row r="2367" spans="1:4" x14ac:dyDescent="0.3">
      <c r="A2367" s="1">
        <v>41284</v>
      </c>
      <c r="B2367">
        <v>1.601537</v>
      </c>
      <c r="C2367">
        <f t="shared" si="38"/>
        <v>-2.8832600325744578E-3</v>
      </c>
      <c r="D2367">
        <f>(C2367-meanrtn)/stdevrtns</f>
        <v>-0.46984773578797412</v>
      </c>
    </row>
    <row r="2368" spans="1:4" x14ac:dyDescent="0.3">
      <c r="A2368" s="1">
        <v>41285</v>
      </c>
      <c r="B2368">
        <v>1.6162920000000001</v>
      </c>
      <c r="C2368">
        <f t="shared" si="38"/>
        <v>9.2130247381109979E-3</v>
      </c>
      <c r="D2368">
        <f>(C2368-meanrtn)/stdevrtns</f>
        <v>1.5349935959673844</v>
      </c>
    </row>
    <row r="2369" spans="1:4" x14ac:dyDescent="0.3">
      <c r="A2369" s="1">
        <v>41288</v>
      </c>
      <c r="B2369">
        <v>1.612695</v>
      </c>
      <c r="C2369">
        <f t="shared" si="38"/>
        <v>-2.2254642106748486E-3</v>
      </c>
      <c r="D2369">
        <f>(C2369-meanrtn)/stdevrtns</f>
        <v>-0.36082448802215683</v>
      </c>
    </row>
    <row r="2370" spans="1:4" x14ac:dyDescent="0.3">
      <c r="A2370" s="1">
        <v>41289</v>
      </c>
      <c r="B2370">
        <v>1.6077170000000001</v>
      </c>
      <c r="C2370">
        <f t="shared" si="38"/>
        <v>-3.086758500522372E-3</v>
      </c>
      <c r="D2370">
        <f>(C2370-meanrtn)/stdevrtns</f>
        <v>-0.50357562391438371</v>
      </c>
    </row>
    <row r="2371" spans="1:4" x14ac:dyDescent="0.3">
      <c r="A2371" s="1">
        <v>41290</v>
      </c>
      <c r="B2371">
        <v>1.607459</v>
      </c>
      <c r="C2371">
        <f t="shared" si="38"/>
        <v>-1.6047600417243302E-4</v>
      </c>
      <c r="D2371">
        <f>(C2371-meanrtn)/stdevrtns</f>
        <v>-1.8572814515233092E-2</v>
      </c>
    </row>
    <row r="2372" spans="1:4" x14ac:dyDescent="0.3">
      <c r="A2372" s="1">
        <v>41291</v>
      </c>
      <c r="B2372">
        <v>1.6002559999999999</v>
      </c>
      <c r="C2372">
        <f t="shared" ref="C2372:C2435" si="39">(B2372-B2371)/B2371</f>
        <v>-4.4809852070877522E-3</v>
      </c>
      <c r="D2372">
        <f>(C2372-meanrtn)/stdevrtns</f>
        <v>-0.73465511486134083</v>
      </c>
    </row>
    <row r="2373" spans="1:4" x14ac:dyDescent="0.3">
      <c r="A2373" s="1">
        <v>41292</v>
      </c>
      <c r="B2373">
        <v>1.597699</v>
      </c>
      <c r="C2373">
        <f t="shared" si="39"/>
        <v>-1.5978693409054055E-3</v>
      </c>
      <c r="D2373">
        <f>(C2373-meanrtn)/stdevrtns</f>
        <v>-0.25680675378687873</v>
      </c>
    </row>
    <row r="2374" spans="1:4" x14ac:dyDescent="0.3">
      <c r="A2374" s="1">
        <v>41295</v>
      </c>
      <c r="B2374">
        <v>1.5855399999999999</v>
      </c>
      <c r="C2374">
        <f t="shared" si="39"/>
        <v>-7.6103195908616269E-3</v>
      </c>
      <c r="D2374">
        <f>(C2374-meanrtn)/stdevrtns</f>
        <v>-1.2533117960166351</v>
      </c>
    </row>
    <row r="2375" spans="1:4" x14ac:dyDescent="0.3">
      <c r="A2375" s="1">
        <v>41296</v>
      </c>
      <c r="B2375">
        <v>1.583782</v>
      </c>
      <c r="C2375">
        <f t="shared" si="39"/>
        <v>-1.1087705135158536E-3</v>
      </c>
      <c r="D2375">
        <f>(C2375-meanrtn)/stdevrtns</f>
        <v>-0.17574338903872161</v>
      </c>
    </row>
    <row r="2376" spans="1:4" x14ac:dyDescent="0.3">
      <c r="A2376" s="1">
        <v>41297</v>
      </c>
      <c r="B2376">
        <v>1.5839080000000001</v>
      </c>
      <c r="C2376">
        <f t="shared" si="39"/>
        <v>7.9556403595993955E-5</v>
      </c>
      <c r="D2376">
        <f>(C2376-meanrtn)/stdevrtns</f>
        <v>2.1210218141299583E-2</v>
      </c>
    </row>
    <row r="2377" spans="1:4" x14ac:dyDescent="0.3">
      <c r="A2377" s="1">
        <v>41298</v>
      </c>
      <c r="B2377">
        <v>1.58328</v>
      </c>
      <c r="C2377">
        <f t="shared" si="39"/>
        <v>-3.9648767478923832E-4</v>
      </c>
      <c r="D2377">
        <f>(C2377-meanrtn)/stdevrtns</f>
        <v>-5.7689449167873656E-2</v>
      </c>
    </row>
    <row r="2378" spans="1:4" x14ac:dyDescent="0.3">
      <c r="A2378" s="1">
        <v>41299</v>
      </c>
      <c r="B2378">
        <v>1.5782830000000001</v>
      </c>
      <c r="C2378">
        <f t="shared" si="39"/>
        <v>-3.1561063109493697E-3</v>
      </c>
      <c r="D2378">
        <f>(C2378-meanrtn)/stdevrtns</f>
        <v>-0.51506934775161628</v>
      </c>
    </row>
    <row r="2379" spans="1:4" x14ac:dyDescent="0.3">
      <c r="A2379" s="1">
        <v>41302</v>
      </c>
      <c r="B2379">
        <v>1.5775110000000001</v>
      </c>
      <c r="C2379">
        <f t="shared" si="39"/>
        <v>-4.8913914678165756E-4</v>
      </c>
      <c r="D2379">
        <f>(C2379-meanrtn)/stdevrtns</f>
        <v>-7.3045527833327406E-2</v>
      </c>
    </row>
    <row r="2380" spans="1:4" x14ac:dyDescent="0.3">
      <c r="A2380" s="1">
        <v>41303</v>
      </c>
      <c r="B2380">
        <v>1.5698589999999999</v>
      </c>
      <c r="C2380">
        <f t="shared" si="39"/>
        <v>-4.8506793296529873E-3</v>
      </c>
      <c r="D2380">
        <f>(C2380-meanrtn)/stdevrtns</f>
        <v>-0.79592831329182179</v>
      </c>
    </row>
    <row r="2381" spans="1:4" x14ac:dyDescent="0.3">
      <c r="A2381" s="1">
        <v>41304</v>
      </c>
      <c r="B2381">
        <v>1.574803</v>
      </c>
      <c r="C2381">
        <f t="shared" si="39"/>
        <v>3.1493274236731195E-3</v>
      </c>
      <c r="D2381">
        <f>(C2381-meanrtn)/stdevrtns</f>
        <v>0.5299948521629968</v>
      </c>
    </row>
    <row r="2382" spans="1:4" x14ac:dyDescent="0.3">
      <c r="A2382" s="1">
        <v>41305</v>
      </c>
      <c r="B2382">
        <v>1.579779</v>
      </c>
      <c r="C2382">
        <f t="shared" si="39"/>
        <v>3.1597603001772868E-3</v>
      </c>
      <c r="D2382">
        <f>(C2382-meanrtn)/stdevrtns</f>
        <v>0.53172399978321017</v>
      </c>
    </row>
    <row r="2383" spans="1:4" x14ac:dyDescent="0.3">
      <c r="A2383" s="1">
        <v>41306</v>
      </c>
      <c r="B2383">
        <v>1.587024</v>
      </c>
      <c r="C2383">
        <f t="shared" si="39"/>
        <v>4.5860845092889234E-3</v>
      </c>
      <c r="D2383">
        <f>(C2383-meanrtn)/stdevrtns</f>
        <v>0.76812333901174923</v>
      </c>
    </row>
    <row r="2384" spans="1:4" x14ac:dyDescent="0.3">
      <c r="A2384" s="1">
        <v>41309</v>
      </c>
      <c r="B2384">
        <v>1.5705</v>
      </c>
      <c r="C2384">
        <f t="shared" si="39"/>
        <v>-1.0411940840214125E-2</v>
      </c>
      <c r="D2384">
        <f>(C2384-meanrtn)/stdevrtns</f>
        <v>-1.7176532184538724</v>
      </c>
    </row>
    <row r="2385" spans="1:4" x14ac:dyDescent="0.3">
      <c r="A2385" s="1">
        <v>41310</v>
      </c>
      <c r="B2385">
        <v>1.575547</v>
      </c>
      <c r="C2385">
        <f t="shared" si="39"/>
        <v>3.2136262336835554E-3</v>
      </c>
      <c r="D2385">
        <f>(C2385-meanrtn)/stdevrtns</f>
        <v>0.54065175337980753</v>
      </c>
    </row>
    <row r="2386" spans="1:4" x14ac:dyDescent="0.3">
      <c r="A2386" s="1">
        <v>41311</v>
      </c>
      <c r="B2386">
        <v>1.5666610000000001</v>
      </c>
      <c r="C2386">
        <f t="shared" si="39"/>
        <v>-5.6399459997067362E-3</v>
      </c>
      <c r="D2386">
        <f>(C2386-meanrtn)/stdevrtns</f>
        <v>-0.92674157305695282</v>
      </c>
    </row>
    <row r="2387" spans="1:4" x14ac:dyDescent="0.3">
      <c r="A2387" s="1">
        <v>41312</v>
      </c>
      <c r="B2387">
        <v>1.566416</v>
      </c>
      <c r="C2387">
        <f t="shared" si="39"/>
        <v>-1.5638354436604392E-4</v>
      </c>
      <c r="D2387">
        <f>(C2387-meanrtn)/stdevrtns</f>
        <v>-1.7894529180195348E-2</v>
      </c>
    </row>
    <row r="2388" spans="1:4" x14ac:dyDescent="0.3">
      <c r="A2388" s="1">
        <v>41313</v>
      </c>
      <c r="B2388">
        <v>1.571018</v>
      </c>
      <c r="C2388">
        <f t="shared" si="39"/>
        <v>2.9379168752106687E-3</v>
      </c>
      <c r="D2388">
        <f>(C2388-meanrtn)/stdevrtns</f>
        <v>0.49495561378843822</v>
      </c>
    </row>
    <row r="2389" spans="1:4" x14ac:dyDescent="0.3">
      <c r="A2389" s="1">
        <v>41316</v>
      </c>
      <c r="B2389">
        <v>1.580228</v>
      </c>
      <c r="C2389">
        <f t="shared" si="39"/>
        <v>5.8624407868018953E-3</v>
      </c>
      <c r="D2389">
        <f>(C2389-meanrtn)/stdevrtns</f>
        <v>0.97966695489988731</v>
      </c>
    </row>
    <row r="2390" spans="1:4" x14ac:dyDescent="0.3">
      <c r="A2390" s="1">
        <v>41317</v>
      </c>
      <c r="B2390">
        <v>1.56568</v>
      </c>
      <c r="C2390">
        <f t="shared" si="39"/>
        <v>-9.2062664375014269E-3</v>
      </c>
      <c r="D2390">
        <f>(C2390-meanrtn)/stdevrtns</f>
        <v>-1.5178244345734067</v>
      </c>
    </row>
    <row r="2391" spans="1:4" x14ac:dyDescent="0.3">
      <c r="A2391" s="1">
        <v>41318</v>
      </c>
      <c r="B2391">
        <v>1.567644</v>
      </c>
      <c r="C2391">
        <f t="shared" si="39"/>
        <v>1.2544070308109427E-3</v>
      </c>
      <c r="D2391">
        <f>(C2391-meanrtn)/stdevrtns</f>
        <v>0.21593026158698345</v>
      </c>
    </row>
    <row r="2392" spans="1:4" x14ac:dyDescent="0.3">
      <c r="A2392" s="1">
        <v>41319</v>
      </c>
      <c r="B2392">
        <v>1.553302</v>
      </c>
      <c r="C2392">
        <f t="shared" si="39"/>
        <v>-9.1487608155933851E-3</v>
      </c>
      <c r="D2392">
        <f>(C2392-meanrtn)/stdevrtns</f>
        <v>-1.5082934380901776</v>
      </c>
    </row>
    <row r="2393" spans="1:4" x14ac:dyDescent="0.3">
      <c r="A2393" s="1">
        <v>41320</v>
      </c>
      <c r="B2393">
        <v>1.548659</v>
      </c>
      <c r="C2393">
        <f t="shared" si="39"/>
        <v>-2.9891160894661519E-3</v>
      </c>
      <c r="D2393">
        <f>(C2393-meanrtn)/stdevrtns</f>
        <v>-0.48739234573196516</v>
      </c>
    </row>
    <row r="2394" spans="1:4" x14ac:dyDescent="0.3">
      <c r="A2394" s="1">
        <v>41323</v>
      </c>
      <c r="B2394">
        <v>1.5480119999999999</v>
      </c>
      <c r="C2394">
        <f t="shared" si="39"/>
        <v>-4.1778080261701525E-4</v>
      </c>
      <c r="D2394">
        <f>(C2394-meanrtn)/stdevrtns</f>
        <v>-6.1218577620184254E-2</v>
      </c>
    </row>
    <row r="2395" spans="1:4" x14ac:dyDescent="0.3">
      <c r="A2395" s="1">
        <v>41324</v>
      </c>
      <c r="B2395">
        <v>1.5477479999999999</v>
      </c>
      <c r="C2395">
        <f t="shared" si="39"/>
        <v>-1.7054131363325478E-4</v>
      </c>
      <c r="D2395">
        <f>(C2395-meanrtn)/stdevrtns</f>
        <v>-2.0241041479669895E-2</v>
      </c>
    </row>
    <row r="2396" spans="1:4" x14ac:dyDescent="0.3">
      <c r="A2396" s="1">
        <v>41325</v>
      </c>
      <c r="B2396">
        <v>1.542734</v>
      </c>
      <c r="C2396">
        <f t="shared" si="39"/>
        <v>-3.2395454557200862E-3</v>
      </c>
      <c r="D2396">
        <f>(C2396-meanrtn)/stdevrtns</f>
        <v>-0.52889857294711173</v>
      </c>
    </row>
    <row r="2397" spans="1:4" x14ac:dyDescent="0.3">
      <c r="A2397" s="1">
        <v>41326</v>
      </c>
      <c r="B2397">
        <v>1.5229969999999999</v>
      </c>
      <c r="C2397">
        <f t="shared" si="39"/>
        <v>-1.27935211125185E-2</v>
      </c>
      <c r="D2397">
        <f>(C2397-meanrtn)/stdevrtns</f>
        <v>-2.1123769419214398</v>
      </c>
    </row>
    <row r="2398" spans="1:4" x14ac:dyDescent="0.3">
      <c r="A2398" s="1">
        <v>41327</v>
      </c>
      <c r="B2398">
        <v>1.5262519999999999</v>
      </c>
      <c r="C2398">
        <f t="shared" si="39"/>
        <v>2.1372333629022305E-3</v>
      </c>
      <c r="D2398">
        <f>(C2398-meanrtn)/stdevrtns</f>
        <v>0.36225012366793374</v>
      </c>
    </row>
    <row r="2399" spans="1:4" x14ac:dyDescent="0.3">
      <c r="A2399" s="1">
        <v>41330</v>
      </c>
      <c r="B2399">
        <v>1.50973</v>
      </c>
      <c r="C2399">
        <f t="shared" si="39"/>
        <v>-1.0825211039854446E-2</v>
      </c>
      <c r="D2399">
        <f>(C2399-meanrtn)/stdevrtns</f>
        <v>-1.7861487270442138</v>
      </c>
    </row>
    <row r="2400" spans="1:4" x14ac:dyDescent="0.3">
      <c r="A2400" s="1">
        <v>41331</v>
      </c>
      <c r="B2400">
        <v>1.5164150000000001</v>
      </c>
      <c r="C2400">
        <f t="shared" si="39"/>
        <v>4.4279440694694099E-3</v>
      </c>
      <c r="D2400">
        <f>(C2400-meanrtn)/stdevrtns</f>
        <v>0.74191310206854566</v>
      </c>
    </row>
    <row r="2401" spans="1:4" x14ac:dyDescent="0.3">
      <c r="A2401" s="1">
        <v>41332</v>
      </c>
      <c r="B2401">
        <v>1.5129969999999999</v>
      </c>
      <c r="C2401">
        <f t="shared" si="39"/>
        <v>-2.254000389075644E-3</v>
      </c>
      <c r="D2401">
        <f>(C2401-meanrtn)/stdevrtns</f>
        <v>-0.36555408152899166</v>
      </c>
    </row>
    <row r="2402" spans="1:4" x14ac:dyDescent="0.3">
      <c r="A2402" s="1">
        <v>41333</v>
      </c>
      <c r="B2402">
        <v>1.5167600000000001</v>
      </c>
      <c r="C2402">
        <f t="shared" si="39"/>
        <v>2.4871166301057989E-3</v>
      </c>
      <c r="D2402">
        <f>(C2402-meanrtn)/stdevrtns</f>
        <v>0.42023986586375744</v>
      </c>
    </row>
    <row r="2403" spans="1:4" x14ac:dyDescent="0.3">
      <c r="A2403" s="1">
        <v>41334</v>
      </c>
      <c r="B2403">
        <v>1.5165299999999999</v>
      </c>
      <c r="C2403">
        <f t="shared" si="39"/>
        <v>-1.5163902001646569E-4</v>
      </c>
      <c r="D2403">
        <f>(C2403-meanrtn)/stdevrtns</f>
        <v>-1.710817050099114E-2</v>
      </c>
    </row>
    <row r="2404" spans="1:4" x14ac:dyDescent="0.3">
      <c r="A2404" s="1">
        <v>41337</v>
      </c>
      <c r="B2404">
        <v>1.503601</v>
      </c>
      <c r="C2404">
        <f t="shared" si="39"/>
        <v>-8.5253836059952445E-3</v>
      </c>
      <c r="D2404">
        <f>(C2404-meanrtn)/stdevrtns</f>
        <v>-1.4049747399304406</v>
      </c>
    </row>
    <row r="2405" spans="1:4" x14ac:dyDescent="0.3">
      <c r="A2405" s="1">
        <v>41338</v>
      </c>
      <c r="B2405">
        <v>1.512859</v>
      </c>
      <c r="C2405">
        <f t="shared" si="39"/>
        <v>6.1572185706181282E-3</v>
      </c>
      <c r="D2405">
        <f>(C2405-meanrtn)/stdevrtns</f>
        <v>1.0285235001847866</v>
      </c>
    </row>
    <row r="2406" spans="1:4" x14ac:dyDescent="0.3">
      <c r="A2406" s="1">
        <v>41339</v>
      </c>
      <c r="B2406">
        <v>1.5137750000000001</v>
      </c>
      <c r="C2406">
        <f t="shared" si="39"/>
        <v>6.0547612170079232E-4</v>
      </c>
      <c r="D2406">
        <f>(C2406-meanrtn)/stdevrtns</f>
        <v>0.10837628673426628</v>
      </c>
    </row>
    <row r="2407" spans="1:4" x14ac:dyDescent="0.3">
      <c r="A2407" s="1">
        <v>41340</v>
      </c>
      <c r="B2407">
        <v>1.4996780000000001</v>
      </c>
      <c r="C2407">
        <f t="shared" si="39"/>
        <v>-9.3124803884329088E-3</v>
      </c>
      <c r="D2407">
        <f>(C2407-meanrtn)/stdevrtns</f>
        <v>-1.5354283619670905</v>
      </c>
    </row>
    <row r="2408" spans="1:4" x14ac:dyDescent="0.3">
      <c r="A2408" s="1">
        <v>41341</v>
      </c>
      <c r="B2408">
        <v>1.5026299999999999</v>
      </c>
      <c r="C2408">
        <f t="shared" si="39"/>
        <v>1.9684225547083063E-3</v>
      </c>
      <c r="D2408">
        <f>(C2408-meanrtn)/stdevrtns</f>
        <v>0.33427137714119942</v>
      </c>
    </row>
    <row r="2409" spans="1:4" x14ac:dyDescent="0.3">
      <c r="A2409" s="1">
        <v>41344</v>
      </c>
      <c r="B2409">
        <v>1.4910019999999999</v>
      </c>
      <c r="C2409">
        <f t="shared" si="39"/>
        <v>-7.7384319493155147E-3</v>
      </c>
      <c r="D2409">
        <f>(C2409-meanrtn)/stdevrtns</f>
        <v>-1.2745451710740294</v>
      </c>
    </row>
    <row r="2410" spans="1:4" x14ac:dyDescent="0.3">
      <c r="A2410" s="1">
        <v>41345</v>
      </c>
      <c r="B2410">
        <v>1.4905349999999999</v>
      </c>
      <c r="C2410">
        <f t="shared" si="39"/>
        <v>-3.1321218885017941E-4</v>
      </c>
      <c r="D2410">
        <f>(C2410-meanrtn)/stdevrtns</f>
        <v>-4.3887348828996073E-2</v>
      </c>
    </row>
    <row r="2411" spans="1:4" x14ac:dyDescent="0.3">
      <c r="A2411" s="1">
        <v>41346</v>
      </c>
      <c r="B2411">
        <v>1.4905349999999999</v>
      </c>
      <c r="C2411">
        <f t="shared" si="39"/>
        <v>0</v>
      </c>
      <c r="D2411">
        <f>(C2411-meanrtn)/stdevrtns</f>
        <v>8.0245194611897972E-3</v>
      </c>
    </row>
    <row r="2412" spans="1:4" x14ac:dyDescent="0.3">
      <c r="A2412" s="1">
        <v>41347</v>
      </c>
      <c r="B2412">
        <v>1.492537</v>
      </c>
      <c r="C2412">
        <f t="shared" si="39"/>
        <v>1.3431418920052593E-3</v>
      </c>
      <c r="D2412">
        <f>(C2412-meanrtn)/stdevrtns</f>
        <v>0.23063720017700967</v>
      </c>
    </row>
    <row r="2413" spans="1:4" x14ac:dyDescent="0.3">
      <c r="A2413" s="1">
        <v>41348</v>
      </c>
      <c r="B2413">
        <v>1.509001</v>
      </c>
      <c r="C2413">
        <f t="shared" si="39"/>
        <v>1.1030882316485309E-2</v>
      </c>
      <c r="D2413">
        <f>(C2413-meanrtn)/stdevrtns</f>
        <v>1.8362857759598534</v>
      </c>
    </row>
    <row r="2414" spans="1:4" x14ac:dyDescent="0.3">
      <c r="A2414" s="1">
        <v>41351</v>
      </c>
      <c r="B2414">
        <v>1.5107569999999999</v>
      </c>
      <c r="C2414">
        <f t="shared" si="39"/>
        <v>1.1636837881484961E-3</v>
      </c>
      <c r="D2414">
        <f>(C2414-meanrtn)/stdevrtns</f>
        <v>0.20089376814386181</v>
      </c>
    </row>
    <row r="2415" spans="1:4" x14ac:dyDescent="0.3">
      <c r="A2415" s="1">
        <v>41352</v>
      </c>
      <c r="B2415">
        <v>1.50989</v>
      </c>
      <c r="C2415">
        <f t="shared" si="39"/>
        <v>-5.7388448307699462E-4</v>
      </c>
      <c r="D2415">
        <f>(C2415-meanrtn)/stdevrtns</f>
        <v>-8.7091241546197573E-2</v>
      </c>
    </row>
    <row r="2416" spans="1:4" x14ac:dyDescent="0.3">
      <c r="A2416" s="1">
        <v>41353</v>
      </c>
      <c r="B2416">
        <v>1.5096620000000001</v>
      </c>
      <c r="C2416">
        <f t="shared" si="39"/>
        <v>-1.510043778022869E-4</v>
      </c>
      <c r="D2416">
        <f>(C2416-meanrtn)/stdevrtns</f>
        <v>-1.7002984738090962E-2</v>
      </c>
    </row>
    <row r="2417" spans="1:4" x14ac:dyDescent="0.3">
      <c r="A2417" s="1">
        <v>41354</v>
      </c>
      <c r="B2417">
        <v>1.5096620000000001</v>
      </c>
      <c r="C2417">
        <f t="shared" si="39"/>
        <v>0</v>
      </c>
      <c r="D2417">
        <f>(C2417-meanrtn)/stdevrtns</f>
        <v>8.0245194611897972E-3</v>
      </c>
    </row>
    <row r="2418" spans="1:4" x14ac:dyDescent="0.3">
      <c r="A2418" s="1">
        <v>41355</v>
      </c>
      <c r="B2418">
        <v>1.518211</v>
      </c>
      <c r="C2418">
        <f t="shared" si="39"/>
        <v>5.6628569838811059E-3</v>
      </c>
      <c r="D2418">
        <f>(C2418-meanrtn)/stdevrtns</f>
        <v>0.94658788435632568</v>
      </c>
    </row>
    <row r="2419" spans="1:4" x14ac:dyDescent="0.3">
      <c r="A2419" s="1">
        <v>41358</v>
      </c>
      <c r="B2419">
        <v>1.524599</v>
      </c>
      <c r="C2419">
        <f t="shared" si="39"/>
        <v>4.2075837943474654E-3</v>
      </c>
      <c r="D2419">
        <f>(C2419-meanrtn)/stdevrtns</f>
        <v>0.70539053370837446</v>
      </c>
    </row>
    <row r="2420" spans="1:4" x14ac:dyDescent="0.3">
      <c r="A2420" s="1">
        <v>41359</v>
      </c>
      <c r="B2420">
        <v>1.517911</v>
      </c>
      <c r="C2420">
        <f t="shared" si="39"/>
        <v>-4.3867272640215737E-3</v>
      </c>
      <c r="D2420">
        <f>(C2420-meanrtn)/stdevrtns</f>
        <v>-0.7190327792692357</v>
      </c>
    </row>
    <row r="2421" spans="1:4" x14ac:dyDescent="0.3">
      <c r="A2421" s="1">
        <v>41360</v>
      </c>
      <c r="B2421">
        <v>1.5163</v>
      </c>
      <c r="C2421">
        <f t="shared" si="39"/>
        <v>-1.0613270475014866E-3</v>
      </c>
      <c r="D2421">
        <f>(C2421-meanrtn)/stdevrtns</f>
        <v>-0.16788009684690397</v>
      </c>
    </row>
    <row r="2422" spans="1:4" x14ac:dyDescent="0.3">
      <c r="A2422" s="1">
        <v>41361</v>
      </c>
      <c r="B2422">
        <v>1.5129049999999999</v>
      </c>
      <c r="C2422">
        <f t="shared" si="39"/>
        <v>-2.2390028358504495E-3</v>
      </c>
      <c r="D2422">
        <f>(C2422-meanrtn)/stdevrtns</f>
        <v>-0.36306838322152968</v>
      </c>
    </row>
    <row r="2423" spans="1:4" x14ac:dyDescent="0.3">
      <c r="A2423" s="1">
        <v>41362</v>
      </c>
      <c r="B2423">
        <v>1.519757</v>
      </c>
      <c r="C2423">
        <f t="shared" si="39"/>
        <v>4.5290352004918226E-3</v>
      </c>
      <c r="D2423">
        <f>(C2423-meanrtn)/stdevrtns</f>
        <v>0.75866797198023872</v>
      </c>
    </row>
    <row r="2424" spans="1:4" x14ac:dyDescent="0.3">
      <c r="A2424" s="1">
        <v>41365</v>
      </c>
      <c r="B2424">
        <v>1.519595</v>
      </c>
      <c r="C2424">
        <f t="shared" si="39"/>
        <v>-1.0659598870082223E-4</v>
      </c>
      <c r="D2424">
        <f>(C2424-meanrtn)/stdevrtns</f>
        <v>-9.6427269700981675E-3</v>
      </c>
    </row>
    <row r="2425" spans="1:4" x14ac:dyDescent="0.3">
      <c r="A2425" s="1">
        <v>41366</v>
      </c>
      <c r="B2425">
        <v>1.522302</v>
      </c>
      <c r="C2425">
        <f t="shared" si="39"/>
        <v>1.7813957008281909E-3</v>
      </c>
      <c r="D2425">
        <f>(C2425-meanrtn)/stdevrtns</f>
        <v>0.30327349854332497</v>
      </c>
    </row>
    <row r="2426" spans="1:4" x14ac:dyDescent="0.3">
      <c r="A2426" s="1">
        <v>41367</v>
      </c>
      <c r="B2426">
        <v>1.510802</v>
      </c>
      <c r="C2426">
        <f t="shared" si="39"/>
        <v>-7.554348611510768E-3</v>
      </c>
      <c r="D2426">
        <f>(C2426-meanrtn)/stdevrtns</f>
        <v>-1.2440351515833485</v>
      </c>
    </row>
    <row r="2427" spans="1:4" x14ac:dyDescent="0.3">
      <c r="A2427" s="1">
        <v>41368</v>
      </c>
      <c r="B2427">
        <v>1.514005</v>
      </c>
      <c r="C2427">
        <f t="shared" si="39"/>
        <v>2.1200660311543585E-3</v>
      </c>
      <c r="D2427">
        <f>(C2427-meanrtn)/stdevrtns</f>
        <v>0.35940480571315986</v>
      </c>
    </row>
    <row r="2428" spans="1:4" x14ac:dyDescent="0.3">
      <c r="A2428" s="1">
        <v>41369</v>
      </c>
      <c r="B2428">
        <v>1.522626</v>
      </c>
      <c r="C2428">
        <f t="shared" si="39"/>
        <v>5.6941687775139381E-3</v>
      </c>
      <c r="D2428">
        <f>(C2428-meanrtn)/stdevrtns</f>
        <v>0.95177750904163638</v>
      </c>
    </row>
    <row r="2429" spans="1:4" x14ac:dyDescent="0.3">
      <c r="A2429" s="1">
        <v>41372</v>
      </c>
      <c r="B2429">
        <v>1.5349200000000001</v>
      </c>
      <c r="C2429">
        <f t="shared" si="39"/>
        <v>8.0742086369207065E-3</v>
      </c>
      <c r="D2429">
        <f>(C2429-meanrtn)/stdevrtns</f>
        <v>1.3462459240815636</v>
      </c>
    </row>
    <row r="2430" spans="1:4" x14ac:dyDescent="0.3">
      <c r="A2430" s="1">
        <v>41373</v>
      </c>
      <c r="B2430">
        <v>1.5262519999999999</v>
      </c>
      <c r="C2430">
        <f t="shared" si="39"/>
        <v>-5.6471998540641331E-3</v>
      </c>
      <c r="D2430">
        <f>(C2430-meanrtn)/stdevrtns</f>
        <v>-0.92794382873346315</v>
      </c>
    </row>
    <row r="2431" spans="1:4" x14ac:dyDescent="0.3">
      <c r="A2431" s="1">
        <v>41374</v>
      </c>
      <c r="B2431">
        <v>1.532332</v>
      </c>
      <c r="C2431">
        <f t="shared" si="39"/>
        <v>3.9836147634860338E-3</v>
      </c>
      <c r="D2431">
        <f>(C2431-meanrtn)/stdevrtns</f>
        <v>0.66826984924893074</v>
      </c>
    </row>
    <row r="2432" spans="1:4" x14ac:dyDescent="0.3">
      <c r="A2432" s="1">
        <v>41375</v>
      </c>
      <c r="B2432">
        <v>1.532567</v>
      </c>
      <c r="C2432">
        <f t="shared" si="39"/>
        <v>1.5336102097977803E-4</v>
      </c>
      <c r="D2432">
        <f>(C2432-meanrtn)/stdevrtns</f>
        <v>3.344261430346563E-2</v>
      </c>
    </row>
    <row r="2433" spans="1:4" x14ac:dyDescent="0.3">
      <c r="A2433" s="1">
        <v>41376</v>
      </c>
      <c r="B2433">
        <v>1.539172</v>
      </c>
      <c r="C2433">
        <f t="shared" si="39"/>
        <v>4.3097626400672674E-3</v>
      </c>
      <c r="D2433">
        <f>(C2433-meanrtn)/stdevrtns</f>
        <v>0.72232568173221723</v>
      </c>
    </row>
    <row r="2434" spans="1:4" x14ac:dyDescent="0.3">
      <c r="A2434" s="1">
        <v>41379</v>
      </c>
      <c r="B2434">
        <v>1.535391</v>
      </c>
      <c r="C2434">
        <f t="shared" si="39"/>
        <v>-2.4565155811046681E-3</v>
      </c>
      <c r="D2434">
        <f>(C2434-meanrtn)/stdevrtns</f>
        <v>-0.39911900125311234</v>
      </c>
    </row>
    <row r="2435" spans="1:4" x14ac:dyDescent="0.3">
      <c r="A2435" s="1">
        <v>41380</v>
      </c>
      <c r="B2435">
        <v>1.52973</v>
      </c>
      <c r="C2435">
        <f t="shared" si="39"/>
        <v>-3.6870087163464655E-3</v>
      </c>
      <c r="D2435">
        <f>(C2435-meanrtn)/stdevrtns</f>
        <v>-0.60306124821082829</v>
      </c>
    </row>
    <row r="2436" spans="1:4" x14ac:dyDescent="0.3">
      <c r="A2436" s="1">
        <v>41381</v>
      </c>
      <c r="B2436">
        <v>1.536098</v>
      </c>
      <c r="C2436">
        <f t="shared" ref="C2436:C2499" si="40">(B2436-B2435)/B2435</f>
        <v>4.1628261196419818E-3</v>
      </c>
      <c r="D2436">
        <f>(C2436-meanrtn)/stdevrtns</f>
        <v>0.69797238525503491</v>
      </c>
    </row>
    <row r="2437" spans="1:4" x14ac:dyDescent="0.3">
      <c r="A2437" s="1">
        <v>41382</v>
      </c>
      <c r="B2437">
        <v>1.5243899999999999</v>
      </c>
      <c r="C2437">
        <f t="shared" si="40"/>
        <v>-7.6219095396257612E-3</v>
      </c>
      <c r="D2437">
        <f>(C2437-meanrtn)/stdevrtns</f>
        <v>-1.2552327170891593</v>
      </c>
    </row>
    <row r="2438" spans="1:4" x14ac:dyDescent="0.3">
      <c r="A2438" s="1">
        <v>41383</v>
      </c>
      <c r="B2438">
        <v>1.528351</v>
      </c>
      <c r="C2438">
        <f t="shared" si="40"/>
        <v>2.5984164157466945E-3</v>
      </c>
      <c r="D2438">
        <f>(C2438-meanrtn)/stdevrtns</f>
        <v>0.43868672080298149</v>
      </c>
    </row>
    <row r="2439" spans="1:4" x14ac:dyDescent="0.3">
      <c r="A2439" s="1">
        <v>41386</v>
      </c>
      <c r="B2439">
        <v>1.5225340000000001</v>
      </c>
      <c r="C2439">
        <f t="shared" si="40"/>
        <v>-3.8060628743004461E-3</v>
      </c>
      <c r="D2439">
        <f>(C2439-meanrtn)/stdevrtns</f>
        <v>-0.62279331480055566</v>
      </c>
    </row>
    <row r="2440" spans="1:4" x14ac:dyDescent="0.3">
      <c r="A2440" s="1">
        <v>41387</v>
      </c>
      <c r="B2440">
        <v>1.5299879999999999</v>
      </c>
      <c r="C2440">
        <f t="shared" si="40"/>
        <v>4.8957855785157177E-3</v>
      </c>
      <c r="D2440">
        <f>(C2440-meanrtn)/stdevrtns</f>
        <v>0.81945327343751762</v>
      </c>
    </row>
    <row r="2441" spans="1:4" x14ac:dyDescent="0.3">
      <c r="A2441" s="1">
        <v>41388</v>
      </c>
      <c r="B2441">
        <v>1.5229969999999999</v>
      </c>
      <c r="C2441">
        <f t="shared" si="40"/>
        <v>-4.5693168835310933E-3</v>
      </c>
      <c r="D2441">
        <f>(C2441-meanrtn)/stdevrtns</f>
        <v>-0.74929522950761795</v>
      </c>
    </row>
    <row r="2442" spans="1:4" x14ac:dyDescent="0.3">
      <c r="A2442" s="1">
        <v>41389</v>
      </c>
      <c r="B2442">
        <v>1.5279769999999999</v>
      </c>
      <c r="C2442">
        <f t="shared" si="40"/>
        <v>3.2698685552236704E-3</v>
      </c>
      <c r="D2442">
        <f>(C2442-meanrtn)/stdevrtns</f>
        <v>0.54997337013694247</v>
      </c>
    </row>
    <row r="2443" spans="1:4" x14ac:dyDescent="0.3">
      <c r="A2443" s="1">
        <v>41390</v>
      </c>
      <c r="B2443">
        <v>1.5436859999999999</v>
      </c>
      <c r="C2443">
        <f t="shared" si="40"/>
        <v>1.0280913914280106E-2</v>
      </c>
      <c r="D2443">
        <f>(C2443-meanrtn)/stdevrtns</f>
        <v>1.7119858211592427</v>
      </c>
    </row>
    <row r="2444" spans="1:4" x14ac:dyDescent="0.3">
      <c r="A2444" s="1">
        <v>41393</v>
      </c>
      <c r="B2444">
        <v>1.5491870000000001</v>
      </c>
      <c r="C2444">
        <f t="shared" si="40"/>
        <v>3.5635485454944857E-3</v>
      </c>
      <c r="D2444">
        <f>(C2444-meanrtn)/stdevrtns</f>
        <v>0.59864796683884181</v>
      </c>
    </row>
    <row r="2445" spans="1:4" x14ac:dyDescent="0.3">
      <c r="A2445" s="1">
        <v>41394</v>
      </c>
      <c r="B2445">
        <v>1.5494270000000001</v>
      </c>
      <c r="C2445">
        <f t="shared" si="40"/>
        <v>1.5491996769919833E-4</v>
      </c>
      <c r="D2445">
        <f>(C2445-meanrtn)/stdevrtns</f>
        <v>3.3700994531473537E-2</v>
      </c>
    </row>
    <row r="2446" spans="1:4" x14ac:dyDescent="0.3">
      <c r="A2446" s="1">
        <v>41395</v>
      </c>
      <c r="B2446">
        <v>1.55376</v>
      </c>
      <c r="C2446">
        <f t="shared" si="40"/>
        <v>2.7965176804069635E-3</v>
      </c>
      <c r="D2446">
        <f>(C2446-meanrtn)/stdevrtns</f>
        <v>0.47152007507605626</v>
      </c>
    </row>
    <row r="2447" spans="1:4" x14ac:dyDescent="0.3">
      <c r="A2447" s="1">
        <v>41396</v>
      </c>
      <c r="B2447">
        <v>1.557196</v>
      </c>
      <c r="C2447">
        <f t="shared" si="40"/>
        <v>2.2114097415302202E-3</v>
      </c>
      <c r="D2447">
        <f>(C2447-meanrtn)/stdevrtns</f>
        <v>0.37454413563379968</v>
      </c>
    </row>
    <row r="2448" spans="1:4" x14ac:dyDescent="0.3">
      <c r="A2448" s="1">
        <v>41397</v>
      </c>
      <c r="B2448">
        <v>1.553712</v>
      </c>
      <c r="C2448">
        <f t="shared" si="40"/>
        <v>-2.237354835229504E-3</v>
      </c>
      <c r="D2448">
        <f>(C2448-meanrtn)/stdevrtns</f>
        <v>-0.36279524317710571</v>
      </c>
    </row>
    <row r="2449" spans="1:4" x14ac:dyDescent="0.3">
      <c r="A2449" s="1">
        <v>41400</v>
      </c>
      <c r="B2449">
        <v>1.5578749999999999</v>
      </c>
      <c r="C2449">
        <f t="shared" si="40"/>
        <v>2.6793897453324146E-3</v>
      </c>
      <c r="D2449">
        <f>(C2449-meanrtn)/stdevrtns</f>
        <v>0.45210726115903505</v>
      </c>
    </row>
    <row r="2450" spans="1:4" x14ac:dyDescent="0.3">
      <c r="A2450" s="1">
        <v>41401</v>
      </c>
      <c r="B2450">
        <v>1.55376</v>
      </c>
      <c r="C2450">
        <f t="shared" si="40"/>
        <v>-2.6414185990531135E-3</v>
      </c>
      <c r="D2450">
        <f>(C2450-meanrtn)/stdevrtns</f>
        <v>-0.42976487474045916</v>
      </c>
    </row>
    <row r="2451" spans="1:4" x14ac:dyDescent="0.3">
      <c r="A2451" s="1">
        <v>41402</v>
      </c>
      <c r="B2451">
        <v>1.5479879999999999</v>
      </c>
      <c r="C2451">
        <f t="shared" si="40"/>
        <v>-3.714859437751075E-3</v>
      </c>
      <c r="D2451">
        <f>(C2451-meanrtn)/stdevrtns</f>
        <v>-0.60767723389979622</v>
      </c>
    </row>
    <row r="2452" spans="1:4" x14ac:dyDescent="0.3">
      <c r="A2452" s="1">
        <v>41403</v>
      </c>
      <c r="B2452">
        <v>1.5542910000000001</v>
      </c>
      <c r="C2452">
        <f t="shared" si="40"/>
        <v>4.0717369902093358E-3</v>
      </c>
      <c r="D2452">
        <f>(C2452-meanrtn)/stdevrtns</f>
        <v>0.68287524964503776</v>
      </c>
    </row>
    <row r="2453" spans="1:4" x14ac:dyDescent="0.3">
      <c r="A2453" s="1">
        <v>41404</v>
      </c>
      <c r="B2453">
        <v>1.544592</v>
      </c>
      <c r="C2453">
        <f t="shared" si="40"/>
        <v>-6.2401442200978605E-3</v>
      </c>
      <c r="D2453">
        <f>(C2453-meanrtn)/stdevrtns</f>
        <v>-1.0262185796170382</v>
      </c>
    </row>
    <row r="2454" spans="1:4" x14ac:dyDescent="0.3">
      <c r="A2454" s="1">
        <v>41407</v>
      </c>
      <c r="B2454">
        <v>1.534189</v>
      </c>
      <c r="C2454">
        <f t="shared" si="40"/>
        <v>-6.735111925997247E-3</v>
      </c>
      <c r="D2454">
        <f>(C2454-meanrtn)/stdevrtns</f>
        <v>-1.108254653790496</v>
      </c>
    </row>
    <row r="2455" spans="1:4" x14ac:dyDescent="0.3">
      <c r="A2455" s="1">
        <v>41408</v>
      </c>
      <c r="B2455">
        <v>1.5309010000000001</v>
      </c>
      <c r="C2455">
        <f t="shared" si="40"/>
        <v>-2.1431518541717856E-3</v>
      </c>
      <c r="D2455">
        <f>(C2455-meanrtn)/stdevrtns</f>
        <v>-0.34718201700234042</v>
      </c>
    </row>
    <row r="2456" spans="1:4" x14ac:dyDescent="0.3">
      <c r="A2456" s="1">
        <v>41409</v>
      </c>
      <c r="B2456">
        <v>1.5227189999999999</v>
      </c>
      <c r="C2456">
        <f t="shared" si="40"/>
        <v>-5.3445650633190088E-3</v>
      </c>
      <c r="D2456">
        <f>(C2456-meanrtn)/stdevrtns</f>
        <v>-0.87778506111058607</v>
      </c>
    </row>
    <row r="2457" spans="1:4" x14ac:dyDescent="0.3">
      <c r="A2457" s="1">
        <v>41410</v>
      </c>
      <c r="B2457">
        <v>1.523995</v>
      </c>
      <c r="C2457">
        <f t="shared" si="40"/>
        <v>8.3797470183274449E-4</v>
      </c>
      <c r="D2457">
        <f>(C2457-meanrtn)/stdevrtns</f>
        <v>0.1469106608714055</v>
      </c>
    </row>
    <row r="2458" spans="1:4" x14ac:dyDescent="0.3">
      <c r="A2458" s="1">
        <v>41411</v>
      </c>
      <c r="B2458">
        <v>1.5276970000000001</v>
      </c>
      <c r="C2458">
        <f t="shared" si="40"/>
        <v>2.4291418278931977E-3</v>
      </c>
      <c r="D2458">
        <f>(C2458-meanrtn)/stdevrtns</f>
        <v>0.41063110731684882</v>
      </c>
    </row>
    <row r="2459" spans="1:4" x14ac:dyDescent="0.3">
      <c r="A2459" s="1">
        <v>41414</v>
      </c>
      <c r="B2459">
        <v>1.518119</v>
      </c>
      <c r="C2459">
        <f t="shared" si="40"/>
        <v>-6.2695678527876185E-3</v>
      </c>
      <c r="D2459">
        <f>(C2459-meanrtn)/stdevrtns</f>
        <v>-1.0310952600247094</v>
      </c>
    </row>
    <row r="2460" spans="1:4" x14ac:dyDescent="0.3">
      <c r="A2460" s="1">
        <v>41415</v>
      </c>
      <c r="B2460">
        <v>1.5262279999999999</v>
      </c>
      <c r="C2460">
        <f t="shared" si="40"/>
        <v>5.3414785006971931E-3</v>
      </c>
      <c r="D2460">
        <f>(C2460-meanrtn)/stdevrtns</f>
        <v>0.89332253235457704</v>
      </c>
    </row>
    <row r="2461" spans="1:4" x14ac:dyDescent="0.3">
      <c r="A2461" s="1">
        <v>41416</v>
      </c>
      <c r="B2461">
        <v>1.5160009999999999</v>
      </c>
      <c r="C2461">
        <f t="shared" si="40"/>
        <v>-6.7008336893308118E-3</v>
      </c>
      <c r="D2461">
        <f>(C2461-meanrtn)/stdevrtns</f>
        <v>-1.10257337007807</v>
      </c>
    </row>
    <row r="2462" spans="1:4" x14ac:dyDescent="0.3">
      <c r="A2462" s="1">
        <v>41417</v>
      </c>
      <c r="B2462">
        <v>1.503511</v>
      </c>
      <c r="C2462">
        <f t="shared" si="40"/>
        <v>-8.2387808451312959E-3</v>
      </c>
      <c r="D2462">
        <f>(C2462-meanrtn)/stdevrtns</f>
        <v>-1.3574731250405754</v>
      </c>
    </row>
    <row r="2463" spans="1:4" x14ac:dyDescent="0.3">
      <c r="A2463" s="1">
        <v>41418</v>
      </c>
      <c r="B2463">
        <v>1.5095019999999999</v>
      </c>
      <c r="C2463">
        <f t="shared" si="40"/>
        <v>3.9846732082438087E-3</v>
      </c>
      <c r="D2463">
        <f>(C2463-meanrtn)/stdevrtns</f>
        <v>0.66844527615380234</v>
      </c>
    </row>
    <row r="2464" spans="1:4" x14ac:dyDescent="0.3">
      <c r="A2464" s="1">
        <v>41421</v>
      </c>
      <c r="B2464">
        <v>1.5131110000000001</v>
      </c>
      <c r="C2464">
        <f t="shared" si="40"/>
        <v>2.3908547322230747E-3</v>
      </c>
      <c r="D2464">
        <f>(C2464-meanrtn)/stdevrtns</f>
        <v>0.40428539428780735</v>
      </c>
    </row>
    <row r="2465" spans="1:4" x14ac:dyDescent="0.3">
      <c r="A2465" s="1">
        <v>41422</v>
      </c>
      <c r="B2465">
        <v>1.510894</v>
      </c>
      <c r="C2465">
        <f t="shared" si="40"/>
        <v>-1.4651932343364997E-3</v>
      </c>
      <c r="D2465">
        <f>(C2465-meanrtn)/stdevrtns</f>
        <v>-0.23481698194963324</v>
      </c>
    </row>
    <row r="2466" spans="1:4" x14ac:dyDescent="0.3">
      <c r="A2466" s="1">
        <v>41423</v>
      </c>
      <c r="B2466">
        <v>1.502607</v>
      </c>
      <c r="C2466">
        <f t="shared" si="40"/>
        <v>-5.4848321589733851E-3</v>
      </c>
      <c r="D2466">
        <f>(C2466-meanrtn)/stdevrtns</f>
        <v>-0.90103296542040168</v>
      </c>
    </row>
    <row r="2467" spans="1:4" x14ac:dyDescent="0.3">
      <c r="A2467" s="1">
        <v>41424</v>
      </c>
      <c r="B2467">
        <v>1.513134</v>
      </c>
      <c r="C2467">
        <f t="shared" si="40"/>
        <v>7.0058238780998311E-3</v>
      </c>
      <c r="D2467">
        <f>(C2467-meanrtn)/stdevrtns</f>
        <v>1.1691715608942463</v>
      </c>
    </row>
    <row r="2468" spans="1:4" x14ac:dyDescent="0.3">
      <c r="A2468" s="1">
        <v>41425</v>
      </c>
      <c r="B2468">
        <v>1.522905</v>
      </c>
      <c r="C2468">
        <f t="shared" si="40"/>
        <v>6.4574584934314963E-3</v>
      </c>
      <c r="D2468">
        <f>(C2468-meanrtn)/stdevrtns</f>
        <v>1.0782853417841198</v>
      </c>
    </row>
    <row r="2469" spans="1:4" x14ac:dyDescent="0.3">
      <c r="A2469" s="1">
        <v>41428</v>
      </c>
      <c r="B2469">
        <v>1.520913</v>
      </c>
      <c r="C2469">
        <f t="shared" si="40"/>
        <v>-1.3080264363174287E-3</v>
      </c>
      <c r="D2469">
        <f>(C2469-meanrtn)/stdevrtns</f>
        <v>-0.20876811664746289</v>
      </c>
    </row>
    <row r="2470" spans="1:4" x14ac:dyDescent="0.3">
      <c r="A2470" s="1">
        <v>41429</v>
      </c>
      <c r="B2470">
        <v>1.532144</v>
      </c>
      <c r="C2470">
        <f t="shared" si="40"/>
        <v>7.3843803031468543E-3</v>
      </c>
      <c r="D2470">
        <f>(C2470-meanrtn)/stdevrtns</f>
        <v>1.2319135996047663</v>
      </c>
    </row>
    <row r="2471" spans="1:4" x14ac:dyDescent="0.3">
      <c r="A2471" s="1">
        <v>41430</v>
      </c>
      <c r="B2471">
        <v>1.530386</v>
      </c>
      <c r="C2471">
        <f t="shared" si="40"/>
        <v>-1.1474117315343247E-3</v>
      </c>
      <c r="D2471">
        <f>(C2471-meanrtn)/stdevrtns</f>
        <v>-0.18214779439635201</v>
      </c>
    </row>
    <row r="2472" spans="1:4" x14ac:dyDescent="0.3">
      <c r="A2472" s="1">
        <v>41431</v>
      </c>
      <c r="B2472">
        <v>1.5403340000000001</v>
      </c>
      <c r="C2472">
        <f t="shared" si="40"/>
        <v>6.5003208340902669E-3</v>
      </c>
      <c r="D2472">
        <f>(C2472-meanrtn)/stdevrtns</f>
        <v>1.0853893570877884</v>
      </c>
    </row>
    <row r="2473" spans="1:4" x14ac:dyDescent="0.3">
      <c r="A2473" s="1">
        <v>41432</v>
      </c>
      <c r="B2473">
        <v>1.560257</v>
      </c>
      <c r="C2473">
        <f t="shared" si="40"/>
        <v>1.2934207775716118E-2</v>
      </c>
      <c r="D2473">
        <f>(C2473-meanrtn)/stdevrtns</f>
        <v>2.1517434243855642</v>
      </c>
    </row>
    <row r="2474" spans="1:4" x14ac:dyDescent="0.3">
      <c r="A2474" s="1">
        <v>41435</v>
      </c>
      <c r="B2474">
        <v>1.5531090000000001</v>
      </c>
      <c r="C2474">
        <f t="shared" si="40"/>
        <v>-4.581296542813096E-3</v>
      </c>
      <c r="D2474">
        <f>(C2474-meanrtn)/stdevrtns</f>
        <v>-0.75128074130104971</v>
      </c>
    </row>
    <row r="2475" spans="1:4" x14ac:dyDescent="0.3">
      <c r="A2475" s="1">
        <v>41436</v>
      </c>
      <c r="B2475">
        <v>1.5531090000000001</v>
      </c>
      <c r="C2475">
        <f t="shared" si="40"/>
        <v>0</v>
      </c>
      <c r="D2475">
        <f>(C2475-meanrtn)/stdevrtns</f>
        <v>8.0245194611897972E-3</v>
      </c>
    </row>
    <row r="2476" spans="1:4" x14ac:dyDescent="0.3">
      <c r="A2476" s="1">
        <v>41437</v>
      </c>
      <c r="B2476">
        <v>1.5531090000000001</v>
      </c>
      <c r="C2476">
        <f t="shared" si="40"/>
        <v>0</v>
      </c>
      <c r="D2476">
        <f>(C2476-meanrtn)/stdevrtns</f>
        <v>8.0245194611897972E-3</v>
      </c>
    </row>
    <row r="2477" spans="1:4" x14ac:dyDescent="0.3">
      <c r="A2477" s="1">
        <v>41438</v>
      </c>
      <c r="B2477">
        <v>1.5681350000000001</v>
      </c>
      <c r="C2477">
        <f t="shared" si="40"/>
        <v>9.6747877966066667E-3</v>
      </c>
      <c r="D2477">
        <f>(C2477-meanrtn)/stdevrtns</f>
        <v>1.6115263233874106</v>
      </c>
    </row>
    <row r="2478" spans="1:4" x14ac:dyDescent="0.3">
      <c r="A2478" s="1">
        <v>41439</v>
      </c>
      <c r="B2478">
        <v>1.571388</v>
      </c>
      <c r="C2478">
        <f t="shared" si="40"/>
        <v>2.0744387441131982E-3</v>
      </c>
      <c r="D2478">
        <f>(C2478-meanrtn)/stdevrtns</f>
        <v>0.35184252748888484</v>
      </c>
    </row>
    <row r="2479" spans="1:4" x14ac:dyDescent="0.3">
      <c r="A2479" s="1">
        <v>41442</v>
      </c>
      <c r="B2479">
        <v>1.5723020000000001</v>
      </c>
      <c r="C2479">
        <f t="shared" si="40"/>
        <v>5.8165138081752018E-4</v>
      </c>
      <c r="D2479">
        <f>(C2479-meanrtn)/stdevrtns</f>
        <v>0.10442756808662823</v>
      </c>
    </row>
    <row r="2480" spans="1:4" x14ac:dyDescent="0.3">
      <c r="A2480" s="1">
        <v>41443</v>
      </c>
      <c r="B2480">
        <v>1.5717829999999999</v>
      </c>
      <c r="C2480">
        <f t="shared" si="40"/>
        <v>-3.3008925766179667E-4</v>
      </c>
      <c r="D2480">
        <f>(C2480-meanrtn)/stdevrtns</f>
        <v>-4.6684558530474707E-2</v>
      </c>
    </row>
    <row r="2481" spans="1:4" x14ac:dyDescent="0.3">
      <c r="A2481" s="1">
        <v>41444</v>
      </c>
      <c r="B2481">
        <v>1.5636969999999999</v>
      </c>
      <c r="C2481">
        <f t="shared" si="40"/>
        <v>-5.1444760504471918E-3</v>
      </c>
      <c r="D2481">
        <f>(C2481-meanrtn)/stdevrtns</f>
        <v>-0.84462225694052373</v>
      </c>
    </row>
    <row r="2482" spans="1:4" x14ac:dyDescent="0.3">
      <c r="A2482" s="1">
        <v>41445</v>
      </c>
      <c r="B2482">
        <v>1.548251</v>
      </c>
      <c r="C2482">
        <f t="shared" si="40"/>
        <v>-9.8778727592365081E-3</v>
      </c>
      <c r="D2482">
        <f>(C2482-meanrtn)/stdevrtns</f>
        <v>-1.6291366381142611</v>
      </c>
    </row>
    <row r="2483" spans="1:4" x14ac:dyDescent="0.3">
      <c r="A2483" s="1">
        <v>41446</v>
      </c>
      <c r="B2483">
        <v>1.5517110000000001</v>
      </c>
      <c r="C2483">
        <f t="shared" si="40"/>
        <v>2.2347797611627692E-3</v>
      </c>
      <c r="D2483">
        <f>(C2483-meanrtn)/stdevrtns</f>
        <v>0.37841748866503899</v>
      </c>
    </row>
    <row r="2484" spans="1:4" x14ac:dyDescent="0.3">
      <c r="A2484" s="1">
        <v>41449</v>
      </c>
      <c r="B2484">
        <v>1.5389109999999999</v>
      </c>
      <c r="C2484">
        <f t="shared" si="40"/>
        <v>-8.2489587300728969E-3</v>
      </c>
      <c r="D2484">
        <f>(C2484-meanrtn)/stdevrtns</f>
        <v>-1.35916001029399</v>
      </c>
    </row>
    <row r="2485" spans="1:4" x14ac:dyDescent="0.3">
      <c r="A2485" s="1">
        <v>41450</v>
      </c>
      <c r="B2485">
        <v>1.544735</v>
      </c>
      <c r="C2485">
        <f t="shared" si="40"/>
        <v>3.7844943599727675E-3</v>
      </c>
      <c r="D2485">
        <f>(C2485-meanrtn)/stdevrtns</f>
        <v>0.63526758264169547</v>
      </c>
    </row>
    <row r="2486" spans="1:4" x14ac:dyDescent="0.3">
      <c r="A2486" s="1">
        <v>41451</v>
      </c>
      <c r="B2486">
        <v>1.541687</v>
      </c>
      <c r="C2486">
        <f t="shared" si="40"/>
        <v>-1.9731539713931127E-3</v>
      </c>
      <c r="D2486">
        <f>(C2486-meanrtn)/stdevrtns</f>
        <v>-0.31900652443031224</v>
      </c>
    </row>
    <row r="2487" spans="1:4" x14ac:dyDescent="0.3">
      <c r="A2487" s="1">
        <v>41452</v>
      </c>
      <c r="B2487">
        <v>1.532591</v>
      </c>
      <c r="C2487">
        <f t="shared" si="40"/>
        <v>-5.9000302914923673E-3</v>
      </c>
      <c r="D2487">
        <f>(C2487-meanrtn)/stdevrtns</f>
        <v>-0.96984801009915922</v>
      </c>
    </row>
    <row r="2488" spans="1:4" x14ac:dyDescent="0.3">
      <c r="A2488" s="1">
        <v>41453</v>
      </c>
      <c r="B2488">
        <v>1.5258320000000001</v>
      </c>
      <c r="C2488">
        <f t="shared" si="40"/>
        <v>-4.4101785799342159E-3</v>
      </c>
      <c r="D2488">
        <f>(C2488-meanrtn)/stdevrtns</f>
        <v>-0.7229196063667308</v>
      </c>
    </row>
    <row r="2489" spans="1:4" x14ac:dyDescent="0.3">
      <c r="A2489" s="1">
        <v>41456</v>
      </c>
      <c r="B2489">
        <v>1.520473</v>
      </c>
      <c r="C2489">
        <f t="shared" si="40"/>
        <v>-3.5121822061669394E-3</v>
      </c>
      <c r="D2489">
        <f>(C2489-meanrtn)/stdevrtns</f>
        <v>-0.5740854576983665</v>
      </c>
    </row>
    <row r="2490" spans="1:4" x14ac:dyDescent="0.3">
      <c r="A2490" s="1">
        <v>41457</v>
      </c>
      <c r="B2490">
        <v>1.5216529999999999</v>
      </c>
      <c r="C2490">
        <f t="shared" si="40"/>
        <v>7.7607428740921998E-4</v>
      </c>
      <c r="D2490">
        <f>(C2490-meanrtn)/stdevrtns</f>
        <v>0.13665127035260616</v>
      </c>
    </row>
    <row r="2491" spans="1:4" x14ac:dyDescent="0.3">
      <c r="A2491" s="1">
        <v>41458</v>
      </c>
      <c r="B2491">
        <v>1.5152890000000001</v>
      </c>
      <c r="C2491">
        <f t="shared" si="40"/>
        <v>-4.1822938606895363E-3</v>
      </c>
      <c r="D2491">
        <f>(C2491-meanrtn)/stdevrtns</f>
        <v>-0.68514993471313346</v>
      </c>
    </row>
    <row r="2492" spans="1:4" x14ac:dyDescent="0.3">
      <c r="A2492" s="1">
        <v>41459</v>
      </c>
      <c r="B2492">
        <v>1.5274399999999999</v>
      </c>
      <c r="C2492">
        <f t="shared" si="40"/>
        <v>8.0189323620773328E-3</v>
      </c>
      <c r="D2492">
        <f>(C2492-meanrtn)/stdevrtns</f>
        <v>1.3370844201510319</v>
      </c>
    </row>
    <row r="2493" spans="1:4" x14ac:dyDescent="0.3">
      <c r="A2493" s="1">
        <v>41460</v>
      </c>
      <c r="B2493">
        <v>1.503895</v>
      </c>
      <c r="C2493">
        <f t="shared" si="40"/>
        <v>-1.5414680773058142E-2</v>
      </c>
      <c r="D2493">
        <f>(C2493-meanrtn)/stdevrtns</f>
        <v>-2.546808614472245</v>
      </c>
    </row>
    <row r="2494" spans="1:4" x14ac:dyDescent="0.3">
      <c r="A2494" s="1">
        <v>41463</v>
      </c>
      <c r="B2494">
        <v>1.48794</v>
      </c>
      <c r="C2494">
        <f t="shared" si="40"/>
        <v>-1.0609118322755207E-2</v>
      </c>
      <c r="D2494">
        <f>(C2494-meanrtn)/stdevrtns</f>
        <v>-1.7503334648422375</v>
      </c>
    </row>
    <row r="2495" spans="1:4" x14ac:dyDescent="0.3">
      <c r="A2495" s="1">
        <v>41464</v>
      </c>
      <c r="B2495">
        <v>1.4953719999999999</v>
      </c>
      <c r="C2495">
        <f t="shared" si="40"/>
        <v>4.9948250601501961E-3</v>
      </c>
      <c r="D2495">
        <f>(C2495-meanrtn)/stdevrtns</f>
        <v>0.83586810245490495</v>
      </c>
    </row>
    <row r="2496" spans="1:4" x14ac:dyDescent="0.3">
      <c r="A2496" s="1">
        <v>41465</v>
      </c>
      <c r="B2496">
        <v>1.4861489999999999</v>
      </c>
      <c r="C2496">
        <f t="shared" si="40"/>
        <v>-6.1676960649256381E-3</v>
      </c>
      <c r="D2496">
        <f>(C2496-meanrtn)/stdevrtns</f>
        <v>-1.0142110038487582</v>
      </c>
    </row>
    <row r="2497" spans="1:4" x14ac:dyDescent="0.3">
      <c r="A2497" s="1">
        <v>41466</v>
      </c>
      <c r="B2497">
        <v>1.518003</v>
      </c>
      <c r="C2497">
        <f t="shared" si="40"/>
        <v>2.1433920824897132E-2</v>
      </c>
      <c r="D2497">
        <f>(C2497-meanrtn)/stdevrtns</f>
        <v>3.560488039125056</v>
      </c>
    </row>
    <row r="2498" spans="1:4" x14ac:dyDescent="0.3">
      <c r="A2498" s="1">
        <v>41467</v>
      </c>
      <c r="B2498">
        <v>1.517865</v>
      </c>
      <c r="C2498">
        <f t="shared" si="40"/>
        <v>-9.0908911247192183E-5</v>
      </c>
      <c r="D2498">
        <f>(C2498-meanrtn)/stdevrtns</f>
        <v>-7.042746740655954E-3</v>
      </c>
    </row>
    <row r="2499" spans="1:4" x14ac:dyDescent="0.3">
      <c r="A2499" s="1">
        <v>41470</v>
      </c>
      <c r="B2499">
        <v>1.5103690000000001</v>
      </c>
      <c r="C2499">
        <f t="shared" si="40"/>
        <v>-4.9385156123897362E-3</v>
      </c>
      <c r="D2499">
        <f>(C2499-meanrtn)/stdevrtns</f>
        <v>-0.81048632125846165</v>
      </c>
    </row>
    <row r="2500" spans="1:4" x14ac:dyDescent="0.3">
      <c r="A2500" s="1">
        <v>41471</v>
      </c>
      <c r="B2500">
        <v>1.5100039999999999</v>
      </c>
      <c r="C2500">
        <f t="shared" ref="C2500:C2563" si="41">(B2500-B2499)/B2499</f>
        <v>-2.4166279895851327E-4</v>
      </c>
      <c r="D2500">
        <f>(C2500-meanrtn)/stdevrtns</f>
        <v>-3.2028734648192288E-2</v>
      </c>
    </row>
    <row r="2501" spans="1:4" x14ac:dyDescent="0.3">
      <c r="A2501" s="1">
        <v>41472</v>
      </c>
      <c r="B2501">
        <v>1.513844</v>
      </c>
      <c r="C2501">
        <f t="shared" si="41"/>
        <v>2.54303962108714E-3</v>
      </c>
      <c r="D2501">
        <f>(C2501-meanrtn)/stdevrtns</f>
        <v>0.42950855669240612</v>
      </c>
    </row>
    <row r="2502" spans="1:4" x14ac:dyDescent="0.3">
      <c r="A2502" s="1">
        <v>41473</v>
      </c>
      <c r="B2502">
        <v>1.5209820000000001</v>
      </c>
      <c r="C2502">
        <f t="shared" si="41"/>
        <v>4.7151489849681268E-3</v>
      </c>
      <c r="D2502">
        <f>(C2502-meanrtn)/stdevrtns</f>
        <v>0.78951451822159013</v>
      </c>
    </row>
    <row r="2503" spans="1:4" x14ac:dyDescent="0.3">
      <c r="A2503" s="1">
        <v>41474</v>
      </c>
      <c r="B2503">
        <v>1.5222089999999999</v>
      </c>
      <c r="C2503">
        <f t="shared" si="41"/>
        <v>8.0671566132923796E-4</v>
      </c>
      <c r="D2503">
        <f>(C2503-meanrtn)/stdevrtns</f>
        <v>0.14172977950324198</v>
      </c>
    </row>
    <row r="2504" spans="1:4" x14ac:dyDescent="0.3">
      <c r="A2504" s="1">
        <v>41477</v>
      </c>
      <c r="B2504">
        <v>1.528491</v>
      </c>
      <c r="C2504">
        <f t="shared" si="41"/>
        <v>4.1268971606396501E-3</v>
      </c>
      <c r="D2504">
        <f>(C2504-meanrtn)/stdevrtns</f>
        <v>0.6920175104004529</v>
      </c>
    </row>
    <row r="2505" spans="1:4" x14ac:dyDescent="0.3">
      <c r="A2505" s="1">
        <v>41478</v>
      </c>
      <c r="B2505">
        <v>1.5365230000000001</v>
      </c>
      <c r="C2505">
        <f t="shared" si="41"/>
        <v>5.2548559330738874E-3</v>
      </c>
      <c r="D2505">
        <f>(C2505-meanrtn)/stdevrtns</f>
        <v>0.87896568584127055</v>
      </c>
    </row>
    <row r="2506" spans="1:4" x14ac:dyDescent="0.3">
      <c r="A2506" s="1">
        <v>41479</v>
      </c>
      <c r="B2506">
        <v>1.5374920000000001</v>
      </c>
      <c r="C2506">
        <f t="shared" si="41"/>
        <v>6.3064464378339766E-4</v>
      </c>
      <c r="D2506">
        <f>(C2506-meanrtn)/stdevrtns</f>
        <v>0.11254772402158017</v>
      </c>
    </row>
    <row r="2507" spans="1:4" x14ac:dyDescent="0.3">
      <c r="A2507" s="1">
        <v>41480</v>
      </c>
      <c r="B2507">
        <v>1.5308539999999999</v>
      </c>
      <c r="C2507">
        <f t="shared" si="41"/>
        <v>-4.3174208386125871E-3</v>
      </c>
      <c r="D2507">
        <f>(C2507-meanrtn)/stdevrtns</f>
        <v>-0.70754591459547334</v>
      </c>
    </row>
    <row r="2508" spans="1:4" x14ac:dyDescent="0.3">
      <c r="A2508" s="1">
        <v>41481</v>
      </c>
      <c r="B2508">
        <v>1.5381769999999999</v>
      </c>
      <c r="C2508">
        <f t="shared" si="41"/>
        <v>4.7836044456231411E-3</v>
      </c>
      <c r="D2508">
        <f>(C2508-meanrtn)/stdevrtns</f>
        <v>0.8008603437793782</v>
      </c>
    </row>
    <row r="2509" spans="1:4" x14ac:dyDescent="0.3">
      <c r="A2509" s="1">
        <v>41484</v>
      </c>
      <c r="B2509">
        <v>1.5392429999999999</v>
      </c>
      <c r="C2509">
        <f t="shared" si="41"/>
        <v>6.9302817556107744E-4</v>
      </c>
      <c r="D2509">
        <f>(C2509-meanrtn)/stdevrtns</f>
        <v>0.12288718653422397</v>
      </c>
    </row>
    <row r="2510" spans="1:4" x14ac:dyDescent="0.3">
      <c r="A2510" s="1">
        <v>41485</v>
      </c>
      <c r="B2510">
        <v>1.5341659999999999</v>
      </c>
      <c r="C2510">
        <f t="shared" si="41"/>
        <v>-3.2983745906266901E-3</v>
      </c>
      <c r="D2510">
        <f>(C2510-meanrtn)/stdevrtns</f>
        <v>-0.53864892881323678</v>
      </c>
    </row>
    <row r="2511" spans="1:4" x14ac:dyDescent="0.3">
      <c r="A2511" s="1">
        <v>41486</v>
      </c>
      <c r="B2511">
        <v>1.5242039999999999</v>
      </c>
      <c r="C2511">
        <f t="shared" si="41"/>
        <v>-6.4934303067595211E-3</v>
      </c>
      <c r="D2511">
        <f>(C2511-meanrtn)/stdevrtns</f>
        <v>-1.0681982804032235</v>
      </c>
    </row>
    <row r="2512" spans="1:4" x14ac:dyDescent="0.3">
      <c r="A2512" s="1">
        <v>41487</v>
      </c>
      <c r="B2512">
        <v>1.5174970000000001</v>
      </c>
      <c r="C2512">
        <f t="shared" si="41"/>
        <v>-4.4003296146708686E-3</v>
      </c>
      <c r="D2512">
        <f>(C2512-meanrtn)/stdevrtns</f>
        <v>-0.72128723634491765</v>
      </c>
    </row>
    <row r="2513" spans="1:4" x14ac:dyDescent="0.3">
      <c r="A2513" s="1">
        <v>41488</v>
      </c>
      <c r="B2513">
        <v>1.5120359999999999</v>
      </c>
      <c r="C2513">
        <f t="shared" si="41"/>
        <v>-3.5986891572109599E-3</v>
      </c>
      <c r="D2513">
        <f>(C2513-meanrtn)/stdevrtns</f>
        <v>-0.58842314189025102</v>
      </c>
    </row>
    <row r="2514" spans="1:4" x14ac:dyDescent="0.3">
      <c r="A2514" s="1">
        <v>41491</v>
      </c>
      <c r="B2514">
        <v>1.5287249999999999</v>
      </c>
      <c r="C2514">
        <f t="shared" si="41"/>
        <v>1.1037435616612273E-2</v>
      </c>
      <c r="D2514">
        <f>(C2514-meanrtn)/stdevrtns</f>
        <v>1.8373719215990314</v>
      </c>
    </row>
    <row r="2515" spans="1:4" x14ac:dyDescent="0.3">
      <c r="A2515" s="1">
        <v>41492</v>
      </c>
      <c r="B2515">
        <v>1.535391</v>
      </c>
      <c r="C2515">
        <f t="shared" si="41"/>
        <v>4.3604964921748913E-3</v>
      </c>
      <c r="D2515">
        <f>(C2515-meanrtn)/stdevrtns</f>
        <v>0.73073432335671207</v>
      </c>
    </row>
    <row r="2516" spans="1:4" x14ac:dyDescent="0.3">
      <c r="A2516" s="1">
        <v>41493</v>
      </c>
      <c r="B2516">
        <v>1.5344949999999999</v>
      </c>
      <c r="C2516">
        <f t="shared" si="41"/>
        <v>-5.8356470762171194E-4</v>
      </c>
      <c r="D2516">
        <f>(C2516-meanrtn)/stdevrtns</f>
        <v>-8.8695644438146204E-2</v>
      </c>
    </row>
    <row r="2517" spans="1:4" x14ac:dyDescent="0.3">
      <c r="A2517" s="1">
        <v>41494</v>
      </c>
      <c r="B2517">
        <v>1.5496909999999999</v>
      </c>
      <c r="C2517">
        <f t="shared" si="41"/>
        <v>9.9029322350349704E-3</v>
      </c>
      <c r="D2517">
        <f>(C2517-meanrtn)/stdevrtns</f>
        <v>1.64933904096493</v>
      </c>
    </row>
    <row r="2518" spans="1:4" x14ac:dyDescent="0.3">
      <c r="A2518" s="1">
        <v>41495</v>
      </c>
      <c r="B2518">
        <v>1.5535909999999999</v>
      </c>
      <c r="C2518">
        <f t="shared" si="41"/>
        <v>2.5166307347722966E-3</v>
      </c>
      <c r="D2518">
        <f>(C2518-meanrtn)/stdevrtns</f>
        <v>0.42513154111999363</v>
      </c>
    </row>
    <row r="2519" spans="1:4" x14ac:dyDescent="0.3">
      <c r="A2519" s="1">
        <v>41498</v>
      </c>
      <c r="B2519">
        <v>1.5513980000000001</v>
      </c>
      <c r="C2519">
        <f t="shared" si="41"/>
        <v>-1.4115684243793183E-3</v>
      </c>
      <c r="D2519">
        <f>(C2519-meanrtn)/stdevrtns</f>
        <v>-0.22592919223173366</v>
      </c>
    </row>
    <row r="2520" spans="1:4" x14ac:dyDescent="0.3">
      <c r="A2520" s="1">
        <v>41499</v>
      </c>
      <c r="B2520">
        <v>1.5458099999999999</v>
      </c>
      <c r="C2520">
        <f t="shared" si="41"/>
        <v>-3.6019125975411521E-3</v>
      </c>
      <c r="D2520">
        <f>(C2520-meanrtn)/stdevrtns</f>
        <v>-0.58895739571503514</v>
      </c>
    </row>
    <row r="2521" spans="1:4" x14ac:dyDescent="0.3">
      <c r="A2521" s="1">
        <v>41500</v>
      </c>
      <c r="B2521">
        <v>1.5450699999999999</v>
      </c>
      <c r="C2521">
        <f t="shared" si="41"/>
        <v>-4.7871342532391625E-4</v>
      </c>
      <c r="D2521">
        <f>(C2521-meanrtn)/stdevrtns</f>
        <v>-7.1317566092338733E-2</v>
      </c>
    </row>
    <row r="2522" spans="1:4" x14ac:dyDescent="0.3">
      <c r="A2522" s="1">
        <v>41501</v>
      </c>
      <c r="B2522">
        <v>1.551614</v>
      </c>
      <c r="C2522">
        <f t="shared" si="41"/>
        <v>4.2354068100475097E-3</v>
      </c>
      <c r="D2522">
        <f>(C2522-meanrtn)/stdevrtns</f>
        <v>0.71000192744678148</v>
      </c>
    </row>
    <row r="2523" spans="1:4" x14ac:dyDescent="0.3">
      <c r="A2523" s="1">
        <v>41502</v>
      </c>
      <c r="B2523">
        <v>1.564211</v>
      </c>
      <c r="C2523">
        <f t="shared" si="41"/>
        <v>8.1186429098989623E-3</v>
      </c>
      <c r="D2523">
        <f>(C2523-meanrtn)/stdevrtns</f>
        <v>1.353610471849916</v>
      </c>
    </row>
    <row r="2524" spans="1:4" x14ac:dyDescent="0.3">
      <c r="A2524" s="1">
        <v>41505</v>
      </c>
      <c r="B2524">
        <v>1.5625</v>
      </c>
      <c r="C2524">
        <f t="shared" si="41"/>
        <v>-1.0938421990383765E-3</v>
      </c>
      <c r="D2524">
        <f>(C2524-meanrtn)/stdevrtns</f>
        <v>-0.17326916637901552</v>
      </c>
    </row>
    <row r="2525" spans="1:4" x14ac:dyDescent="0.3">
      <c r="A2525" s="1">
        <v>41506</v>
      </c>
      <c r="B2525">
        <v>1.5648960000000001</v>
      </c>
      <c r="C2525">
        <f t="shared" si="41"/>
        <v>1.5334400000000415E-3</v>
      </c>
      <c r="D2525">
        <f>(C2525-meanrtn)/stdevrtns</f>
        <v>0.26217725726853636</v>
      </c>
    </row>
    <row r="2526" spans="1:4" x14ac:dyDescent="0.3">
      <c r="A2526" s="1">
        <v>41507</v>
      </c>
      <c r="B2526">
        <v>1.566392</v>
      </c>
      <c r="C2526">
        <f t="shared" si="41"/>
        <v>9.5597407112034394E-4</v>
      </c>
      <c r="D2526">
        <f>(C2526-meanrtn)/stdevrtns</f>
        <v>0.16646790651778406</v>
      </c>
    </row>
    <row r="2527" spans="1:4" x14ac:dyDescent="0.3">
      <c r="A2527" s="1">
        <v>41508</v>
      </c>
      <c r="B2527">
        <v>1.5616699999999999</v>
      </c>
      <c r="C2527">
        <f t="shared" si="41"/>
        <v>-3.0145710652251258E-3</v>
      </c>
      <c r="D2527">
        <f>(C2527-meanrtn)/stdevrtns</f>
        <v>-0.49161125992486648</v>
      </c>
    </row>
    <row r="2528" spans="1:4" x14ac:dyDescent="0.3">
      <c r="A2528" s="1">
        <v>41509</v>
      </c>
      <c r="B2528">
        <v>1.5597220000000001</v>
      </c>
      <c r="C2528">
        <f t="shared" si="41"/>
        <v>-1.2473826096421389E-3</v>
      </c>
      <c r="D2528">
        <f>(C2528-meanrtn)/stdevrtns</f>
        <v>-0.19871699330345291</v>
      </c>
    </row>
    <row r="2529" spans="1:4" x14ac:dyDescent="0.3">
      <c r="A2529" s="1">
        <v>41512</v>
      </c>
      <c r="B2529">
        <v>1.5580940000000001</v>
      </c>
      <c r="C2529">
        <f t="shared" si="41"/>
        <v>-1.0437757497810268E-3</v>
      </c>
      <c r="D2529">
        <f>(C2529-meanrtn)/stdevrtns</f>
        <v>-0.16497114027362653</v>
      </c>
    </row>
    <row r="2530" spans="1:4" x14ac:dyDescent="0.3">
      <c r="A2530" s="1">
        <v>41513</v>
      </c>
      <c r="B2530">
        <v>1.5584819999999999</v>
      </c>
      <c r="C2530">
        <f t="shared" si="41"/>
        <v>2.4902220276814678E-4</v>
      </c>
      <c r="D2530">
        <f>(C2530-meanrtn)/stdevrtns</f>
        <v>4.9297523040292328E-2</v>
      </c>
    </row>
    <row r="2531" spans="1:4" x14ac:dyDescent="0.3">
      <c r="A2531" s="1">
        <v>41514</v>
      </c>
      <c r="B2531">
        <v>1.554799</v>
      </c>
      <c r="C2531">
        <f t="shared" si="41"/>
        <v>-2.36319700837089E-3</v>
      </c>
      <c r="D2531">
        <f>(C2531-meanrtn)/stdevrtns</f>
        <v>-0.38365235714016166</v>
      </c>
    </row>
    <row r="2532" spans="1:4" x14ac:dyDescent="0.3">
      <c r="A2532" s="1">
        <v>41515</v>
      </c>
      <c r="B2532">
        <v>1.5527470000000001</v>
      </c>
      <c r="C2532">
        <f t="shared" si="41"/>
        <v>-1.3197847438800403E-3</v>
      </c>
      <c r="D2532">
        <f>(C2532-meanrtn)/stdevrtns</f>
        <v>-0.21071694155030782</v>
      </c>
    </row>
    <row r="2533" spans="1:4" x14ac:dyDescent="0.3">
      <c r="A2533" s="1">
        <v>41516</v>
      </c>
      <c r="B2533">
        <v>1.5506519999999999</v>
      </c>
      <c r="C2533">
        <f t="shared" si="41"/>
        <v>-1.3492217341267959E-3</v>
      </c>
      <c r="D2533">
        <f>(C2533-meanrtn)/stdevrtns</f>
        <v>-0.21559583584289238</v>
      </c>
    </row>
    <row r="2534" spans="1:4" x14ac:dyDescent="0.3">
      <c r="A2534" s="1">
        <v>41519</v>
      </c>
      <c r="B2534">
        <v>1.551903</v>
      </c>
      <c r="C2534">
        <f t="shared" si="41"/>
        <v>8.0675741559041827E-4</v>
      </c>
      <c r="D2534">
        <f>(C2534-meanrtn)/stdevrtns</f>
        <v>0.14173669986516946</v>
      </c>
    </row>
    <row r="2535" spans="1:4" x14ac:dyDescent="0.3">
      <c r="A2535" s="1">
        <v>41520</v>
      </c>
      <c r="B2535">
        <v>1.554702</v>
      </c>
      <c r="C2535">
        <f t="shared" si="41"/>
        <v>1.8035921059499182E-3</v>
      </c>
      <c r="D2535">
        <f>(C2535-meanrtn)/stdevrtns</f>
        <v>0.30695233640536579</v>
      </c>
    </row>
    <row r="2536" spans="1:4" x14ac:dyDescent="0.3">
      <c r="A2536" s="1">
        <v>41521</v>
      </c>
      <c r="B2536">
        <v>1.5563720000000001</v>
      </c>
      <c r="C2536">
        <f t="shared" si="41"/>
        <v>1.0741608359673175E-3</v>
      </c>
      <c r="D2536">
        <f>(C2536-meanrtn)/stdevrtns</f>
        <v>0.18605621115210333</v>
      </c>
    </row>
    <row r="2537" spans="1:4" x14ac:dyDescent="0.3">
      <c r="A2537" s="1">
        <v>41522</v>
      </c>
      <c r="B2537">
        <v>1.5622069999999999</v>
      </c>
      <c r="C2537">
        <f t="shared" si="41"/>
        <v>3.7491036847230688E-3</v>
      </c>
      <c r="D2537">
        <f>(C2537-meanrtn)/stdevrtns</f>
        <v>0.62940192307395149</v>
      </c>
    </row>
    <row r="2538" spans="1:4" x14ac:dyDescent="0.3">
      <c r="A2538" s="1">
        <v>41523</v>
      </c>
      <c r="B2538">
        <v>1.5589919999999999</v>
      </c>
      <c r="C2538">
        <f t="shared" si="41"/>
        <v>-2.0579859135184827E-3</v>
      </c>
      <c r="D2538">
        <f>(C2538-meanrtn)/stdevrtns</f>
        <v>-0.3330665922156032</v>
      </c>
    </row>
    <row r="2539" spans="1:4" x14ac:dyDescent="0.3">
      <c r="A2539" s="1">
        <v>41526</v>
      </c>
      <c r="B2539">
        <v>1.563599</v>
      </c>
      <c r="C2539">
        <f t="shared" si="41"/>
        <v>2.9551145868612718E-3</v>
      </c>
      <c r="D2539">
        <f>(C2539-meanrtn)/stdevrtns</f>
        <v>0.49780596691606105</v>
      </c>
    </row>
    <row r="2540" spans="1:4" x14ac:dyDescent="0.3">
      <c r="A2540" s="1">
        <v>41527</v>
      </c>
      <c r="B2540">
        <v>1.56976</v>
      </c>
      <c r="C2540">
        <f t="shared" si="41"/>
        <v>3.9402685726967609E-3</v>
      </c>
      <c r="D2540">
        <f>(C2540-meanrtn)/stdevrtns</f>
        <v>0.6610856405008787</v>
      </c>
    </row>
    <row r="2541" spans="1:4" x14ac:dyDescent="0.3">
      <c r="A2541" s="1">
        <v>41528</v>
      </c>
      <c r="B2541">
        <v>1.5732919999999999</v>
      </c>
      <c r="C2541">
        <f t="shared" si="41"/>
        <v>2.2500254816021992E-3</v>
      </c>
      <c r="D2541">
        <f>(C2541-meanrtn)/stdevrtns</f>
        <v>0.38094431827006198</v>
      </c>
    </row>
    <row r="2542" spans="1:4" x14ac:dyDescent="0.3">
      <c r="A2542" s="1">
        <v>41529</v>
      </c>
      <c r="B2542">
        <v>1.5826039999999999</v>
      </c>
      <c r="C2542">
        <f t="shared" si="41"/>
        <v>5.9187995616833923E-3</v>
      </c>
      <c r="D2542">
        <f>(C2542-meanrtn)/stdevrtns</f>
        <v>0.98900787266360812</v>
      </c>
    </row>
    <row r="2543" spans="1:4" x14ac:dyDescent="0.3">
      <c r="A2543" s="1">
        <v>41530</v>
      </c>
      <c r="B2543">
        <v>1.5804530000000001</v>
      </c>
      <c r="C2543">
        <f t="shared" si="41"/>
        <v>-1.3591523842981517E-3</v>
      </c>
      <c r="D2543">
        <f>(C2543-meanrtn)/stdevrtns</f>
        <v>-0.21724174434225133</v>
      </c>
    </row>
    <row r="2544" spans="1:4" x14ac:dyDescent="0.3">
      <c r="A2544" s="1">
        <v>41533</v>
      </c>
      <c r="B2544">
        <v>1.593626</v>
      </c>
      <c r="C2544">
        <f t="shared" si="41"/>
        <v>8.3349520675400531E-3</v>
      </c>
      <c r="D2544">
        <f>(C2544-meanrtn)/stdevrtns</f>
        <v>1.3894616069626577</v>
      </c>
    </row>
    <row r="2545" spans="1:4" x14ac:dyDescent="0.3">
      <c r="A2545" s="1">
        <v>41534</v>
      </c>
      <c r="B2545">
        <v>1.590306</v>
      </c>
      <c r="C2545">
        <f t="shared" si="41"/>
        <v>-2.0832993437607003E-3</v>
      </c>
      <c r="D2545">
        <f>(C2545-meanrtn)/stdevrtns</f>
        <v>-0.33726204661835435</v>
      </c>
    </row>
    <row r="2546" spans="1:4" x14ac:dyDescent="0.3">
      <c r="A2546" s="1">
        <v>41535</v>
      </c>
      <c r="B2546">
        <v>1.590508</v>
      </c>
      <c r="C2546">
        <f t="shared" si="41"/>
        <v>1.2701957987961782E-4</v>
      </c>
      <c r="D2546">
        <f>(C2546-meanrtn)/stdevrtns</f>
        <v>2.9076777118185147E-2</v>
      </c>
    </row>
    <row r="2547" spans="1:4" x14ac:dyDescent="0.3">
      <c r="A2547" s="1">
        <v>41536</v>
      </c>
      <c r="B2547">
        <v>1.6133200000000001</v>
      </c>
      <c r="C2547">
        <f t="shared" si="41"/>
        <v>1.4342587399749045E-2</v>
      </c>
      <c r="D2547">
        <f>(C2547-meanrtn)/stdevrtns</f>
        <v>2.3851686234934788</v>
      </c>
    </row>
    <row r="2548" spans="1:4" x14ac:dyDescent="0.3">
      <c r="A2548" s="1">
        <v>41537</v>
      </c>
      <c r="B2548">
        <v>1.6037980000000001</v>
      </c>
      <c r="C2548">
        <f t="shared" si="41"/>
        <v>-5.9021148935115356E-3</v>
      </c>
      <c r="D2548">
        <f>(C2548-meanrtn)/stdevrtns</f>
        <v>-0.97019351257099407</v>
      </c>
    </row>
    <row r="2549" spans="1:4" x14ac:dyDescent="0.3">
      <c r="A2549" s="1">
        <v>41540</v>
      </c>
      <c r="B2549">
        <v>1.601691</v>
      </c>
      <c r="C2549">
        <f t="shared" si="41"/>
        <v>-1.3137564705780161E-3</v>
      </c>
      <c r="D2549">
        <f>(C2549-meanrtn)/stdevrtns</f>
        <v>-0.20971781399138126</v>
      </c>
    </row>
    <row r="2550" spans="1:4" x14ac:dyDescent="0.3">
      <c r="A2550" s="1">
        <v>41541</v>
      </c>
      <c r="B2550">
        <v>1.604158</v>
      </c>
      <c r="C2550">
        <f t="shared" si="41"/>
        <v>1.5402471512919764E-3</v>
      </c>
      <c r="D2550">
        <f>(C2550-meanrtn)/stdevrtns</f>
        <v>0.26330547626472406</v>
      </c>
    </row>
    <row r="2551" spans="1:4" x14ac:dyDescent="0.3">
      <c r="A2551" s="1">
        <v>41542</v>
      </c>
      <c r="B2551">
        <v>1.599591</v>
      </c>
      <c r="C2551">
        <f t="shared" si="41"/>
        <v>-2.8469764200284436E-3</v>
      </c>
      <c r="D2551">
        <f>(C2551-meanrtn)/stdevrtns</f>
        <v>-0.46383408056435255</v>
      </c>
    </row>
    <row r="2552" spans="1:4" x14ac:dyDescent="0.3">
      <c r="A2552" s="1">
        <v>41543</v>
      </c>
      <c r="B2552">
        <v>1.6073809999999999</v>
      </c>
      <c r="C2552">
        <f t="shared" si="41"/>
        <v>4.8699948924443588E-3</v>
      </c>
      <c r="D2552">
        <f>(C2552-meanrtn)/stdevrtns</f>
        <v>0.81517871853157708</v>
      </c>
    </row>
    <row r="2553" spans="1:4" x14ac:dyDescent="0.3">
      <c r="A2553" s="1">
        <v>41544</v>
      </c>
      <c r="B2553">
        <v>1.6037459999999999</v>
      </c>
      <c r="C2553">
        <f t="shared" si="41"/>
        <v>-2.2614426822265879E-3</v>
      </c>
      <c r="D2553">
        <f>(C2553-meanrtn)/stdevrtns</f>
        <v>-0.36678756909934146</v>
      </c>
    </row>
    <row r="2554" spans="1:4" x14ac:dyDescent="0.3">
      <c r="A2554" s="1">
        <v>41547</v>
      </c>
      <c r="B2554">
        <v>1.6168929999999999</v>
      </c>
      <c r="C2554">
        <f t="shared" si="41"/>
        <v>8.1976821766040382E-3</v>
      </c>
      <c r="D2554">
        <f>(C2554-meanrtn)/stdevrtns</f>
        <v>1.3667104601294573</v>
      </c>
    </row>
    <row r="2555" spans="1:4" x14ac:dyDescent="0.3">
      <c r="A2555" s="1">
        <v>41548</v>
      </c>
      <c r="B2555">
        <v>1.6186990000000001</v>
      </c>
      <c r="C2555">
        <f t="shared" si="41"/>
        <v>1.1169570280780462E-3</v>
      </c>
      <c r="D2555">
        <f>(C2555-meanrtn)/stdevrtns</f>
        <v>0.19314926297850057</v>
      </c>
    </row>
    <row r="2556" spans="1:4" x14ac:dyDescent="0.3">
      <c r="A2556" s="1">
        <v>41549</v>
      </c>
      <c r="B2556">
        <v>1.6192230000000001</v>
      </c>
      <c r="C2556">
        <f t="shared" si="41"/>
        <v>3.2371676265937575E-4</v>
      </c>
      <c r="D2556">
        <f>(C2556-meanrtn)/stdevrtns</f>
        <v>6.1677418501262529E-2</v>
      </c>
    </row>
    <row r="2557" spans="1:4" x14ac:dyDescent="0.3">
      <c r="A2557" s="1">
        <v>41550</v>
      </c>
      <c r="B2557">
        <v>1.623561</v>
      </c>
      <c r="C2557">
        <f t="shared" si="41"/>
        <v>2.6790627356454008E-3</v>
      </c>
      <c r="D2557">
        <f>(C2557-meanrtn)/stdevrtns</f>
        <v>0.45205306248987026</v>
      </c>
    </row>
    <row r="2558" spans="1:4" x14ac:dyDescent="0.3">
      <c r="A2558" s="1">
        <v>41551</v>
      </c>
      <c r="B2558">
        <v>1.6156919999999999</v>
      </c>
      <c r="C2558">
        <f t="shared" si="41"/>
        <v>-4.8467535251217079E-3</v>
      </c>
      <c r="D2558">
        <f>(C2558-meanrtn)/stdevrtns</f>
        <v>-0.79527764944470603</v>
      </c>
    </row>
    <row r="2559" spans="1:4" x14ac:dyDescent="0.3">
      <c r="A2559" s="1">
        <v>41554</v>
      </c>
      <c r="B2559">
        <v>1.6035919999999999</v>
      </c>
      <c r="C2559">
        <f t="shared" si="41"/>
        <v>-7.4890511310324002E-3</v>
      </c>
      <c r="D2559">
        <f>(C2559-meanrtn)/stdevrtns</f>
        <v>-1.2332127304677534</v>
      </c>
    </row>
    <row r="2560" spans="1:4" x14ac:dyDescent="0.3">
      <c r="A2560" s="1">
        <v>41556</v>
      </c>
      <c r="B2560">
        <v>1.6120969999999999</v>
      </c>
      <c r="C2560">
        <f t="shared" si="41"/>
        <v>5.3037181527470735E-3</v>
      </c>
      <c r="D2560">
        <f>(C2560-meanrtn)/stdevrtns</f>
        <v>0.887064122627375</v>
      </c>
    </row>
    <row r="2561" spans="1:4" x14ac:dyDescent="0.3">
      <c r="A2561" s="1">
        <v>41557</v>
      </c>
      <c r="B2561">
        <v>1.595507</v>
      </c>
      <c r="C2561">
        <f t="shared" si="41"/>
        <v>-1.0290944031283404E-2</v>
      </c>
      <c r="D2561">
        <f>(C2561-meanrtn)/stdevrtns</f>
        <v>-1.697599176394389</v>
      </c>
    </row>
    <row r="2562" spans="1:4" x14ac:dyDescent="0.3">
      <c r="A2562" s="1">
        <v>41558</v>
      </c>
      <c r="B2562">
        <v>1.598006</v>
      </c>
      <c r="C2562">
        <f t="shared" si="41"/>
        <v>1.5662732911858293E-3</v>
      </c>
      <c r="D2562">
        <f>(C2562-meanrtn)/stdevrtns</f>
        <v>0.26761905534742669</v>
      </c>
    </row>
    <row r="2563" spans="1:4" x14ac:dyDescent="0.3">
      <c r="A2563" s="1">
        <v>41561</v>
      </c>
      <c r="B2563">
        <v>1.5971120000000001</v>
      </c>
      <c r="C2563">
        <f t="shared" si="41"/>
        <v>-5.5944721108678588E-4</v>
      </c>
      <c r="D2563">
        <f>(C2563-meanrtn)/stdevrtns</f>
        <v>-8.469840439392505E-2</v>
      </c>
    </row>
    <row r="2564" spans="1:4" x14ac:dyDescent="0.3">
      <c r="A2564" s="1">
        <v>41562</v>
      </c>
      <c r="B2564">
        <v>1.597189</v>
      </c>
      <c r="C2564">
        <f t="shared" ref="C2564:C2627" si="42">(B2564-B2563)/B2563</f>
        <v>4.8212022700901826E-5</v>
      </c>
      <c r="D2564">
        <f>(C2564-meanrtn)/stdevrtns</f>
        <v>1.6015192434807164E-2</v>
      </c>
    </row>
    <row r="2565" spans="1:4" x14ac:dyDescent="0.3">
      <c r="A2565" s="1">
        <v>41563</v>
      </c>
      <c r="B2565">
        <v>1.5984659999999999</v>
      </c>
      <c r="C2565">
        <f t="shared" si="42"/>
        <v>7.9952967369545662E-4</v>
      </c>
      <c r="D2565">
        <f>(C2565-meanrtn)/stdevrtns</f>
        <v>0.14053877207486185</v>
      </c>
    </row>
    <row r="2566" spans="1:4" x14ac:dyDescent="0.3">
      <c r="A2566" s="1">
        <v>41564</v>
      </c>
      <c r="B2566">
        <v>1.5943879999999999</v>
      </c>
      <c r="C2566">
        <f t="shared" si="42"/>
        <v>-2.5511959591258283E-3</v>
      </c>
      <c r="D2566">
        <f>(C2566-meanrtn)/stdevrtns</f>
        <v>-0.41481135132270208</v>
      </c>
    </row>
    <row r="2567" spans="1:4" x14ac:dyDescent="0.3">
      <c r="A2567" s="1">
        <v>41565</v>
      </c>
      <c r="B2567">
        <v>1.614935</v>
      </c>
      <c r="C2567">
        <f t="shared" si="42"/>
        <v>1.288707642054512E-2</v>
      </c>
      <c r="D2567">
        <f>(C2567-meanrtn)/stdevrtns</f>
        <v>2.1439318615247553</v>
      </c>
    </row>
    <row r="2568" spans="1:4" x14ac:dyDescent="0.3">
      <c r="A2568" s="1">
        <v>41568</v>
      </c>
      <c r="B2568">
        <v>1.6172070000000001</v>
      </c>
      <c r="C2568">
        <f t="shared" si="42"/>
        <v>1.4068677686718363E-3</v>
      </c>
      <c r="D2568">
        <f>(C2568-meanrtn)/stdevrtns</f>
        <v>0.2411991432748703</v>
      </c>
    </row>
    <row r="2569" spans="1:4" x14ac:dyDescent="0.3">
      <c r="A2569" s="1">
        <v>41569</v>
      </c>
      <c r="B2569">
        <v>1.6135280000000001</v>
      </c>
      <c r="C2569">
        <f t="shared" si="42"/>
        <v>-2.2749097672715908E-3</v>
      </c>
      <c r="D2569">
        <f>(C2569-meanrtn)/stdevrtns</f>
        <v>-0.36901960721917121</v>
      </c>
    </row>
    <row r="2570" spans="1:4" x14ac:dyDescent="0.3">
      <c r="A2570" s="1">
        <v>41570</v>
      </c>
      <c r="B2570">
        <v>1.6232709999999999</v>
      </c>
      <c r="C2570">
        <f t="shared" si="42"/>
        <v>6.0383209959788955E-3</v>
      </c>
      <c r="D2570">
        <f>(C2570-meanrtn)/stdevrtns</f>
        <v>1.0088173857536946</v>
      </c>
    </row>
    <row r="2571" spans="1:4" x14ac:dyDescent="0.3">
      <c r="A2571" s="1">
        <v>41571</v>
      </c>
      <c r="B2571">
        <v>1.616371</v>
      </c>
      <c r="C2571">
        <f t="shared" si="42"/>
        <v>-4.2506765660200339E-3</v>
      </c>
      <c r="D2571">
        <f>(C2571-meanrtn)/stdevrtns</f>
        <v>-0.69648370178482755</v>
      </c>
    </row>
    <row r="2572" spans="1:4" x14ac:dyDescent="0.3">
      <c r="A2572" s="1">
        <v>41572</v>
      </c>
      <c r="B2572">
        <v>1.6200889999999999</v>
      </c>
      <c r="C2572">
        <f t="shared" si="42"/>
        <v>2.3002144928360433E-3</v>
      </c>
      <c r="D2572">
        <f>(C2572-meanrtn)/stdevrtns</f>
        <v>0.38926265782878278</v>
      </c>
    </row>
    <row r="2573" spans="1:4" x14ac:dyDescent="0.3">
      <c r="A2573" s="1">
        <v>41575</v>
      </c>
      <c r="B2573">
        <v>1.6173900000000001</v>
      </c>
      <c r="C2573">
        <f t="shared" si="42"/>
        <v>-1.6659578578706387E-3</v>
      </c>
      <c r="D2573">
        <f>(C2573-meanrtn)/stdevrtns</f>
        <v>-0.26809176200366946</v>
      </c>
    </row>
    <row r="2574" spans="1:4" x14ac:dyDescent="0.3">
      <c r="A2574" s="1">
        <v>41576</v>
      </c>
      <c r="B2574">
        <v>1.614179</v>
      </c>
      <c r="C2574">
        <f t="shared" si="42"/>
        <v>-1.9852972999709869E-3</v>
      </c>
      <c r="D2574">
        <f>(C2574-meanrtn)/stdevrtns</f>
        <v>-0.32101916281470338</v>
      </c>
    </row>
    <row r="2575" spans="1:4" x14ac:dyDescent="0.3">
      <c r="A2575" s="1">
        <v>41577</v>
      </c>
      <c r="B2575">
        <v>1.604827</v>
      </c>
      <c r="C2575">
        <f t="shared" si="42"/>
        <v>-5.7936573329228211E-3</v>
      </c>
      <c r="D2575">
        <f>(C2575-meanrtn)/stdevrtns</f>
        <v>-0.95221772873887334</v>
      </c>
    </row>
    <row r="2576" spans="1:4" x14ac:dyDescent="0.3">
      <c r="A2576" s="1">
        <v>41578</v>
      </c>
      <c r="B2576">
        <v>1.6026149999999999</v>
      </c>
      <c r="C2576">
        <f t="shared" si="42"/>
        <v>-1.3783417153376051E-3</v>
      </c>
      <c r="D2576">
        <f>(C2576-meanrtn)/stdevrtns</f>
        <v>-0.22042218897677793</v>
      </c>
    </row>
    <row r="2577" spans="1:4" x14ac:dyDescent="0.3">
      <c r="A2577" s="1">
        <v>41579</v>
      </c>
      <c r="B2577">
        <v>1.6044670000000001</v>
      </c>
      <c r="C2577">
        <f t="shared" si="42"/>
        <v>1.155611297785299E-3</v>
      </c>
      <c r="D2577">
        <f>(C2577-meanrtn)/stdevrtns</f>
        <v>0.19955583152636786</v>
      </c>
    </row>
    <row r="2578" spans="1:4" x14ac:dyDescent="0.3">
      <c r="A2578" s="1">
        <v>41582</v>
      </c>
      <c r="B2578">
        <v>1.592382</v>
      </c>
      <c r="C2578">
        <f t="shared" si="42"/>
        <v>-7.5320963285627702E-3</v>
      </c>
      <c r="D2578">
        <f>(C2578-meanrtn)/stdevrtns</f>
        <v>-1.2403470525160898</v>
      </c>
    </row>
    <row r="2579" spans="1:4" x14ac:dyDescent="0.3">
      <c r="A2579" s="1">
        <v>41583</v>
      </c>
      <c r="B2579">
        <v>1.59724</v>
      </c>
      <c r="C2579">
        <f t="shared" si="42"/>
        <v>3.0507755048725929E-3</v>
      </c>
      <c r="D2579">
        <f>(C2579-meanrtn)/stdevrtns</f>
        <v>0.51366083193441237</v>
      </c>
    </row>
    <row r="2580" spans="1:4" x14ac:dyDescent="0.3">
      <c r="A2580" s="1">
        <v>41584</v>
      </c>
      <c r="B2580">
        <v>1.6048020000000001</v>
      </c>
      <c r="C2580">
        <f t="shared" si="42"/>
        <v>4.7344168690992387E-3</v>
      </c>
      <c r="D2580">
        <f>(C2580-meanrtn)/stdevrtns</f>
        <v>0.79270798226561967</v>
      </c>
    </row>
    <row r="2581" spans="1:4" x14ac:dyDescent="0.3">
      <c r="A2581" s="1">
        <v>41585</v>
      </c>
      <c r="B2581">
        <v>1.6085449999999999</v>
      </c>
      <c r="C2581">
        <f t="shared" si="42"/>
        <v>2.3323749596522374E-3</v>
      </c>
      <c r="D2581">
        <f>(C2581-meanrtn)/stdevrtns</f>
        <v>0.39459294182456861</v>
      </c>
    </row>
    <row r="2582" spans="1:4" x14ac:dyDescent="0.3">
      <c r="A2582" s="1">
        <v>41586</v>
      </c>
      <c r="B2582">
        <v>1.608881</v>
      </c>
      <c r="C2582">
        <f t="shared" si="42"/>
        <v>2.0888442660921145E-4</v>
      </c>
      <c r="D2582">
        <f>(C2582-meanrtn)/stdevrtns</f>
        <v>4.2645077753687324E-2</v>
      </c>
    </row>
    <row r="2583" spans="1:4" x14ac:dyDescent="0.3">
      <c r="A2583" s="1">
        <v>41589</v>
      </c>
      <c r="B2583">
        <v>1.600487</v>
      </c>
      <c r="C2583">
        <f t="shared" si="42"/>
        <v>-5.2172907753898594E-3</v>
      </c>
      <c r="D2583">
        <f>(C2583-meanrtn)/stdevrtns</f>
        <v>-0.85669058807631482</v>
      </c>
    </row>
    <row r="2584" spans="1:4" x14ac:dyDescent="0.3">
      <c r="A2584" s="1">
        <v>41590</v>
      </c>
      <c r="B2584">
        <v>1.5986959999999999</v>
      </c>
      <c r="C2584">
        <f t="shared" si="42"/>
        <v>-1.119034393906416E-3</v>
      </c>
      <c r="D2584">
        <f>(C2584-meanrtn)/stdevrtns</f>
        <v>-0.17744452719984205</v>
      </c>
    </row>
    <row r="2585" spans="1:4" x14ac:dyDescent="0.3">
      <c r="A2585" s="1">
        <v>41591</v>
      </c>
      <c r="B2585">
        <v>1.5890919999999999</v>
      </c>
      <c r="C2585">
        <f t="shared" si="42"/>
        <v>-6.0073960277625934E-3</v>
      </c>
      <c r="D2585">
        <f>(C2585-meanrtn)/stdevrtns</f>
        <v>-0.98764283468947822</v>
      </c>
    </row>
    <row r="2586" spans="1:4" x14ac:dyDescent="0.3">
      <c r="A2586" s="1">
        <v>41592</v>
      </c>
      <c r="B2586">
        <v>1.604905</v>
      </c>
      <c r="C2586">
        <f t="shared" si="42"/>
        <v>9.9509657087192421E-3</v>
      </c>
      <c r="D2586">
        <f>(C2586-meanrtn)/stdevrtns</f>
        <v>1.6573001211788636</v>
      </c>
    </row>
    <row r="2587" spans="1:4" x14ac:dyDescent="0.3">
      <c r="A2587" s="1">
        <v>41593</v>
      </c>
      <c r="B2587">
        <v>1.605807</v>
      </c>
      <c r="C2587">
        <f t="shared" si="42"/>
        <v>5.620270358681407E-4</v>
      </c>
      <c r="D2587">
        <f>(C2587-meanrtn)/stdevrtns</f>
        <v>0.10117502413540716</v>
      </c>
    </row>
    <row r="2588" spans="1:4" x14ac:dyDescent="0.3">
      <c r="A2588" s="1">
        <v>41596</v>
      </c>
      <c r="B2588">
        <v>1.6113960000000001</v>
      </c>
      <c r="C2588">
        <f t="shared" si="42"/>
        <v>3.480492985769813E-3</v>
      </c>
      <c r="D2588">
        <f>(C2588-meanrtn)/stdevrtns</f>
        <v>0.58488231712698702</v>
      </c>
    </row>
    <row r="2589" spans="1:4" x14ac:dyDescent="0.3">
      <c r="A2589" s="1">
        <v>41597</v>
      </c>
      <c r="B2589">
        <v>1.611526</v>
      </c>
      <c r="C2589">
        <f t="shared" si="42"/>
        <v>8.0675389537992814E-5</v>
      </c>
      <c r="D2589">
        <f>(C2589-meanrtn)/stdevrtns</f>
        <v>2.1395679157529063E-2</v>
      </c>
    </row>
    <row r="2590" spans="1:4" x14ac:dyDescent="0.3">
      <c r="A2590" s="1">
        <v>41598</v>
      </c>
      <c r="B2590">
        <v>1.6138920000000001</v>
      </c>
      <c r="C2590">
        <f t="shared" si="42"/>
        <v>1.4681736441112896E-3</v>
      </c>
      <c r="D2590">
        <f>(C2590-meanrtn)/stdevrtns</f>
        <v>0.25135999475038473</v>
      </c>
    </row>
    <row r="2591" spans="1:4" x14ac:dyDescent="0.3">
      <c r="A2591" s="1">
        <v>41599</v>
      </c>
      <c r="B2591">
        <v>1.6100209999999999</v>
      </c>
      <c r="C2591">
        <f t="shared" si="42"/>
        <v>-2.3985495931575221E-3</v>
      </c>
      <c r="D2591">
        <f>(C2591-meanrtn)/stdevrtns</f>
        <v>-0.38951170358481463</v>
      </c>
    </row>
    <row r="2592" spans="1:4" x14ac:dyDescent="0.3">
      <c r="A2592" s="1">
        <v>41600</v>
      </c>
      <c r="B2592">
        <v>1.6186990000000001</v>
      </c>
      <c r="C2592">
        <f t="shared" si="42"/>
        <v>5.3899918075603894E-3</v>
      </c>
      <c r="D2592">
        <f>(C2592-meanrtn)/stdevrtns</f>
        <v>0.90136314024231234</v>
      </c>
    </row>
    <row r="2593" spans="1:4" x14ac:dyDescent="0.3">
      <c r="A2593" s="1">
        <v>41603</v>
      </c>
      <c r="B2593">
        <v>1.623113</v>
      </c>
      <c r="C2593">
        <f t="shared" si="42"/>
        <v>2.7268812793483643E-3</v>
      </c>
      <c r="D2593">
        <f>(C2593-meanrtn)/stdevrtns</f>
        <v>0.45997852015372936</v>
      </c>
    </row>
    <row r="2594" spans="1:4" x14ac:dyDescent="0.3">
      <c r="A2594" s="1">
        <v>41604</v>
      </c>
      <c r="B2594">
        <v>1.6167100000000001</v>
      </c>
      <c r="C2594">
        <f t="shared" si="42"/>
        <v>-3.9448886183524722E-3</v>
      </c>
      <c r="D2594">
        <f>(C2594-meanrtn)/stdevrtns</f>
        <v>-0.64580232912714397</v>
      </c>
    </row>
    <row r="2595" spans="1:4" x14ac:dyDescent="0.3">
      <c r="A2595" s="1">
        <v>41605</v>
      </c>
      <c r="B2595">
        <v>1.6209819999999999</v>
      </c>
      <c r="C2595">
        <f t="shared" si="42"/>
        <v>2.642403399496404E-3</v>
      </c>
      <c r="D2595">
        <f>(C2595-meanrtn)/stdevrtns</f>
        <v>0.44597713474019168</v>
      </c>
    </row>
    <row r="2596" spans="1:4" x14ac:dyDescent="0.3">
      <c r="A2596" s="1">
        <v>41606</v>
      </c>
      <c r="B2596">
        <v>1.628293</v>
      </c>
      <c r="C2596">
        <f t="shared" si="42"/>
        <v>4.5102289846525546E-3</v>
      </c>
      <c r="D2596">
        <f>(C2596-meanrtn)/stdevrtns</f>
        <v>0.75555102495698012</v>
      </c>
    </row>
    <row r="2597" spans="1:4" x14ac:dyDescent="0.3">
      <c r="A2597" s="1">
        <v>41607</v>
      </c>
      <c r="B2597">
        <v>1.6340939999999999</v>
      </c>
      <c r="C2597">
        <f t="shared" si="42"/>
        <v>3.562626628008562E-3</v>
      </c>
      <c r="D2597">
        <f>(C2597-meanrtn)/stdevrtns</f>
        <v>0.59849516799892644</v>
      </c>
    </row>
    <row r="2598" spans="1:4" x14ac:dyDescent="0.3">
      <c r="A2598" s="1">
        <v>41610</v>
      </c>
      <c r="B2598">
        <v>1.6377870000000001</v>
      </c>
      <c r="C2598">
        <f t="shared" si="42"/>
        <v>2.2599679088229738E-3</v>
      </c>
      <c r="D2598">
        <f>(C2598-meanrtn)/stdevrtns</f>
        <v>0.3825921787006038</v>
      </c>
    </row>
    <row r="2599" spans="1:4" x14ac:dyDescent="0.3">
      <c r="A2599" s="1">
        <v>41611</v>
      </c>
      <c r="B2599">
        <v>1.6359919999999999</v>
      </c>
      <c r="C2599">
        <f t="shared" si="42"/>
        <v>-1.0959911148398498E-3</v>
      </c>
      <c r="D2599">
        <f>(C2599-meanrtn)/stdevrtns</f>
        <v>-0.17362532823357901</v>
      </c>
    </row>
    <row r="2600" spans="1:4" x14ac:dyDescent="0.3">
      <c r="A2600" s="1">
        <v>41612</v>
      </c>
      <c r="B2600">
        <v>1.6388879999999999</v>
      </c>
      <c r="C2600">
        <f t="shared" si="42"/>
        <v>1.7701798052802275E-3</v>
      </c>
      <c r="D2600">
        <f>(C2600-meanrtn)/stdevrtns</f>
        <v>0.30141457314652037</v>
      </c>
    </row>
    <row r="2601" spans="1:4" x14ac:dyDescent="0.3">
      <c r="A2601" s="1">
        <v>41613</v>
      </c>
      <c r="B2601">
        <v>1.6378140000000001</v>
      </c>
      <c r="C2601">
        <f t="shared" si="42"/>
        <v>-6.5532238932727394E-4</v>
      </c>
      <c r="D2601">
        <f>(C2601-meanrtn)/stdevrtns</f>
        <v>-0.10058878095745979</v>
      </c>
    </row>
    <row r="2602" spans="1:4" x14ac:dyDescent="0.3">
      <c r="A2602" s="1">
        <v>41614</v>
      </c>
      <c r="B2602">
        <v>1.6334</v>
      </c>
      <c r="C2602">
        <f t="shared" si="42"/>
        <v>-2.6950557267187481E-3</v>
      </c>
      <c r="D2602">
        <f>(C2602-meanrtn)/stdevrtns</f>
        <v>-0.43865470599850825</v>
      </c>
    </row>
    <row r="2603" spans="1:4" x14ac:dyDescent="0.3">
      <c r="A2603" s="1">
        <v>41617</v>
      </c>
      <c r="B2603">
        <v>1.6328929999999999</v>
      </c>
      <c r="C2603">
        <f t="shared" si="42"/>
        <v>-3.1039549406148843E-4</v>
      </c>
      <c r="D2603">
        <f>(C2603-meanrtn)/stdevrtns</f>
        <v>-4.3420509114293522E-2</v>
      </c>
    </row>
    <row r="2604" spans="1:4" x14ac:dyDescent="0.3">
      <c r="A2604" s="1">
        <v>41618</v>
      </c>
      <c r="B2604">
        <v>1.642522</v>
      </c>
      <c r="C2604">
        <f t="shared" si="42"/>
        <v>5.8968958774396792E-3</v>
      </c>
      <c r="D2604">
        <f>(C2604-meanrtn)/stdevrtns</f>
        <v>0.9853775504347585</v>
      </c>
    </row>
    <row r="2605" spans="1:4" x14ac:dyDescent="0.3">
      <c r="A2605" s="1">
        <v>41619</v>
      </c>
      <c r="B2605">
        <v>1.6455759999999999</v>
      </c>
      <c r="C2605">
        <f t="shared" si="42"/>
        <v>1.859335826247618E-3</v>
      </c>
      <c r="D2605">
        <f>(C2605-meanrtn)/stdevrtns</f>
        <v>0.31619131486505575</v>
      </c>
    </row>
    <row r="2606" spans="1:4" x14ac:dyDescent="0.3">
      <c r="A2606" s="1">
        <v>41620</v>
      </c>
      <c r="B2606">
        <v>1.637626</v>
      </c>
      <c r="C2606">
        <f t="shared" si="42"/>
        <v>-4.8311351162145669E-3</v>
      </c>
      <c r="D2606">
        <f>(C2606-meanrtn)/stdevrtns</f>
        <v>-0.79268905035772219</v>
      </c>
    </row>
    <row r="2607" spans="1:4" x14ac:dyDescent="0.3">
      <c r="A2607" s="1">
        <v>41621</v>
      </c>
      <c r="B2607">
        <v>1.6339870000000001</v>
      </c>
      <c r="C2607">
        <f t="shared" si="42"/>
        <v>-2.2221190919049574E-3</v>
      </c>
      <c r="D2607">
        <f>(C2607-meanrtn)/stdevrtns</f>
        <v>-0.36027006718165533</v>
      </c>
    </row>
    <row r="2608" spans="1:4" x14ac:dyDescent="0.3">
      <c r="A2608" s="1">
        <v>41624</v>
      </c>
      <c r="B2608">
        <v>1.6304970000000001</v>
      </c>
      <c r="C2608">
        <f t="shared" si="42"/>
        <v>-2.13587990602128E-3</v>
      </c>
      <c r="D2608">
        <f>(C2608-meanrtn)/stdevrtns</f>
        <v>-0.34597676245593234</v>
      </c>
    </row>
    <row r="2609" spans="1:4" x14ac:dyDescent="0.3">
      <c r="A2609" s="1">
        <v>41625</v>
      </c>
      <c r="B2609">
        <v>1.6299650000000001</v>
      </c>
      <c r="C2609">
        <f t="shared" si="42"/>
        <v>-3.2628088245484468E-4</v>
      </c>
      <c r="D2609">
        <f>(C2609-meanrtn)/stdevrtns</f>
        <v>-4.6053357449607868E-2</v>
      </c>
    </row>
    <row r="2610" spans="1:4" x14ac:dyDescent="0.3">
      <c r="A2610" s="1">
        <v>41626</v>
      </c>
      <c r="B2610">
        <v>1.6277900000000001</v>
      </c>
      <c r="C2610">
        <f t="shared" si="42"/>
        <v>-1.3343844806483808E-3</v>
      </c>
      <c r="D2610">
        <f>(C2610-meanrtn)/stdevrtns</f>
        <v>-0.21313670565646142</v>
      </c>
    </row>
    <row r="2611" spans="1:4" x14ac:dyDescent="0.3">
      <c r="A2611" s="1">
        <v>41627</v>
      </c>
      <c r="B2611">
        <v>1.6387</v>
      </c>
      <c r="C2611">
        <f t="shared" si="42"/>
        <v>6.7023387537704336E-3</v>
      </c>
      <c r="D2611">
        <f>(C2611-meanrtn)/stdevrtns</f>
        <v>1.1188718587656223</v>
      </c>
    </row>
    <row r="2612" spans="1:4" x14ac:dyDescent="0.3">
      <c r="A2612" s="1">
        <v>41628</v>
      </c>
      <c r="B2612">
        <v>1.636474</v>
      </c>
      <c r="C2612">
        <f t="shared" si="42"/>
        <v>-1.3583938487826089E-3</v>
      </c>
      <c r="D2612">
        <f>(C2612-meanrtn)/stdevrtns</f>
        <v>-0.21711602447189496</v>
      </c>
    </row>
    <row r="2613" spans="1:4" x14ac:dyDescent="0.3">
      <c r="A2613" s="1">
        <v>41631</v>
      </c>
      <c r="B2613">
        <v>1.6331599999999999</v>
      </c>
      <c r="C2613">
        <f t="shared" si="42"/>
        <v>-2.0250856414462063E-3</v>
      </c>
      <c r="D2613">
        <f>(C2613-meanrtn)/stdevrtns</f>
        <v>-0.32761369270745455</v>
      </c>
    </row>
    <row r="2614" spans="1:4" x14ac:dyDescent="0.3">
      <c r="A2614" s="1">
        <v>41632</v>
      </c>
      <c r="B2614">
        <v>1.6350290000000001</v>
      </c>
      <c r="C2614">
        <f t="shared" si="42"/>
        <v>1.1444071615764044E-3</v>
      </c>
      <c r="D2614">
        <f>(C2614-meanrtn)/stdevrtns</f>
        <v>0.1976988551254282</v>
      </c>
    </row>
    <row r="2615" spans="1:4" x14ac:dyDescent="0.3">
      <c r="A2615" s="1">
        <v>41633</v>
      </c>
      <c r="B2615">
        <v>1.6370899999999999</v>
      </c>
      <c r="C2615">
        <f t="shared" si="42"/>
        <v>1.2605281007247386E-3</v>
      </c>
      <c r="D2615">
        <f>(C2615-meanrtn)/stdevrtns</f>
        <v>0.21694476928007958</v>
      </c>
    </row>
    <row r="2616" spans="1:4" x14ac:dyDescent="0.3">
      <c r="A2616" s="1">
        <v>41634</v>
      </c>
      <c r="B2616">
        <v>1.6354029999999999</v>
      </c>
      <c r="C2616">
        <f t="shared" si="42"/>
        <v>-1.0304870227049179E-3</v>
      </c>
      <c r="D2616">
        <f>(C2616-meanrtn)/stdevrtns</f>
        <v>-0.16276866324917977</v>
      </c>
    </row>
    <row r="2617" spans="1:4" x14ac:dyDescent="0.3">
      <c r="A2617" s="1">
        <v>41635</v>
      </c>
      <c r="B2617">
        <v>1.641632</v>
      </c>
      <c r="C2617">
        <f t="shared" si="42"/>
        <v>3.8088471159708282E-3</v>
      </c>
      <c r="D2617">
        <f>(C2617-meanrtn)/stdevrtns</f>
        <v>0.63930381464950881</v>
      </c>
    </row>
    <row r="2618" spans="1:4" x14ac:dyDescent="0.3">
      <c r="A2618" s="1">
        <v>41638</v>
      </c>
      <c r="B2618">
        <v>1.648234</v>
      </c>
      <c r="C2618">
        <f t="shared" si="42"/>
        <v>4.0216077659304865E-3</v>
      </c>
      <c r="D2618">
        <f>(C2618-meanrtn)/stdevrtns</f>
        <v>0.6745668191915295</v>
      </c>
    </row>
    <row r="2619" spans="1:4" x14ac:dyDescent="0.3">
      <c r="A2619" s="1">
        <v>41639</v>
      </c>
      <c r="B2619">
        <v>1.6495120000000001</v>
      </c>
      <c r="C2619">
        <f t="shared" si="42"/>
        <v>7.7537534112274856E-4</v>
      </c>
      <c r="D2619">
        <f>(C2619-meanrtn)/stdevrtns</f>
        <v>0.13653542681631717</v>
      </c>
    </row>
    <row r="2620" spans="1:4" x14ac:dyDescent="0.3">
      <c r="A2620" s="1">
        <v>41640</v>
      </c>
      <c r="B2620">
        <v>1.6563969999999999</v>
      </c>
      <c r="C2620">
        <f t="shared" si="42"/>
        <v>4.1739617535366874E-3</v>
      </c>
      <c r="D2620">
        <f>(C2620-meanrtn)/stdevrtns</f>
        <v>0.69981800806490013</v>
      </c>
    </row>
    <row r="2621" spans="1:4" x14ac:dyDescent="0.3">
      <c r="A2621" s="1">
        <v>41641</v>
      </c>
      <c r="B2621">
        <v>1.658072</v>
      </c>
      <c r="C2621">
        <f t="shared" si="42"/>
        <v>1.0112310031955463E-3</v>
      </c>
      <c r="D2621">
        <f>(C2621-meanrtn)/stdevrtns</f>
        <v>0.17562620457297165</v>
      </c>
    </row>
    <row r="2622" spans="1:4" x14ac:dyDescent="0.3">
      <c r="A2622" s="1">
        <v>41642</v>
      </c>
      <c r="B2622">
        <v>1.6447909999999999</v>
      </c>
      <c r="C2622">
        <f t="shared" si="42"/>
        <v>-8.0099054805823251E-3</v>
      </c>
      <c r="D2622">
        <f>(C2622-meanrtn)/stdevrtns</f>
        <v>-1.319539263580868</v>
      </c>
    </row>
    <row r="2623" spans="1:4" x14ac:dyDescent="0.3">
      <c r="A2623" s="1">
        <v>41645</v>
      </c>
      <c r="B2623">
        <v>1.6413089999999999</v>
      </c>
      <c r="C2623">
        <f t="shared" si="42"/>
        <v>-2.1169862918753724E-3</v>
      </c>
      <c r="D2623">
        <f>(C2623-meanrtn)/stdevrtns</f>
        <v>-0.34284533001497741</v>
      </c>
    </row>
    <row r="2624" spans="1:4" x14ac:dyDescent="0.3">
      <c r="A2624" s="1">
        <v>41646</v>
      </c>
      <c r="B2624">
        <v>1.641794</v>
      </c>
      <c r="C2624">
        <f t="shared" si="42"/>
        <v>2.9549585117736438E-4</v>
      </c>
      <c r="D2624">
        <f>(C2624-meanrtn)/stdevrtns</f>
        <v>5.700007741418265E-2</v>
      </c>
    </row>
    <row r="2625" spans="1:4" x14ac:dyDescent="0.3">
      <c r="A2625" s="1">
        <v>41647</v>
      </c>
      <c r="B2625">
        <v>1.6400159999999999</v>
      </c>
      <c r="C2625">
        <f t="shared" si="42"/>
        <v>-1.0829616870326347E-3</v>
      </c>
      <c r="D2625">
        <f>(C2625-meanrtn)/stdevrtns</f>
        <v>-0.17146582753627962</v>
      </c>
    </row>
    <row r="2626" spans="1:4" x14ac:dyDescent="0.3">
      <c r="A2626" s="1">
        <v>41648</v>
      </c>
      <c r="B2626">
        <v>1.6447099999999999</v>
      </c>
      <c r="C2626">
        <f t="shared" si="42"/>
        <v>2.862167198368782E-3</v>
      </c>
      <c r="D2626">
        <f>(C2626-meanrtn)/stdevrtns</f>
        <v>0.48240084297419916</v>
      </c>
    </row>
    <row r="2627" spans="1:4" x14ac:dyDescent="0.3">
      <c r="A2627" s="1">
        <v>41649</v>
      </c>
      <c r="B2627">
        <v>1.6479079999999999</v>
      </c>
      <c r="C2627">
        <f t="shared" si="42"/>
        <v>1.9444157328647811E-3</v>
      </c>
      <c r="D2627">
        <f>(C2627-meanrtn)/stdevrtns</f>
        <v>0.33029248034863828</v>
      </c>
    </row>
    <row r="2628" spans="1:4" x14ac:dyDescent="0.3">
      <c r="A2628" s="1">
        <v>41652</v>
      </c>
      <c r="B2628">
        <v>1.64943</v>
      </c>
      <c r="C2628">
        <f t="shared" ref="C2628:C2691" si="43">(B2628-B2627)/B2627</f>
        <v>9.2359524924936554E-4</v>
      </c>
      <c r="D2628">
        <f>(C2628-meanrtn)/stdevrtns</f>
        <v>0.16110143229936968</v>
      </c>
    </row>
    <row r="2629" spans="1:4" x14ac:dyDescent="0.3">
      <c r="A2629" s="1">
        <v>41653</v>
      </c>
      <c r="B2629">
        <v>1.638995</v>
      </c>
      <c r="C2629">
        <f t="shared" si="43"/>
        <v>-6.3264279175230063E-3</v>
      </c>
      <c r="D2629">
        <f>(C2629-meanrtn)/stdevrtns</f>
        <v>-1.0405192616970289</v>
      </c>
    </row>
    <row r="2630" spans="1:4" x14ac:dyDescent="0.3">
      <c r="A2630" s="1">
        <v>41654</v>
      </c>
      <c r="B2630">
        <v>1.6434120000000001</v>
      </c>
      <c r="C2630">
        <f t="shared" si="43"/>
        <v>2.6949441578529008E-3</v>
      </c>
      <c r="D2630">
        <f>(C2630-meanrtn)/stdevrtns</f>
        <v>0.45468525346852634</v>
      </c>
    </row>
    <row r="2631" spans="1:4" x14ac:dyDescent="0.3">
      <c r="A2631" s="1">
        <v>41655</v>
      </c>
      <c r="B2631">
        <v>1.6361790000000001</v>
      </c>
      <c r="C2631">
        <f t="shared" si="43"/>
        <v>-4.4012091916087043E-3</v>
      </c>
      <c r="D2631">
        <f>(C2631-meanrtn)/stdevrtns</f>
        <v>-0.72143301765156365</v>
      </c>
    </row>
    <row r="2632" spans="1:4" x14ac:dyDescent="0.3">
      <c r="A2632" s="1">
        <v>41656</v>
      </c>
      <c r="B2632">
        <v>1.6352960000000001</v>
      </c>
      <c r="C2632">
        <f t="shared" si="43"/>
        <v>-5.3967200410222056E-4</v>
      </c>
      <c r="D2632">
        <f>(C2632-meanrtn)/stdevrtns</f>
        <v>-8.1420856530406358E-2</v>
      </c>
    </row>
    <row r="2633" spans="1:4" x14ac:dyDescent="0.3">
      <c r="A2633" s="1">
        <v>41659</v>
      </c>
      <c r="B2633">
        <v>1.641794</v>
      </c>
      <c r="C2633">
        <f t="shared" si="43"/>
        <v>3.9735925483826125E-3</v>
      </c>
      <c r="D2633">
        <f>(C2633-meanrtn)/stdevrtns</f>
        <v>0.66660876475431174</v>
      </c>
    </row>
    <row r="2634" spans="1:4" x14ac:dyDescent="0.3">
      <c r="A2634" s="1">
        <v>41660</v>
      </c>
      <c r="B2634">
        <v>1.642414</v>
      </c>
      <c r="C2634">
        <f t="shared" si="43"/>
        <v>3.7763568389217219E-4</v>
      </c>
      <c r="D2634">
        <f>(C2634-meanrtn)/stdevrtns</f>
        <v>7.0613954297207279E-2</v>
      </c>
    </row>
    <row r="2635" spans="1:4" x14ac:dyDescent="0.3">
      <c r="A2635" s="1">
        <v>41661</v>
      </c>
      <c r="B2635">
        <v>1.6475280000000001</v>
      </c>
      <c r="C2635">
        <f t="shared" si="43"/>
        <v>3.1137094544981124E-3</v>
      </c>
      <c r="D2635">
        <f>(C2635-meanrtn)/stdevrtns</f>
        <v>0.52409152084193733</v>
      </c>
    </row>
    <row r="2636" spans="1:4" x14ac:dyDescent="0.3">
      <c r="A2636" s="1">
        <v>41662</v>
      </c>
      <c r="B2636">
        <v>1.6562049999999999</v>
      </c>
      <c r="C2636">
        <f t="shared" si="43"/>
        <v>5.2666783204897418E-3</v>
      </c>
      <c r="D2636">
        <f>(C2636-meanrtn)/stdevrtns</f>
        <v>0.88092513135538164</v>
      </c>
    </row>
    <row r="2637" spans="1:4" x14ac:dyDescent="0.3">
      <c r="A2637" s="1">
        <v>41663</v>
      </c>
      <c r="B2637">
        <v>1.663478</v>
      </c>
      <c r="C2637">
        <f t="shared" si="43"/>
        <v>4.3913645955664217E-3</v>
      </c>
      <c r="D2637">
        <f>(C2637-meanrtn)/stdevrtns</f>
        <v>0.73585041070794688</v>
      </c>
    </row>
    <row r="2638" spans="1:4" x14ac:dyDescent="0.3">
      <c r="A2638" s="1">
        <v>41666</v>
      </c>
      <c r="B2638">
        <v>1.649049</v>
      </c>
      <c r="C2638">
        <f t="shared" si="43"/>
        <v>-8.6739950874012307E-3</v>
      </c>
      <c r="D2638">
        <f>(C2638-meanrtn)/stdevrtns</f>
        <v>-1.4296056448689682</v>
      </c>
    </row>
    <row r="2639" spans="1:4" x14ac:dyDescent="0.3">
      <c r="A2639" s="1">
        <v>41667</v>
      </c>
      <c r="B2639">
        <v>1.6574949999999999</v>
      </c>
      <c r="C2639">
        <f t="shared" si="43"/>
        <v>5.1217398634000287E-3</v>
      </c>
      <c r="D2639">
        <f>(C2639-meanrtn)/stdevrtns</f>
        <v>0.85690299440648099</v>
      </c>
    </row>
    <row r="2640" spans="1:4" x14ac:dyDescent="0.3">
      <c r="A2640" s="1">
        <v>41668</v>
      </c>
      <c r="B2640">
        <v>1.6570009999999999</v>
      </c>
      <c r="C2640">
        <f t="shared" si="43"/>
        <v>-2.9804011475147402E-4</v>
      </c>
      <c r="D2640">
        <f>(C2640-meanrtn)/stdevrtns</f>
        <v>-4.1372725387321271E-2</v>
      </c>
    </row>
    <row r="2641" spans="1:4" x14ac:dyDescent="0.3">
      <c r="A2641" s="1">
        <v>41669</v>
      </c>
      <c r="B2641">
        <v>1.6559029999999999</v>
      </c>
      <c r="C2641">
        <f t="shared" si="43"/>
        <v>-6.6264293141648286E-4</v>
      </c>
      <c r="D2641">
        <f>(C2641-meanrtn)/stdevrtns</f>
        <v>-0.10180208947569742</v>
      </c>
    </row>
    <row r="2642" spans="1:4" x14ac:dyDescent="0.3">
      <c r="A2642" s="1">
        <v>41670</v>
      </c>
      <c r="B2642">
        <v>1.6498379999999999</v>
      </c>
      <c r="C2642">
        <f t="shared" si="43"/>
        <v>-3.6626541530512279E-3</v>
      </c>
      <c r="D2642">
        <f>(C2642-meanrtn)/stdevrtns</f>
        <v>-0.59902471666111867</v>
      </c>
    </row>
    <row r="2643" spans="1:4" x14ac:dyDescent="0.3">
      <c r="A2643" s="1">
        <v>41673</v>
      </c>
      <c r="B2643">
        <v>1.643791</v>
      </c>
      <c r="C2643">
        <f t="shared" si="43"/>
        <v>-3.6652083416674327E-3</v>
      </c>
      <c r="D2643">
        <f>(C2643-meanrtn)/stdevrtns</f>
        <v>-0.59944804853565226</v>
      </c>
    </row>
    <row r="2644" spans="1:4" x14ac:dyDescent="0.3">
      <c r="A2644" s="1">
        <v>41674</v>
      </c>
      <c r="B2644">
        <v>1.6308959999999999</v>
      </c>
      <c r="C2644">
        <f t="shared" si="43"/>
        <v>-7.8446712507855929E-3</v>
      </c>
      <c r="D2644">
        <f>(C2644-meanrtn)/stdevrtns</f>
        <v>-1.2921533000724643</v>
      </c>
    </row>
    <row r="2645" spans="1:4" x14ac:dyDescent="0.3">
      <c r="A2645" s="1">
        <v>41675</v>
      </c>
      <c r="B2645">
        <v>1.6330530000000001</v>
      </c>
      <c r="C2645">
        <f t="shared" si="43"/>
        <v>1.322585866910083E-3</v>
      </c>
      <c r="D2645">
        <f>(C2645-meanrtn)/stdevrtns</f>
        <v>0.22723023932012879</v>
      </c>
    </row>
    <row r="2646" spans="1:4" x14ac:dyDescent="0.3">
      <c r="A2646" s="1">
        <v>41676</v>
      </c>
      <c r="B2646">
        <v>1.632706</v>
      </c>
      <c r="C2646">
        <f t="shared" si="43"/>
        <v>-2.1248544903325074E-4</v>
      </c>
      <c r="D2646">
        <f>(C2646-meanrtn)/stdevrtns</f>
        <v>-2.7192873208900077E-2</v>
      </c>
    </row>
    <row r="2647" spans="1:4" x14ac:dyDescent="0.3">
      <c r="A2647" s="1">
        <v>41677</v>
      </c>
      <c r="B2647">
        <v>1.6322000000000001</v>
      </c>
      <c r="C2647">
        <f t="shared" si="43"/>
        <v>-3.0991495100764953E-4</v>
      </c>
      <c r="D2647">
        <f>(C2647-meanrtn)/stdevrtns</f>
        <v>-4.3340863785641955E-2</v>
      </c>
    </row>
    <row r="2648" spans="1:4" x14ac:dyDescent="0.3">
      <c r="A2648" s="1">
        <v>41680</v>
      </c>
      <c r="B2648">
        <v>1.6410389999999999</v>
      </c>
      <c r="C2648">
        <f t="shared" si="43"/>
        <v>5.415390270800036E-3</v>
      </c>
      <c r="D2648">
        <f>(C2648-meanrtn)/stdevrtns</f>
        <v>0.90557268803580626</v>
      </c>
    </row>
    <row r="2649" spans="1:4" x14ac:dyDescent="0.3">
      <c r="A2649" s="1">
        <v>41681</v>
      </c>
      <c r="B2649">
        <v>1.6408769999999999</v>
      </c>
      <c r="C2649">
        <f t="shared" si="43"/>
        <v>-9.8717946374215048E-5</v>
      </c>
      <c r="D2649">
        <f>(C2649-meanrtn)/stdevrtns</f>
        <v>-8.3370182199225366E-3</v>
      </c>
    </row>
    <row r="2650" spans="1:4" x14ac:dyDescent="0.3">
      <c r="A2650" s="1">
        <v>41682</v>
      </c>
      <c r="B2650">
        <v>1.6448719999999999</v>
      </c>
      <c r="C2650">
        <f t="shared" si="43"/>
        <v>2.4346736531744738E-3</v>
      </c>
      <c r="D2650">
        <f>(C2650-meanrtn)/stdevrtns</f>
        <v>0.41154795345384027</v>
      </c>
    </row>
    <row r="2651" spans="1:4" x14ac:dyDescent="0.3">
      <c r="A2651" s="1">
        <v>41683</v>
      </c>
      <c r="B2651">
        <v>1.660992</v>
      </c>
      <c r="C2651">
        <f t="shared" si="43"/>
        <v>9.8001546624905383E-3</v>
      </c>
      <c r="D2651">
        <f>(C2651-meanrtn)/stdevrtns</f>
        <v>1.6323046598040369</v>
      </c>
    </row>
    <row r="2652" spans="1:4" x14ac:dyDescent="0.3">
      <c r="A2652" s="1">
        <v>41684</v>
      </c>
      <c r="B2652">
        <v>1.6657230000000001</v>
      </c>
      <c r="C2652">
        <f t="shared" si="43"/>
        <v>2.8482978846376388E-3</v>
      </c>
      <c r="D2652">
        <f>(C2652-meanrtn)/stdevrtns</f>
        <v>0.48010213936905061</v>
      </c>
    </row>
    <row r="2653" spans="1:4" x14ac:dyDescent="0.3">
      <c r="A2653" s="1">
        <v>41687</v>
      </c>
      <c r="B2653">
        <v>1.676137</v>
      </c>
      <c r="C2653">
        <f t="shared" si="43"/>
        <v>6.2519398483420847E-3</v>
      </c>
      <c r="D2653">
        <f>(C2653-meanrtn)/stdevrtns</f>
        <v>1.0442226289815786</v>
      </c>
    </row>
    <row r="2654" spans="1:4" x14ac:dyDescent="0.3">
      <c r="A2654" s="1">
        <v>41688</v>
      </c>
      <c r="B2654">
        <v>1.6719889999999999</v>
      </c>
      <c r="C2654">
        <f t="shared" si="43"/>
        <v>-2.4747380434893096E-3</v>
      </c>
      <c r="D2654">
        <f>(C2654-meanrtn)/stdevrtns</f>
        <v>-0.40213919682949478</v>
      </c>
    </row>
    <row r="2655" spans="1:4" x14ac:dyDescent="0.3">
      <c r="A2655" s="1">
        <v>41689</v>
      </c>
      <c r="B2655">
        <v>1.6686129999999999</v>
      </c>
      <c r="C2655">
        <f t="shared" si="43"/>
        <v>-2.0191520398758879E-3</v>
      </c>
      <c r="D2655">
        <f>(C2655-meanrtn)/stdevrtns</f>
        <v>-0.32663025606555507</v>
      </c>
    </row>
    <row r="2656" spans="1:4" x14ac:dyDescent="0.3">
      <c r="A2656" s="1">
        <v>41690</v>
      </c>
      <c r="B2656">
        <v>1.667584</v>
      </c>
      <c r="C2656">
        <f t="shared" si="43"/>
        <v>-6.1667984128131964E-4</v>
      </c>
      <c r="D2656">
        <f>(C2656-meanrtn)/stdevrtns</f>
        <v>-9.4184155160734168E-2</v>
      </c>
    </row>
    <row r="2657" spans="1:4" x14ac:dyDescent="0.3">
      <c r="A2657" s="1">
        <v>41691</v>
      </c>
      <c r="B2657">
        <v>1.666167</v>
      </c>
      <c r="C2657">
        <f t="shared" si="43"/>
        <v>-8.4973230733804213E-4</v>
      </c>
      <c r="D2657">
        <f>(C2657-meanrtn)/stdevrtns</f>
        <v>-0.13281033049271201</v>
      </c>
    </row>
    <row r="2658" spans="1:4" x14ac:dyDescent="0.3">
      <c r="A2658" s="1">
        <v>41694</v>
      </c>
      <c r="B2658">
        <v>1.66334</v>
      </c>
      <c r="C2658">
        <f t="shared" si="43"/>
        <v>-1.6967086732601912E-3</v>
      </c>
      <c r="D2658">
        <f>(C2658-meanrtn)/stdevrtns</f>
        <v>-0.27318841001145772</v>
      </c>
    </row>
    <row r="2659" spans="1:4" x14ac:dyDescent="0.3">
      <c r="A2659" s="1">
        <v>41695</v>
      </c>
      <c r="B2659">
        <v>1.6656949999999999</v>
      </c>
      <c r="C2659">
        <f t="shared" si="43"/>
        <v>1.4158259886733228E-3</v>
      </c>
      <c r="D2659">
        <f>(C2659-meanrtn)/stdevrtns</f>
        <v>0.24268388094915705</v>
      </c>
    </row>
    <row r="2660" spans="1:4" x14ac:dyDescent="0.3">
      <c r="A2660" s="1">
        <v>41696</v>
      </c>
      <c r="B2660">
        <v>1.6677230000000001</v>
      </c>
      <c r="C2660">
        <f t="shared" si="43"/>
        <v>1.2175098082182758E-3</v>
      </c>
      <c r="D2660">
        <f>(C2660-meanrtn)/stdevrtns</f>
        <v>0.20981490647728687</v>
      </c>
    </row>
    <row r="2661" spans="1:4" x14ac:dyDescent="0.3">
      <c r="A2661" s="1">
        <v>41697</v>
      </c>
      <c r="B2661">
        <v>1.666833</v>
      </c>
      <c r="C2661">
        <f t="shared" si="43"/>
        <v>-5.3366176517326757E-4</v>
      </c>
      <c r="D2661">
        <f>(C2661-meanrtn)/stdevrtns</f>
        <v>-8.0424717993085273E-2</v>
      </c>
    </row>
    <row r="2662" spans="1:4" x14ac:dyDescent="0.3">
      <c r="A2662" s="1">
        <v>41698</v>
      </c>
      <c r="B2662">
        <v>1.669198</v>
      </c>
      <c r="C2662">
        <f t="shared" si="43"/>
        <v>1.4188583979318566E-3</v>
      </c>
      <c r="D2662">
        <f>(C2662-meanrtn)/stdevrtns</f>
        <v>0.24318647323526454</v>
      </c>
    </row>
    <row r="2663" spans="1:4" x14ac:dyDescent="0.3">
      <c r="A2663" s="1">
        <v>41701</v>
      </c>
      <c r="B2663">
        <v>1.672912</v>
      </c>
      <c r="C2663">
        <f t="shared" si="43"/>
        <v>2.2250206386540093E-3</v>
      </c>
      <c r="D2663">
        <f>(C2663-meanrtn)/stdevrtns</f>
        <v>0.37680000920435025</v>
      </c>
    </row>
    <row r="2664" spans="1:4" x14ac:dyDescent="0.3">
      <c r="A2664" s="1">
        <v>41702</v>
      </c>
      <c r="B2664">
        <v>1.666833</v>
      </c>
      <c r="C2664">
        <f t="shared" si="43"/>
        <v>-3.6337834865192826E-3</v>
      </c>
      <c r="D2664">
        <f>(C2664-meanrtn)/stdevrtns</f>
        <v>-0.5942396850058751</v>
      </c>
    </row>
    <row r="2665" spans="1:4" x14ac:dyDescent="0.3">
      <c r="A2665" s="1">
        <v>41703</v>
      </c>
      <c r="B2665">
        <v>1.6666939999999999</v>
      </c>
      <c r="C2665">
        <f t="shared" si="43"/>
        <v>-8.3391677510651194E-5</v>
      </c>
      <c r="D2665">
        <f>(C2665-meanrtn)/stdevrtns</f>
        <v>-5.796838498481764E-3</v>
      </c>
    </row>
    <row r="2666" spans="1:4" x14ac:dyDescent="0.3">
      <c r="A2666" s="1">
        <v>41704</v>
      </c>
      <c r="B2666">
        <v>1.671905</v>
      </c>
      <c r="C2666">
        <f t="shared" si="43"/>
        <v>3.1265487246009628E-3</v>
      </c>
      <c r="D2666">
        <f>(C2666-meanrtn)/stdevrtns</f>
        <v>0.52621950475267876</v>
      </c>
    </row>
    <row r="2667" spans="1:4" x14ac:dyDescent="0.3">
      <c r="A2667" s="1">
        <v>41705</v>
      </c>
      <c r="B2667">
        <v>1.6741729999999999</v>
      </c>
      <c r="C2667">
        <f t="shared" si="43"/>
        <v>1.3565364060756663E-3</v>
      </c>
      <c r="D2667">
        <f>(C2667-meanrtn)/stdevrtns</f>
        <v>0.23285721036494847</v>
      </c>
    </row>
    <row r="2668" spans="1:4" x14ac:dyDescent="0.3">
      <c r="A2668" s="1">
        <v>41708</v>
      </c>
      <c r="B2668">
        <v>1.673108</v>
      </c>
      <c r="C2668">
        <f t="shared" si="43"/>
        <v>-6.3613497529817513E-4</v>
      </c>
      <c r="D2668">
        <f>(C2668-meanrtn)/stdevrtns</f>
        <v>-9.7408654048719692E-2</v>
      </c>
    </row>
    <row r="2669" spans="1:4" x14ac:dyDescent="0.3">
      <c r="A2669" s="1">
        <v>41709</v>
      </c>
      <c r="B2669">
        <v>1.664004</v>
      </c>
      <c r="C2669">
        <f t="shared" si="43"/>
        <v>-5.4413701924801031E-3</v>
      </c>
      <c r="D2669">
        <f>(C2669-meanrtn)/stdevrtns</f>
        <v>-0.89382956797755531</v>
      </c>
    </row>
    <row r="2670" spans="1:4" x14ac:dyDescent="0.3">
      <c r="A2670" s="1">
        <v>41710</v>
      </c>
      <c r="B2670">
        <v>1.6620680000000001</v>
      </c>
      <c r="C2670">
        <f t="shared" si="43"/>
        <v>-1.1634587416856797E-3</v>
      </c>
      <c r="D2670">
        <f>(C2670-meanrtn)/stdevrtns</f>
        <v>-0.18480742996317498</v>
      </c>
    </row>
    <row r="2671" spans="1:4" x14ac:dyDescent="0.3">
      <c r="A2671" s="1">
        <v>41711</v>
      </c>
      <c r="B2671">
        <v>1.6621239999999999</v>
      </c>
      <c r="C2671">
        <f t="shared" si="43"/>
        <v>3.3692965630668513E-5</v>
      </c>
      <c r="D2671">
        <f>(C2671-meanrtn)/stdevrtns</f>
        <v>1.3608800202453235E-2</v>
      </c>
    </row>
    <row r="2672" spans="1:4" x14ac:dyDescent="0.3">
      <c r="A2672" s="1">
        <v>41712</v>
      </c>
      <c r="B2672">
        <v>1.6625110000000001</v>
      </c>
      <c r="C2672">
        <f t="shared" si="43"/>
        <v>2.3283461402406633E-4</v>
      </c>
      <c r="D2672">
        <f>(C2672-meanrtn)/stdevrtns</f>
        <v>4.6614587941555298E-2</v>
      </c>
    </row>
    <row r="2673" spans="1:4" x14ac:dyDescent="0.3">
      <c r="A2673" s="1">
        <v>41715</v>
      </c>
      <c r="B2673">
        <v>1.664253</v>
      </c>
      <c r="C2673">
        <f t="shared" si="43"/>
        <v>1.0478126159766223E-3</v>
      </c>
      <c r="D2673">
        <f>(C2673-meanrtn)/stdevrtns</f>
        <v>0.18168925043177175</v>
      </c>
    </row>
    <row r="2674" spans="1:4" x14ac:dyDescent="0.3">
      <c r="A2674" s="1">
        <v>41716</v>
      </c>
      <c r="B2674">
        <v>1.663921</v>
      </c>
      <c r="C2674">
        <f t="shared" si="43"/>
        <v>-1.9948889982472555E-4</v>
      </c>
      <c r="D2674">
        <f>(C2674-meanrtn)/stdevrtns</f>
        <v>-2.5038821818956884E-2</v>
      </c>
    </row>
    <row r="2675" spans="1:4" x14ac:dyDescent="0.3">
      <c r="A2675" s="1">
        <v>41717</v>
      </c>
      <c r="B2675">
        <v>1.6598059999999999</v>
      </c>
      <c r="C2675">
        <f t="shared" si="43"/>
        <v>-2.4730741423421489E-3</v>
      </c>
      <c r="D2675">
        <f>(C2675-meanrtn)/stdevrtns</f>
        <v>-0.40186342142778902</v>
      </c>
    </row>
    <row r="2676" spans="1:4" x14ac:dyDescent="0.3">
      <c r="A2676" s="1">
        <v>41718</v>
      </c>
      <c r="B2676">
        <v>1.653904</v>
      </c>
      <c r="C2676">
        <f t="shared" si="43"/>
        <v>-3.5558372484494286E-3</v>
      </c>
      <c r="D2676">
        <f>(C2676-meanrtn)/stdevrtns</f>
        <v>-0.58132085557189916</v>
      </c>
    </row>
    <row r="2677" spans="1:4" x14ac:dyDescent="0.3">
      <c r="A2677" s="1">
        <v>41719</v>
      </c>
      <c r="B2677">
        <v>1.650873</v>
      </c>
      <c r="C2677">
        <f t="shared" si="43"/>
        <v>-1.8326335748628734E-3</v>
      </c>
      <c r="D2677">
        <f>(C2677-meanrtn)/stdevrtns</f>
        <v>-0.29571663796854436</v>
      </c>
    </row>
    <row r="2678" spans="1:4" x14ac:dyDescent="0.3">
      <c r="A2678" s="1">
        <v>41722</v>
      </c>
      <c r="B2678">
        <v>1.649022</v>
      </c>
      <c r="C2678">
        <f t="shared" si="43"/>
        <v>-1.1212249518891199E-3</v>
      </c>
      <c r="D2678">
        <f>(C2678-meanrtn)/stdevrtns</f>
        <v>-0.17780759084017353</v>
      </c>
    </row>
    <row r="2679" spans="1:4" x14ac:dyDescent="0.3">
      <c r="A2679" s="1">
        <v>41723</v>
      </c>
      <c r="B2679">
        <v>1.6498379999999999</v>
      </c>
      <c r="C2679">
        <f t="shared" si="43"/>
        <v>4.9483875897345694E-4</v>
      </c>
      <c r="D2679">
        <f>(C2679-meanrtn)/stdevrtns</f>
        <v>9.0039221938163383E-2</v>
      </c>
    </row>
    <row r="2680" spans="1:4" x14ac:dyDescent="0.3">
      <c r="A2680" s="1">
        <v>41724</v>
      </c>
      <c r="B2680">
        <v>1.653302</v>
      </c>
      <c r="C2680">
        <f t="shared" si="43"/>
        <v>2.0996000819475209E-3</v>
      </c>
      <c r="D2680">
        <f>(C2680-meanrtn)/stdevrtns</f>
        <v>0.3560127740570509</v>
      </c>
    </row>
    <row r="2681" spans="1:4" x14ac:dyDescent="0.3">
      <c r="A2681" s="1">
        <v>41725</v>
      </c>
      <c r="B2681">
        <v>1.6576869999999999</v>
      </c>
      <c r="C2681">
        <f t="shared" si="43"/>
        <v>2.6522680066919783E-3</v>
      </c>
      <c r="D2681">
        <f>(C2681-meanrtn)/stdevrtns</f>
        <v>0.44761209725985285</v>
      </c>
    </row>
    <row r="2682" spans="1:4" x14ac:dyDescent="0.3">
      <c r="A2682" s="1">
        <v>41726</v>
      </c>
      <c r="B2682">
        <v>1.6607989999999999</v>
      </c>
      <c r="C2682">
        <f t="shared" si="43"/>
        <v>1.8773145955780577E-3</v>
      </c>
      <c r="D2682">
        <f>(C2682-meanrtn)/stdevrtns</f>
        <v>0.31917112069230552</v>
      </c>
    </row>
    <row r="2683" spans="1:4" x14ac:dyDescent="0.3">
      <c r="A2683" s="1">
        <v>41729</v>
      </c>
      <c r="B2683">
        <v>1.6643920000000001</v>
      </c>
      <c r="C2683">
        <f t="shared" si="43"/>
        <v>2.1634165242152598E-3</v>
      </c>
      <c r="D2683">
        <f>(C2683-meanrtn)/stdevrtns</f>
        <v>0.36658972752081204</v>
      </c>
    </row>
    <row r="2684" spans="1:4" x14ac:dyDescent="0.3">
      <c r="A2684" s="1">
        <v>41730</v>
      </c>
      <c r="B2684">
        <v>1.666639</v>
      </c>
      <c r="C2684">
        <f t="shared" si="43"/>
        <v>1.3500425380558714E-3</v>
      </c>
      <c r="D2684">
        <f>(C2684-meanrtn)/stdevrtns</f>
        <v>0.23178091501841364</v>
      </c>
    </row>
    <row r="2685" spans="1:4" x14ac:dyDescent="0.3">
      <c r="A2685" s="1">
        <v>41731</v>
      </c>
      <c r="B2685">
        <v>1.6633119999999999</v>
      </c>
      <c r="C2685">
        <f t="shared" si="43"/>
        <v>-1.9962331374701299E-3</v>
      </c>
      <c r="D2685">
        <f>(C2685-meanrtn)/stdevrtns</f>
        <v>-0.3228316713188662</v>
      </c>
    </row>
    <row r="2686" spans="1:4" x14ac:dyDescent="0.3">
      <c r="A2686" s="1">
        <v>41732</v>
      </c>
      <c r="B2686">
        <v>1.6627320000000001</v>
      </c>
      <c r="C2686">
        <f t="shared" si="43"/>
        <v>-3.4870186711801691E-4</v>
      </c>
      <c r="D2686">
        <f>(C2686-meanrtn)/stdevrtns</f>
        <v>-4.9769417182288375E-2</v>
      </c>
    </row>
    <row r="2687" spans="1:4" x14ac:dyDescent="0.3">
      <c r="A2687" s="1">
        <v>41733</v>
      </c>
      <c r="B2687">
        <v>1.6598889999999999</v>
      </c>
      <c r="C2687">
        <f t="shared" si="43"/>
        <v>-1.7098365822033562E-3</v>
      </c>
      <c r="D2687">
        <f>(C2687-meanrtn)/stdevrtns</f>
        <v>-0.27536423299741797</v>
      </c>
    </row>
    <row r="2688" spans="1:4" x14ac:dyDescent="0.3">
      <c r="A2688" s="1">
        <v>41736</v>
      </c>
      <c r="B2688">
        <v>1.657907</v>
      </c>
      <c r="C2688">
        <f t="shared" si="43"/>
        <v>-1.1940557471011185E-3</v>
      </c>
      <c r="D2688">
        <f>(C2688-meanrtn)/stdevrtns</f>
        <v>-0.18987858546651373</v>
      </c>
    </row>
    <row r="2689" spans="1:4" x14ac:dyDescent="0.3">
      <c r="A2689" s="1">
        <v>41737</v>
      </c>
      <c r="B2689">
        <v>1.6610469999999999</v>
      </c>
      <c r="C2689">
        <f t="shared" si="43"/>
        <v>1.8939542447193483E-3</v>
      </c>
      <c r="D2689">
        <f>(C2689-meanrtn)/stdevrtns</f>
        <v>0.32192898039689943</v>
      </c>
    </row>
    <row r="2690" spans="1:4" x14ac:dyDescent="0.3">
      <c r="A2690" s="1">
        <v>41738</v>
      </c>
      <c r="B2690">
        <v>1.675014</v>
      </c>
      <c r="C2690">
        <f t="shared" si="43"/>
        <v>8.408551955483538E-3</v>
      </c>
      <c r="D2690">
        <f>(C2690-meanrtn)/stdevrtns</f>
        <v>1.4016600712150251</v>
      </c>
    </row>
    <row r="2691" spans="1:4" x14ac:dyDescent="0.3">
      <c r="A2691" s="1">
        <v>41739</v>
      </c>
      <c r="B2691">
        <v>1.6799949999999999</v>
      </c>
      <c r="C2691">
        <f t="shared" si="43"/>
        <v>2.9737064884233218E-3</v>
      </c>
      <c r="D2691">
        <f>(C2691-meanrtn)/stdevrtns</f>
        <v>0.50088739343619848</v>
      </c>
    </row>
    <row r="2692" spans="1:4" x14ac:dyDescent="0.3">
      <c r="A2692" s="1">
        <v>41740</v>
      </c>
      <c r="B2692">
        <v>1.67774</v>
      </c>
      <c r="C2692">
        <f t="shared" ref="C2692:C2755" si="44">(B2692-B2691)/B2691</f>
        <v>-1.3422658996008298E-3</v>
      </c>
      <c r="D2692">
        <f>(C2692-meanrtn)/stdevrtns</f>
        <v>-0.21444297404946774</v>
      </c>
    </row>
    <row r="2693" spans="1:4" x14ac:dyDescent="0.3">
      <c r="A2693" s="1">
        <v>41743</v>
      </c>
      <c r="B2693">
        <v>1.672968</v>
      </c>
      <c r="C2693">
        <f t="shared" si="44"/>
        <v>-2.8443024544923517E-3</v>
      </c>
      <c r="D2693">
        <f>(C2693-meanrtn)/stdevrtns</f>
        <v>-0.46339089683248158</v>
      </c>
    </row>
    <row r="2694" spans="1:4" x14ac:dyDescent="0.3">
      <c r="A2694" s="1">
        <v>41744</v>
      </c>
      <c r="B2694">
        <v>1.672912</v>
      </c>
      <c r="C2694">
        <f t="shared" si="44"/>
        <v>-3.3473443604453887E-5</v>
      </c>
      <c r="D2694">
        <f>(C2694-meanrtn)/stdevrtns</f>
        <v>2.476622356698236E-3</v>
      </c>
    </row>
    <row r="2695" spans="1:4" x14ac:dyDescent="0.3">
      <c r="A2695" s="1">
        <v>41745</v>
      </c>
      <c r="B2695">
        <v>1.6725479999999999</v>
      </c>
      <c r="C2695">
        <f t="shared" si="44"/>
        <v>-2.1758466673682238E-4</v>
      </c>
      <c r="D2695">
        <f>(C2695-meanrtn)/stdevrtns</f>
        <v>-2.8038018855314928E-2</v>
      </c>
    </row>
    <row r="2696" spans="1:4" x14ac:dyDescent="0.3">
      <c r="A2696" s="1">
        <v>41746</v>
      </c>
      <c r="B2696">
        <v>1.680588</v>
      </c>
      <c r="C2696">
        <f t="shared" si="44"/>
        <v>4.8070369280881911E-3</v>
      </c>
      <c r="D2696">
        <f>(C2696-meanrtn)/stdevrtns</f>
        <v>0.80474404941645228</v>
      </c>
    </row>
    <row r="2697" spans="1:4" x14ac:dyDescent="0.3">
      <c r="A2697" s="1">
        <v>41747</v>
      </c>
      <c r="B2697">
        <v>1.678669</v>
      </c>
      <c r="C2697">
        <f t="shared" si="44"/>
        <v>-1.1418622529733664E-3</v>
      </c>
      <c r="D2697">
        <f>(C2697-meanrtn)/stdevrtns</f>
        <v>-0.18122802240027086</v>
      </c>
    </row>
    <row r="2698" spans="1:4" x14ac:dyDescent="0.3">
      <c r="A2698" s="1">
        <v>41750</v>
      </c>
      <c r="B2698">
        <v>1.6791769999999999</v>
      </c>
      <c r="C2698">
        <f t="shared" si="44"/>
        <v>3.0262070723886185E-4</v>
      </c>
      <c r="D2698">
        <f>(C2698-meanrtn)/stdevrtns</f>
        <v>5.8180952880136846E-2</v>
      </c>
    </row>
    <row r="2699" spans="1:4" x14ac:dyDescent="0.3">
      <c r="A2699" s="1">
        <v>41751</v>
      </c>
      <c r="B2699">
        <v>1.679289</v>
      </c>
      <c r="C2699">
        <f t="shared" si="44"/>
        <v>6.6699341403623328E-5</v>
      </c>
      <c r="D2699">
        <f>(C2699-meanrtn)/stdevrtns</f>
        <v>1.9079285365090383E-2</v>
      </c>
    </row>
    <row r="2700" spans="1:4" x14ac:dyDescent="0.3">
      <c r="A2700" s="1">
        <v>41752</v>
      </c>
      <c r="B2700">
        <v>1.68268</v>
      </c>
      <c r="C2700">
        <f t="shared" si="44"/>
        <v>2.0193069805137303E-3</v>
      </c>
      <c r="D2700">
        <f>(C2700-meanrtn)/stdevrtns</f>
        <v>0.34270497488887974</v>
      </c>
    </row>
    <row r="2701" spans="1:4" x14ac:dyDescent="0.3">
      <c r="A2701" s="1">
        <v>41753</v>
      </c>
      <c r="B2701">
        <v>1.6785000000000001</v>
      </c>
      <c r="C2701">
        <f t="shared" si="44"/>
        <v>-2.4841324553687275E-3</v>
      </c>
      <c r="D2701">
        <f>(C2701-meanrtn)/stdevrtns</f>
        <v>-0.40369622905719449</v>
      </c>
    </row>
    <row r="2702" spans="1:4" x14ac:dyDescent="0.3">
      <c r="A2702" s="1">
        <v>41754</v>
      </c>
      <c r="B2702">
        <v>1.680955</v>
      </c>
      <c r="C2702">
        <f t="shared" si="44"/>
        <v>1.4626154304437735E-3</v>
      </c>
      <c r="D2702">
        <f>(C2702-meanrtn)/stdevrtns</f>
        <v>0.25043877499550848</v>
      </c>
    </row>
    <row r="2703" spans="1:4" x14ac:dyDescent="0.3">
      <c r="A2703" s="1">
        <v>41757</v>
      </c>
      <c r="B2703">
        <v>1.6805589999999999</v>
      </c>
      <c r="C2703">
        <f t="shared" si="44"/>
        <v>-2.3558036949237961E-4</v>
      </c>
      <c r="D2703">
        <f>(C2703-meanrtn)/stdevrtns</f>
        <v>-3.1020631232774726E-2</v>
      </c>
    </row>
    <row r="2704" spans="1:4" x14ac:dyDescent="0.3">
      <c r="A2704" s="1">
        <v>41758</v>
      </c>
      <c r="B2704">
        <v>1.681011</v>
      </c>
      <c r="C2704">
        <f t="shared" si="44"/>
        <v>2.6895812643300173E-4</v>
      </c>
      <c r="D2704">
        <f>(C2704-meanrtn)/stdevrtns</f>
        <v>5.2601708127508667E-2</v>
      </c>
    </row>
    <row r="2705" spans="1:4" x14ac:dyDescent="0.3">
      <c r="A2705" s="1">
        <v>41759</v>
      </c>
      <c r="B2705">
        <v>1.6824250000000001</v>
      </c>
      <c r="C2705">
        <f t="shared" si="44"/>
        <v>8.4116046831342946E-4</v>
      </c>
      <c r="D2705">
        <f>(C2705-meanrtn)/stdevrtns</f>
        <v>0.14743867062273647</v>
      </c>
    </row>
    <row r="2706" spans="1:4" x14ac:dyDescent="0.3">
      <c r="A2706" s="1">
        <v>41760</v>
      </c>
      <c r="B2706">
        <v>1.6876500000000001</v>
      </c>
      <c r="C2706">
        <f t="shared" si="44"/>
        <v>3.1056362096378949E-3</v>
      </c>
      <c r="D2706">
        <f>(C2706-meanrtn)/stdevrtns</f>
        <v>0.52275345917391425</v>
      </c>
    </row>
    <row r="2707" spans="1:4" x14ac:dyDescent="0.3">
      <c r="A2707" s="1">
        <v>41761</v>
      </c>
      <c r="B2707">
        <v>1.689532</v>
      </c>
      <c r="C2707">
        <f t="shared" si="44"/>
        <v>1.1151601339139865E-3</v>
      </c>
      <c r="D2707">
        <f>(C2707-meanrtn)/stdevrtns</f>
        <v>0.19285144528015841</v>
      </c>
    </row>
    <row r="2708" spans="1:4" x14ac:dyDescent="0.3">
      <c r="A2708" s="1">
        <v>41764</v>
      </c>
      <c r="B2708">
        <v>1.6879059999999999</v>
      </c>
      <c r="C2708">
        <f t="shared" si="44"/>
        <v>-9.6239668736675446E-4</v>
      </c>
      <c r="D2708">
        <f>(C2708-meanrtn)/stdevrtns</f>
        <v>-0.15148335365479454</v>
      </c>
    </row>
    <row r="2709" spans="1:4" x14ac:dyDescent="0.3">
      <c r="A2709" s="1">
        <v>41765</v>
      </c>
      <c r="B2709">
        <v>1.686995</v>
      </c>
      <c r="C2709">
        <f t="shared" si="44"/>
        <v>-5.3972199873682789E-4</v>
      </c>
      <c r="D2709">
        <f>(C2709-meanrtn)/stdevrtns</f>
        <v>-8.1429142653933279E-2</v>
      </c>
    </row>
    <row r="2710" spans="1:4" x14ac:dyDescent="0.3">
      <c r="A2710" s="1">
        <v>41766</v>
      </c>
      <c r="B2710">
        <v>1.697678</v>
      </c>
      <c r="C2710">
        <f t="shared" si="44"/>
        <v>6.3325617444035089E-3</v>
      </c>
      <c r="D2710">
        <f>(C2710-meanrtn)/stdevrtns</f>
        <v>1.0575849226554295</v>
      </c>
    </row>
    <row r="2711" spans="1:4" x14ac:dyDescent="0.3">
      <c r="A2711" s="1">
        <v>41767</v>
      </c>
      <c r="B2711">
        <v>1.6955480000000001</v>
      </c>
      <c r="C2711">
        <f t="shared" si="44"/>
        <v>-1.2546548874403539E-3</v>
      </c>
      <c r="D2711">
        <f>(C2711-meanrtn)/stdevrtns</f>
        <v>-0.19992230248575665</v>
      </c>
    </row>
    <row r="2712" spans="1:4" x14ac:dyDescent="0.3">
      <c r="A2712" s="1">
        <v>41768</v>
      </c>
      <c r="B2712">
        <v>1.6935370000000001</v>
      </c>
      <c r="C2712">
        <f t="shared" si="44"/>
        <v>-1.1860472248500101E-3</v>
      </c>
      <c r="D2712">
        <f>(C2712-meanrtn)/stdevrtns</f>
        <v>-0.18855125094027847</v>
      </c>
    </row>
    <row r="2713" spans="1:4" x14ac:dyDescent="0.3">
      <c r="A2713" s="1">
        <v>41771</v>
      </c>
      <c r="B2713">
        <v>1.6860280000000001</v>
      </c>
      <c r="C2713">
        <f t="shared" si="44"/>
        <v>-4.4339155270891554E-3</v>
      </c>
      <c r="D2713">
        <f>(C2713-meanrtn)/stdevrtns</f>
        <v>-0.72685377405938001</v>
      </c>
    </row>
    <row r="2714" spans="1:4" x14ac:dyDescent="0.3">
      <c r="A2714" s="1">
        <v>41772</v>
      </c>
      <c r="B2714">
        <v>1.687365</v>
      </c>
      <c r="C2714">
        <f t="shared" si="44"/>
        <v>7.929880168063173E-4</v>
      </c>
      <c r="D2714">
        <f>(C2714-meanrtn)/stdevrtns</f>
        <v>0.1394545561888989</v>
      </c>
    </row>
    <row r="2715" spans="1:4" x14ac:dyDescent="0.3">
      <c r="A2715" s="1">
        <v>41773</v>
      </c>
      <c r="B2715">
        <v>1.6834169999999999</v>
      </c>
      <c r="C2715">
        <f t="shared" si="44"/>
        <v>-2.3397427349743905E-3</v>
      </c>
      <c r="D2715">
        <f>(C2715-meanrtn)/stdevrtns</f>
        <v>-0.37976503986853566</v>
      </c>
    </row>
    <row r="2716" spans="1:4" x14ac:dyDescent="0.3">
      <c r="A2716" s="1">
        <v>41774</v>
      </c>
      <c r="B2716">
        <v>1.6770080000000001</v>
      </c>
      <c r="C2716">
        <f t="shared" si="44"/>
        <v>-3.8071375066307915E-3</v>
      </c>
      <c r="D2716">
        <f>(C2716-meanrtn)/stdevrtns</f>
        <v>-0.62297142463784538</v>
      </c>
    </row>
    <row r="2717" spans="1:4" x14ac:dyDescent="0.3">
      <c r="A2717" s="1">
        <v>41775</v>
      </c>
      <c r="B2717">
        <v>1.679543</v>
      </c>
      <c r="C2717">
        <f t="shared" si="44"/>
        <v>1.5116206959060146E-3</v>
      </c>
      <c r="D2717">
        <f>(C2717-meanrtn)/stdevrtns</f>
        <v>0.25856092022727761</v>
      </c>
    </row>
    <row r="2718" spans="1:4" x14ac:dyDescent="0.3">
      <c r="A2718" s="1">
        <v>41778</v>
      </c>
      <c r="B2718">
        <v>1.6824250000000001</v>
      </c>
      <c r="C2718">
        <f t="shared" si="44"/>
        <v>1.7159429678192527E-3</v>
      </c>
      <c r="D2718">
        <f>(C2718-meanrtn)/stdevrtns</f>
        <v>0.29242534583360402</v>
      </c>
    </row>
    <row r="2719" spans="1:4" x14ac:dyDescent="0.3">
      <c r="A2719" s="1">
        <v>41779</v>
      </c>
      <c r="B2719">
        <v>1.6816899999999999</v>
      </c>
      <c r="C2719">
        <f t="shared" si="44"/>
        <v>-4.3686939982474828E-4</v>
      </c>
      <c r="D2719">
        <f>(C2719-meanrtn)/stdevrtns</f>
        <v>-6.4382326603676848E-2</v>
      </c>
    </row>
    <row r="2720" spans="1:4" x14ac:dyDescent="0.3">
      <c r="A2720" s="1">
        <v>41780</v>
      </c>
      <c r="B2720">
        <v>1.6837279999999999</v>
      </c>
      <c r="C2720">
        <f t="shared" si="44"/>
        <v>1.2118761483983281E-3</v>
      </c>
      <c r="D2720">
        <f>(C2720-meanrtn)/stdevrtns</f>
        <v>0.2088811822578098</v>
      </c>
    </row>
    <row r="2721" spans="1:4" x14ac:dyDescent="0.3">
      <c r="A2721" s="1">
        <v>41781</v>
      </c>
      <c r="B2721">
        <v>1.689703</v>
      </c>
      <c r="C2721">
        <f t="shared" si="44"/>
        <v>3.5486729447987229E-3</v>
      </c>
      <c r="D2721">
        <f>(C2721-meanrtn)/stdevrtns</f>
        <v>0.59618248097479964</v>
      </c>
    </row>
    <row r="2722" spans="1:4" x14ac:dyDescent="0.3">
      <c r="A2722" s="1">
        <v>41782</v>
      </c>
      <c r="B2722">
        <v>1.686739</v>
      </c>
      <c r="C2722">
        <f t="shared" si="44"/>
        <v>-1.7541544283225909E-3</v>
      </c>
      <c r="D2722">
        <f>(C2722-meanrtn)/stdevrtns</f>
        <v>-0.28270948414837782</v>
      </c>
    </row>
    <row r="2723" spans="1:4" x14ac:dyDescent="0.3">
      <c r="A2723" s="1">
        <v>41785</v>
      </c>
      <c r="B2723">
        <v>1.6834169999999999</v>
      </c>
      <c r="C2723">
        <f t="shared" si="44"/>
        <v>-1.9694807554696057E-3</v>
      </c>
      <c r="D2723">
        <f>(C2723-meanrtn)/stdevrtns</f>
        <v>-0.31839772468365318</v>
      </c>
    </row>
    <row r="2724" spans="1:4" x14ac:dyDescent="0.3">
      <c r="A2724" s="1">
        <v>41786</v>
      </c>
      <c r="B2724">
        <v>1.6843809999999999</v>
      </c>
      <c r="C2724">
        <f t="shared" si="44"/>
        <v>5.7264480517896926E-4</v>
      </c>
      <c r="D2724">
        <f>(C2724-meanrtn)/stdevrtns</f>
        <v>0.10293481593668653</v>
      </c>
    </row>
    <row r="2725" spans="1:4" x14ac:dyDescent="0.3">
      <c r="A2725" s="1">
        <v>41787</v>
      </c>
      <c r="B2725">
        <v>1.681209</v>
      </c>
      <c r="C2725">
        <f t="shared" si="44"/>
        <v>-1.883184386430358E-3</v>
      </c>
      <c r="D2725">
        <f>(C2725-meanrtn)/stdevrtns</f>
        <v>-0.30409494240710022</v>
      </c>
    </row>
    <row r="2726" spans="1:4" x14ac:dyDescent="0.3">
      <c r="A2726" s="1">
        <v>41788</v>
      </c>
      <c r="B2726">
        <v>1.6715979999999999</v>
      </c>
      <c r="C2726">
        <f t="shared" si="44"/>
        <v>-5.716719337096123E-3</v>
      </c>
      <c r="D2726">
        <f>(C2726-meanrtn)/stdevrtns</f>
        <v>-0.93946600563215577</v>
      </c>
    </row>
    <row r="2727" spans="1:4" x14ac:dyDescent="0.3">
      <c r="A2727" s="1">
        <v>41789</v>
      </c>
      <c r="B2727">
        <v>1.672436</v>
      </c>
      <c r="C2727">
        <f t="shared" si="44"/>
        <v>5.0131670413587268E-4</v>
      </c>
      <c r="D2727">
        <f>(C2727-meanrtn)/stdevrtns</f>
        <v>9.1112878226243629E-2</v>
      </c>
    </row>
    <row r="2728" spans="1:4" x14ac:dyDescent="0.3">
      <c r="A2728" s="1">
        <v>41792</v>
      </c>
      <c r="B2728">
        <v>1.675659</v>
      </c>
      <c r="C2728">
        <f t="shared" si="44"/>
        <v>1.9271290500802278E-3</v>
      </c>
      <c r="D2728">
        <f>(C2728-meanrtn)/stdevrtns</f>
        <v>0.3274273811225184</v>
      </c>
    </row>
    <row r="2729" spans="1:4" x14ac:dyDescent="0.3">
      <c r="A2729" s="1">
        <v>41793</v>
      </c>
      <c r="B2729">
        <v>1.674593</v>
      </c>
      <c r="C2729">
        <f t="shared" si="44"/>
        <v>-6.3616762121649533E-4</v>
      </c>
      <c r="D2729">
        <f>(C2729-meanrtn)/stdevrtns</f>
        <v>-9.7414064791571914E-2</v>
      </c>
    </row>
    <row r="2730" spans="1:4" x14ac:dyDescent="0.3">
      <c r="A2730" s="1">
        <v>41794</v>
      </c>
      <c r="B2730">
        <v>1.6741170000000001</v>
      </c>
      <c r="C2730">
        <f t="shared" si="44"/>
        <v>-2.8424817254098217E-4</v>
      </c>
      <c r="D2730">
        <f>(C2730-meanrtn)/stdevrtns</f>
        <v>-3.9086845357794768E-2</v>
      </c>
    </row>
    <row r="2731" spans="1:4" x14ac:dyDescent="0.3">
      <c r="A2731" s="1">
        <v>41795</v>
      </c>
      <c r="B2731">
        <v>1.674004</v>
      </c>
      <c r="C2731">
        <f t="shared" si="44"/>
        <v>-6.7498269236875168E-5</v>
      </c>
      <c r="D2731">
        <f>(C2731-meanrtn)/stdevrtns</f>
        <v>-3.1626609461354043E-3</v>
      </c>
    </row>
    <row r="2732" spans="1:4" x14ac:dyDescent="0.3">
      <c r="A2732" s="1">
        <v>41796</v>
      </c>
      <c r="B2732">
        <v>1.681011</v>
      </c>
      <c r="C2732">
        <f t="shared" si="44"/>
        <v>4.1857725549042804E-3</v>
      </c>
      <c r="D2732">
        <f>(C2732-meanrtn)/stdevrtns</f>
        <v>0.701775533304409</v>
      </c>
    </row>
    <row r="2733" spans="1:4" x14ac:dyDescent="0.3">
      <c r="A2733" s="1">
        <v>41799</v>
      </c>
      <c r="B2733">
        <v>1.6801919999999999</v>
      </c>
      <c r="C2733">
        <f t="shared" si="44"/>
        <v>-4.8720680590437845E-4</v>
      </c>
      <c r="D2733">
        <f>(C2733-meanrtn)/stdevrtns</f>
        <v>-7.2725261162093116E-2</v>
      </c>
    </row>
    <row r="2734" spans="1:4" x14ac:dyDescent="0.3">
      <c r="A2734" s="1">
        <v>41800</v>
      </c>
      <c r="B2734">
        <v>1.6803900000000001</v>
      </c>
      <c r="C2734">
        <f t="shared" si="44"/>
        <v>1.1784367500865527E-4</v>
      </c>
      <c r="D2734">
        <f>(C2734-meanrtn)/stdevrtns</f>
        <v>2.7555960297954273E-2</v>
      </c>
    </row>
    <row r="2735" spans="1:4" x14ac:dyDescent="0.3">
      <c r="A2735" s="1">
        <v>41801</v>
      </c>
      <c r="B2735">
        <v>1.6753229999999999</v>
      </c>
      <c r="C2735">
        <f t="shared" si="44"/>
        <v>-3.0153714316320346E-3</v>
      </c>
      <c r="D2735">
        <f>(C2735-meanrtn)/stdevrtns</f>
        <v>-0.49174391285785696</v>
      </c>
    </row>
    <row r="2736" spans="1:4" x14ac:dyDescent="0.3">
      <c r="A2736" s="1">
        <v>41802</v>
      </c>
      <c r="B2736">
        <v>1.678979</v>
      </c>
      <c r="C2736">
        <f t="shared" si="44"/>
        <v>2.1822657481572832E-3</v>
      </c>
      <c r="D2736">
        <f>(C2736-meanrtn)/stdevrtns</f>
        <v>0.36971380271802151</v>
      </c>
    </row>
    <row r="2737" spans="1:4" x14ac:dyDescent="0.3">
      <c r="A2737" s="1">
        <v>41803</v>
      </c>
      <c r="B2737">
        <v>1.6958930000000001</v>
      </c>
      <c r="C2737">
        <f t="shared" si="44"/>
        <v>1.0073979483960249E-2</v>
      </c>
      <c r="D2737">
        <f>(C2737-meanrtn)/stdevrtns</f>
        <v>1.6776884557504925</v>
      </c>
    </row>
    <row r="2738" spans="1:4" x14ac:dyDescent="0.3">
      <c r="A2738" s="1">
        <v>41806</v>
      </c>
      <c r="B2738">
        <v>1.6977930000000001</v>
      </c>
      <c r="C2738">
        <f t="shared" si="44"/>
        <v>1.1203537015601886E-3</v>
      </c>
      <c r="D2738">
        <f>(C2738-meanrtn)/stdevrtns</f>
        <v>0.19371222851019668</v>
      </c>
    </row>
    <row r="2739" spans="1:4" x14ac:dyDescent="0.3">
      <c r="A2739" s="1">
        <v>41807</v>
      </c>
      <c r="B2739">
        <v>1.6978500000000001</v>
      </c>
      <c r="C2739">
        <f t="shared" si="44"/>
        <v>3.3572997414863731E-5</v>
      </c>
      <c r="D2739">
        <f>(C2739-meanrtn)/stdevrtns</f>
        <v>1.3588916639681526E-2</v>
      </c>
    </row>
    <row r="2740" spans="1:4" x14ac:dyDescent="0.3">
      <c r="A2740" s="1">
        <v>41808</v>
      </c>
      <c r="B2740">
        <v>1.6959789999999999</v>
      </c>
      <c r="C2740">
        <f t="shared" si="44"/>
        <v>-1.1019819183085537E-3</v>
      </c>
      <c r="D2740">
        <f>(C2740-meanrtn)/stdevrtns</f>
        <v>-0.17461824553274743</v>
      </c>
    </row>
    <row r="2741" spans="1:4" x14ac:dyDescent="0.3">
      <c r="A2741" s="1">
        <v>41809</v>
      </c>
      <c r="B2741">
        <v>1.6998709999999999</v>
      </c>
      <c r="C2741">
        <f t="shared" si="44"/>
        <v>2.2948397356335232E-3</v>
      </c>
      <c r="D2741">
        <f>(C2741-meanrtn)/stdevrtns</f>
        <v>0.38837184419533755</v>
      </c>
    </row>
    <row r="2742" spans="1:4" x14ac:dyDescent="0.3">
      <c r="A2742" s="1">
        <v>41810</v>
      </c>
      <c r="B2742">
        <v>1.704013</v>
      </c>
      <c r="C2742">
        <f t="shared" si="44"/>
        <v>2.4366554873870372E-3</v>
      </c>
      <c r="D2742">
        <f>(C2742-meanrtn)/stdevrtns</f>
        <v>0.41187642316312351</v>
      </c>
    </row>
    <row r="2743" spans="1:4" x14ac:dyDescent="0.3">
      <c r="A2743" s="1">
        <v>41813</v>
      </c>
      <c r="B2743">
        <v>1.702272</v>
      </c>
      <c r="C2743">
        <f t="shared" si="44"/>
        <v>-1.0217058203194416E-3</v>
      </c>
      <c r="D2743">
        <f>(C2743-meanrtn)/stdevrtns</f>
        <v>-0.16131326451984629</v>
      </c>
    </row>
    <row r="2744" spans="1:4" x14ac:dyDescent="0.3">
      <c r="A2744" s="1">
        <v>41814</v>
      </c>
      <c r="B2744">
        <v>1.7025330000000001</v>
      </c>
      <c r="C2744">
        <f t="shared" si="44"/>
        <v>1.5332449808260181E-4</v>
      </c>
      <c r="D2744">
        <f>(C2744-meanrtn)/stdevrtns</f>
        <v>3.34365609891462E-2</v>
      </c>
    </row>
    <row r="2745" spans="1:4" x14ac:dyDescent="0.3">
      <c r="A2745" s="1">
        <v>41815</v>
      </c>
      <c r="B2745">
        <v>1.6980519999999999</v>
      </c>
      <c r="C2745">
        <f t="shared" si="44"/>
        <v>-2.631960731451419E-3</v>
      </c>
      <c r="D2745">
        <f>(C2745-meanrtn)/stdevrtns</f>
        <v>-0.42819732534511923</v>
      </c>
    </row>
    <row r="2746" spans="1:4" x14ac:dyDescent="0.3">
      <c r="A2746" s="1">
        <v>41816</v>
      </c>
      <c r="B2746">
        <v>1.6986000000000001</v>
      </c>
      <c r="C2746">
        <f t="shared" si="44"/>
        <v>3.2272274347323583E-4</v>
      </c>
      <c r="D2746">
        <f>(C2746-meanrtn)/stdevrtns</f>
        <v>6.151266950711181E-2</v>
      </c>
    </row>
    <row r="2747" spans="1:4" x14ac:dyDescent="0.3">
      <c r="A2747" s="1">
        <v>41817</v>
      </c>
      <c r="B2747">
        <v>1.7025330000000001</v>
      </c>
      <c r="C2747">
        <f t="shared" si="44"/>
        <v>2.3154362416107173E-3</v>
      </c>
      <c r="D2747">
        <f>(C2747-meanrtn)/stdevrtns</f>
        <v>0.39178551436395787</v>
      </c>
    </row>
    <row r="2748" spans="1:4" x14ac:dyDescent="0.3">
      <c r="A2748" s="1">
        <v>41820</v>
      </c>
      <c r="B2748">
        <v>1.703403</v>
      </c>
      <c r="C2748">
        <f t="shared" si="44"/>
        <v>5.1100331094899561E-4</v>
      </c>
      <c r="D2748">
        <f>(C2748-meanrtn)/stdevrtns</f>
        <v>9.2718338916990203E-2</v>
      </c>
    </row>
    <row r="2749" spans="1:4" x14ac:dyDescent="0.3">
      <c r="A2749" s="1">
        <v>41821</v>
      </c>
      <c r="B2749">
        <v>1.7109810000000001</v>
      </c>
      <c r="C2749">
        <f t="shared" si="44"/>
        <v>4.4487417246535819E-3</v>
      </c>
      <c r="D2749">
        <f>(C2749-meanrtn)/stdevrtns</f>
        <v>0.74536011075817832</v>
      </c>
    </row>
    <row r="2750" spans="1:4" x14ac:dyDescent="0.3">
      <c r="A2750" s="1">
        <v>41822</v>
      </c>
      <c r="B2750">
        <v>1.7148540000000001</v>
      </c>
      <c r="C2750">
        <f t="shared" si="44"/>
        <v>2.2636136812740851E-3</v>
      </c>
      <c r="D2750">
        <f>(C2750-meanrtn)/stdevrtns</f>
        <v>0.38319642995912878</v>
      </c>
    </row>
    <row r="2751" spans="1:4" x14ac:dyDescent="0.3">
      <c r="A2751" s="1">
        <v>41823</v>
      </c>
      <c r="B2751">
        <v>1.7160899999999999</v>
      </c>
      <c r="C2751">
        <f t="shared" si="44"/>
        <v>7.207610677059346E-4</v>
      </c>
      <c r="D2751">
        <f>(C2751-meanrtn)/stdevrtns</f>
        <v>0.1274836431715434</v>
      </c>
    </row>
    <row r="2752" spans="1:4" x14ac:dyDescent="0.3">
      <c r="A2752" s="1">
        <v>41824</v>
      </c>
      <c r="B2752">
        <v>1.715266</v>
      </c>
      <c r="C2752">
        <f t="shared" si="44"/>
        <v>-4.8016129690164032E-4</v>
      </c>
      <c r="D2752">
        <f>(C2752-meanrtn)/stdevrtns</f>
        <v>-7.1557536697952256E-2</v>
      </c>
    </row>
    <row r="2753" spans="1:4" x14ac:dyDescent="0.3">
      <c r="A2753" s="1">
        <v>41827</v>
      </c>
      <c r="B2753">
        <v>1.7151479999999999</v>
      </c>
      <c r="C2753">
        <f t="shared" si="44"/>
        <v>-6.8793994634104859E-5</v>
      </c>
      <c r="D2753">
        <f>(C2753-meanrtn)/stdevrtns</f>
        <v>-3.3774148048794231E-3</v>
      </c>
    </row>
    <row r="2754" spans="1:4" x14ac:dyDescent="0.3">
      <c r="A2754" s="1">
        <v>41828</v>
      </c>
      <c r="B2754">
        <v>1.713444</v>
      </c>
      <c r="C2754">
        <f t="shared" si="44"/>
        <v>-9.9350026936446761E-4</v>
      </c>
      <c r="D2754">
        <f>(C2754-meanrtn)/stdevrtns</f>
        <v>-0.15663846929044634</v>
      </c>
    </row>
    <row r="2755" spans="1:4" x14ac:dyDescent="0.3">
      <c r="A2755" s="1">
        <v>41829</v>
      </c>
      <c r="B2755">
        <v>1.7140310000000001</v>
      </c>
      <c r="C2755">
        <f t="shared" si="44"/>
        <v>3.4258487584077171E-4</v>
      </c>
      <c r="D2755">
        <f>(C2755-meanrtn)/stdevrtns</f>
        <v>6.4804624405836911E-2</v>
      </c>
    </row>
    <row r="2756" spans="1:4" x14ac:dyDescent="0.3">
      <c r="A2756" s="1">
        <v>41830</v>
      </c>
      <c r="B2756">
        <v>1.7158549999999999</v>
      </c>
      <c r="C2756">
        <f t="shared" ref="C2756:C2819" si="45">(B2756-B2755)/B2755</f>
        <v>1.0641581161599911E-3</v>
      </c>
      <c r="D2756">
        <f>(C2756-meanrtn)/stdevrtns</f>
        <v>0.18439835781284539</v>
      </c>
    </row>
    <row r="2757" spans="1:4" x14ac:dyDescent="0.3">
      <c r="A2757" s="1">
        <v>41831</v>
      </c>
      <c r="B2757">
        <v>1.7130909999999999</v>
      </c>
      <c r="C2757">
        <f t="shared" si="45"/>
        <v>-1.6108587264075278E-3</v>
      </c>
      <c r="D2757">
        <f>(C2757-meanrtn)/stdevrtns</f>
        <v>-0.25895961786229049</v>
      </c>
    </row>
    <row r="2758" spans="1:4" x14ac:dyDescent="0.3">
      <c r="A2758" s="1">
        <v>41834</v>
      </c>
      <c r="B2758">
        <v>1.712299</v>
      </c>
      <c r="C2758">
        <f t="shared" si="45"/>
        <v>-4.6232220004652636E-4</v>
      </c>
      <c r="D2758">
        <f>(C2758-meanrtn)/stdevrtns</f>
        <v>-6.8600880222486949E-2</v>
      </c>
    </row>
    <row r="2759" spans="1:4" x14ac:dyDescent="0.3">
      <c r="A2759" s="1">
        <v>41835</v>
      </c>
      <c r="B2759">
        <v>1.708788</v>
      </c>
      <c r="C2759">
        <f t="shared" si="45"/>
        <v>-2.0504596451904962E-3</v>
      </c>
      <c r="D2759">
        <f>(C2759-meanrtn)/stdevrtns</f>
        <v>-0.33181918657793202</v>
      </c>
    </row>
    <row r="2760" spans="1:4" x14ac:dyDescent="0.3">
      <c r="A2760" s="1">
        <v>41836</v>
      </c>
      <c r="B2760">
        <v>1.7143839999999999</v>
      </c>
      <c r="C2760">
        <f t="shared" si="45"/>
        <v>3.2748357315242936E-3</v>
      </c>
      <c r="D2760">
        <f>(C2760-meanrtn)/stdevrtns</f>
        <v>0.55079663120746047</v>
      </c>
    </row>
    <row r="2761" spans="1:4" x14ac:dyDescent="0.3">
      <c r="A2761" s="1">
        <v>41837</v>
      </c>
      <c r="B2761">
        <v>1.7139720000000001</v>
      </c>
      <c r="C2761">
        <f t="shared" si="45"/>
        <v>-2.4031955501209587E-4</v>
      </c>
      <c r="D2761">
        <f>(C2761-meanrtn)/stdevrtns</f>
        <v>-3.1806105052952095E-2</v>
      </c>
    </row>
    <row r="2762" spans="1:4" x14ac:dyDescent="0.3">
      <c r="A2762" s="1">
        <v>41838</v>
      </c>
      <c r="B2762">
        <v>1.709519</v>
      </c>
      <c r="C2762">
        <f t="shared" si="45"/>
        <v>-2.598058778089747E-3</v>
      </c>
      <c r="D2762">
        <f>(C2762-meanrtn)/stdevrtns</f>
        <v>-0.42257840692386661</v>
      </c>
    </row>
    <row r="2763" spans="1:4" x14ac:dyDescent="0.3">
      <c r="A2763" s="1">
        <v>41841</v>
      </c>
      <c r="B2763">
        <v>1.7091099999999999</v>
      </c>
      <c r="C2763">
        <f t="shared" si="45"/>
        <v>-2.3924858395847235E-4</v>
      </c>
      <c r="D2763">
        <f>(C2763-meanrtn)/stdevrtns</f>
        <v>-3.1628602036602699E-2</v>
      </c>
    </row>
    <row r="2764" spans="1:4" x14ac:dyDescent="0.3">
      <c r="A2764" s="1">
        <v>41842</v>
      </c>
      <c r="B2764">
        <v>1.7073590000000001</v>
      </c>
      <c r="C2764">
        <f t="shared" si="45"/>
        <v>-1.0245098326028379E-3</v>
      </c>
      <c r="D2764">
        <f>(C2764-meanrtn)/stdevrtns</f>
        <v>-0.16177800223287747</v>
      </c>
    </row>
    <row r="2765" spans="1:4" x14ac:dyDescent="0.3">
      <c r="A2765" s="1">
        <v>41843</v>
      </c>
      <c r="B2765">
        <v>1.7065429999999999</v>
      </c>
      <c r="C2765">
        <f t="shared" si="45"/>
        <v>-4.7793112052014244E-4</v>
      </c>
      <c r="D2765">
        <f>(C2765-meanrtn)/stdevrtns</f>
        <v>-7.1187906694071476E-2</v>
      </c>
    </row>
    <row r="2766" spans="1:4" x14ac:dyDescent="0.3">
      <c r="A2766" s="1">
        <v>41844</v>
      </c>
      <c r="B2766">
        <v>1.7040999999999999</v>
      </c>
      <c r="C2766">
        <f t="shared" si="45"/>
        <v>-1.4315490438857814E-3</v>
      </c>
      <c r="D2766">
        <f>(C2766-meanrtn)/stdevrtns</f>
        <v>-0.22924078521916993</v>
      </c>
    </row>
    <row r="2767" spans="1:4" x14ac:dyDescent="0.3">
      <c r="A2767" s="1">
        <v>41845</v>
      </c>
      <c r="B2767">
        <v>1.6991780000000001</v>
      </c>
      <c r="C2767">
        <f t="shared" si="45"/>
        <v>-2.8883281497563938E-3</v>
      </c>
      <c r="D2767">
        <f>(C2767-meanrtn)/stdevrtns</f>
        <v>-0.47068772682597854</v>
      </c>
    </row>
    <row r="2768" spans="1:4" x14ac:dyDescent="0.3">
      <c r="A2768" s="1">
        <v>41848</v>
      </c>
      <c r="B2768">
        <v>1.698197</v>
      </c>
      <c r="C2768">
        <f t="shared" si="45"/>
        <v>-5.7733798342499761E-4</v>
      </c>
      <c r="D2768">
        <f>(C2768-meanrtn)/stdevrtns</f>
        <v>-8.7663625577175996E-2</v>
      </c>
    </row>
    <row r="2769" spans="1:4" x14ac:dyDescent="0.3">
      <c r="A2769" s="1">
        <v>41849</v>
      </c>
      <c r="B2769">
        <v>1.698456</v>
      </c>
      <c r="C2769">
        <f t="shared" si="45"/>
        <v>1.5251469646926076E-4</v>
      </c>
      <c r="D2769">
        <f>(C2769-meanrtn)/stdevrtns</f>
        <v>3.3302344262628417E-2</v>
      </c>
    </row>
    <row r="2770" spans="1:4" x14ac:dyDescent="0.3">
      <c r="A2770" s="1">
        <v>41850</v>
      </c>
      <c r="B2770">
        <v>1.6947430000000001</v>
      </c>
      <c r="C2770">
        <f t="shared" si="45"/>
        <v>-2.1861031430898742E-3</v>
      </c>
      <c r="D2770">
        <f>(C2770-meanrtn)/stdevrtns</f>
        <v>-0.35430077461325854</v>
      </c>
    </row>
    <row r="2771" spans="1:4" x14ac:dyDescent="0.3">
      <c r="A2771" s="1">
        <v>41851</v>
      </c>
      <c r="B2771">
        <v>1.691017</v>
      </c>
      <c r="C2771">
        <f t="shared" si="45"/>
        <v>-2.1985634400024769E-3</v>
      </c>
      <c r="D2771">
        <f>(C2771-meanrtn)/stdevrtns</f>
        <v>-0.35636594741051847</v>
      </c>
    </row>
    <row r="2772" spans="1:4" x14ac:dyDescent="0.3">
      <c r="A2772" s="1">
        <v>41852</v>
      </c>
      <c r="B2772">
        <v>1.6891609999999999</v>
      </c>
      <c r="C2772">
        <f t="shared" si="45"/>
        <v>-1.0975643651128758E-3</v>
      </c>
      <c r="D2772">
        <f>(C2772-meanrtn)/stdevrtns</f>
        <v>-0.17388607913621995</v>
      </c>
    </row>
    <row r="2773" spans="1:4" x14ac:dyDescent="0.3">
      <c r="A2773" s="1">
        <v>41855</v>
      </c>
      <c r="B2773">
        <v>1.682992</v>
      </c>
      <c r="C2773">
        <f t="shared" si="45"/>
        <v>-3.6521089463940203E-3</v>
      </c>
      <c r="D2773">
        <f>(C2773-meanrtn)/stdevrtns</f>
        <v>-0.59727695141260972</v>
      </c>
    </row>
    <row r="2774" spans="1:4" x14ac:dyDescent="0.3">
      <c r="A2774" s="1">
        <v>41856</v>
      </c>
      <c r="B2774">
        <v>1.6867669999999999</v>
      </c>
      <c r="C2774">
        <f t="shared" si="45"/>
        <v>2.2430290815404126E-3</v>
      </c>
      <c r="D2774">
        <f>(C2774-meanrtn)/stdevrtns</f>
        <v>0.37978473313435501</v>
      </c>
    </row>
    <row r="2775" spans="1:4" x14ac:dyDescent="0.3">
      <c r="A2775" s="1">
        <v>41857</v>
      </c>
      <c r="B2775">
        <v>1.687821</v>
      </c>
      <c r="C2775">
        <f t="shared" si="45"/>
        <v>6.2486401500628749E-4</v>
      </c>
      <c r="D2775">
        <f>(C2775-meanrtn)/stdevrtns</f>
        <v>0.1115896411295528</v>
      </c>
    </row>
    <row r="2776" spans="1:4" x14ac:dyDescent="0.3">
      <c r="A2776" s="1">
        <v>41858</v>
      </c>
      <c r="B2776">
        <v>1.6854880000000001</v>
      </c>
      <c r="C2776">
        <f t="shared" si="45"/>
        <v>-1.3822555827898329E-3</v>
      </c>
      <c r="D2776">
        <f>(C2776-meanrtn)/stdevrtns</f>
        <v>-0.22107087436935849</v>
      </c>
    </row>
    <row r="2777" spans="1:4" x14ac:dyDescent="0.3">
      <c r="A2777" s="1">
        <v>41859</v>
      </c>
      <c r="B2777">
        <v>1.682992</v>
      </c>
      <c r="C2777">
        <f t="shared" si="45"/>
        <v>-1.4808767549813785E-3</v>
      </c>
      <c r="D2777">
        <f>(C2777-meanrtn)/stdevrtns</f>
        <v>-0.23741637267268328</v>
      </c>
    </row>
    <row r="2778" spans="1:4" x14ac:dyDescent="0.3">
      <c r="A2778" s="1">
        <v>41862</v>
      </c>
      <c r="B2778">
        <v>1.677711</v>
      </c>
      <c r="C2778">
        <f t="shared" si="45"/>
        <v>-3.1378639946001473E-3</v>
      </c>
      <c r="D2778">
        <f>(C2778-meanrtn)/stdevrtns</f>
        <v>-0.51204586157406617</v>
      </c>
    </row>
    <row r="2779" spans="1:4" x14ac:dyDescent="0.3">
      <c r="A2779" s="1">
        <v>41863</v>
      </c>
      <c r="B2779">
        <v>1.6787540000000001</v>
      </c>
      <c r="C2779">
        <f t="shared" si="45"/>
        <v>6.2168037284140542E-4</v>
      </c>
      <c r="D2779">
        <f>(C2779-meanrtn)/stdevrtns</f>
        <v>0.11106198346286636</v>
      </c>
    </row>
    <row r="2780" spans="1:4" x14ac:dyDescent="0.3">
      <c r="A2780" s="1">
        <v>41864</v>
      </c>
      <c r="B2780">
        <v>1.6807000000000001</v>
      </c>
      <c r="C2780">
        <f t="shared" si="45"/>
        <v>1.1591930681922446E-3</v>
      </c>
      <c r="D2780">
        <f>(C2780-meanrtn)/stdevrtns</f>
        <v>0.20014947506972303</v>
      </c>
    </row>
    <row r="2781" spans="1:4" x14ac:dyDescent="0.3">
      <c r="A2781" s="1">
        <v>41865</v>
      </c>
      <c r="B2781">
        <v>1.6689750000000001</v>
      </c>
      <c r="C2781">
        <f t="shared" si="45"/>
        <v>-6.9762598917117776E-3</v>
      </c>
      <c r="D2781">
        <f>(C2781-meanrtn)/stdevrtns</f>
        <v>-1.1482225793063416</v>
      </c>
    </row>
    <row r="2782" spans="1:4" x14ac:dyDescent="0.3">
      <c r="A2782" s="1">
        <v>41866</v>
      </c>
      <c r="B2782">
        <v>1.668669</v>
      </c>
      <c r="C2782">
        <f t="shared" si="45"/>
        <v>-1.8334606569909046E-4</v>
      </c>
      <c r="D2782">
        <f>(C2782-meanrtn)/stdevrtns</f>
        <v>-2.2363304362127849E-2</v>
      </c>
    </row>
    <row r="2783" spans="1:4" x14ac:dyDescent="0.3">
      <c r="A2783" s="1">
        <v>41869</v>
      </c>
      <c r="B2783">
        <v>1.6720170000000001</v>
      </c>
      <c r="C2783">
        <f t="shared" si="45"/>
        <v>2.0063895236263926E-3</v>
      </c>
      <c r="D2783">
        <f>(C2783-meanrtn)/stdevrtns</f>
        <v>0.3405640322804796</v>
      </c>
    </row>
    <row r="2784" spans="1:4" x14ac:dyDescent="0.3">
      <c r="A2784" s="1">
        <v>41870</v>
      </c>
      <c r="B2784">
        <v>1.672353</v>
      </c>
      <c r="C2784">
        <f t="shared" si="45"/>
        <v>2.009548945972989E-4</v>
      </c>
      <c r="D2784">
        <f>(C2784-meanrtn)/stdevrtns</f>
        <v>4.1330835089899681E-2</v>
      </c>
    </row>
    <row r="2785" spans="1:4" x14ac:dyDescent="0.3">
      <c r="A2785" s="1">
        <v>41871</v>
      </c>
      <c r="B2785">
        <v>1.6621509999999999</v>
      </c>
      <c r="C2785">
        <f t="shared" si="45"/>
        <v>-6.1003867006547332E-3</v>
      </c>
      <c r="D2785">
        <f>(C2785-meanrtn)/stdevrtns</f>
        <v>-1.0030551325988091</v>
      </c>
    </row>
    <row r="2786" spans="1:4" x14ac:dyDescent="0.3">
      <c r="A2786" s="1">
        <v>41872</v>
      </c>
      <c r="B2786">
        <v>1.6600269999999999</v>
      </c>
      <c r="C2786">
        <f t="shared" si="45"/>
        <v>-1.2778622399529373E-3</v>
      </c>
      <c r="D2786">
        <f>(C2786-meanrtn)/stdevrtns</f>
        <v>-0.20376869502692757</v>
      </c>
    </row>
    <row r="2787" spans="1:4" x14ac:dyDescent="0.3">
      <c r="A2787" s="1">
        <v>41873</v>
      </c>
      <c r="B2787">
        <v>1.6579900000000001</v>
      </c>
      <c r="C2787">
        <f t="shared" si="45"/>
        <v>-1.2270884750668783E-3</v>
      </c>
      <c r="D2787">
        <f>(C2787-meanrtn)/stdevrtns</f>
        <v>-0.19535343824832649</v>
      </c>
    </row>
    <row r="2788" spans="1:4" x14ac:dyDescent="0.3">
      <c r="A2788" s="1">
        <v>41876</v>
      </c>
      <c r="B2788">
        <v>1.6551910000000001</v>
      </c>
      <c r="C2788">
        <f t="shared" si="45"/>
        <v>-1.6881887104264778E-3</v>
      </c>
      <c r="D2788">
        <f>(C2788-meanrtn)/stdevrtns</f>
        <v>-0.27177630919225054</v>
      </c>
    </row>
    <row r="2789" spans="1:4" x14ac:dyDescent="0.3">
      <c r="A2789" s="1">
        <v>41877</v>
      </c>
      <c r="B2789">
        <v>1.6570279999999999</v>
      </c>
      <c r="C2789">
        <f t="shared" si="45"/>
        <v>1.1098417040691173E-3</v>
      </c>
      <c r="D2789">
        <f>(C2789-meanrtn)/stdevrtns</f>
        <v>0.19196996735737709</v>
      </c>
    </row>
    <row r="2790" spans="1:4" x14ac:dyDescent="0.3">
      <c r="A2790" s="1">
        <v>41878</v>
      </c>
      <c r="B2790">
        <v>1.6547799999999999</v>
      </c>
      <c r="C2790">
        <f t="shared" si="45"/>
        <v>-1.3566457537229472E-3</v>
      </c>
      <c r="D2790">
        <f>(C2790-meanrtn)/stdevrtns</f>
        <v>-0.21682629474959703</v>
      </c>
    </row>
    <row r="2791" spans="1:4" x14ac:dyDescent="0.3">
      <c r="A2791" s="1">
        <v>41879</v>
      </c>
      <c r="B2791">
        <v>1.6576329999999999</v>
      </c>
      <c r="C2791">
        <f t="shared" si="45"/>
        <v>1.7240962544869979E-3</v>
      </c>
      <c r="D2791">
        <f>(C2791-meanrtn)/stdevrtns</f>
        <v>0.29377667365127902</v>
      </c>
    </row>
    <row r="2792" spans="1:4" x14ac:dyDescent="0.3">
      <c r="A2792" s="1">
        <v>41880</v>
      </c>
      <c r="B2792">
        <v>1.6589529999999999</v>
      </c>
      <c r="C2792">
        <f t="shared" si="45"/>
        <v>7.9631619302945097E-4</v>
      </c>
      <c r="D2792">
        <f>(C2792-meanrtn)/stdevrtns</f>
        <v>0.14000616896736739</v>
      </c>
    </row>
    <row r="2793" spans="1:4" x14ac:dyDescent="0.3">
      <c r="A2793" s="1">
        <v>41883</v>
      </c>
      <c r="B2793">
        <v>1.6592549999999999</v>
      </c>
      <c r="C2793">
        <f t="shared" si="45"/>
        <v>1.8204252923381464E-4</v>
      </c>
      <c r="D2793">
        <f>(C2793-meanrtn)/stdevrtns</f>
        <v>3.8196294817347633E-2</v>
      </c>
    </row>
    <row r="2794" spans="1:4" x14ac:dyDescent="0.3">
      <c r="A2794" s="1">
        <v>41884</v>
      </c>
      <c r="B2794">
        <v>1.661599</v>
      </c>
      <c r="C2794">
        <f t="shared" si="45"/>
        <v>1.4126821977333947E-3</v>
      </c>
      <c r="D2794">
        <f>(C2794-meanrtn)/stdevrtns</f>
        <v>0.24216282823468721</v>
      </c>
    </row>
    <row r="2795" spans="1:4" x14ac:dyDescent="0.3">
      <c r="A2795" s="1">
        <v>41885</v>
      </c>
      <c r="B2795">
        <v>1.6468769999999999</v>
      </c>
      <c r="C2795">
        <f t="shared" si="45"/>
        <v>-8.8601401421161928E-3</v>
      </c>
      <c r="D2795">
        <f>(C2795-meanrtn)/stdevrtns</f>
        <v>-1.4604573738476729</v>
      </c>
    </row>
    <row r="2796" spans="1:4" x14ac:dyDescent="0.3">
      <c r="A2796" s="1">
        <v>41886</v>
      </c>
      <c r="B2796">
        <v>1.646199</v>
      </c>
      <c r="C2796">
        <f t="shared" si="45"/>
        <v>-4.1168830459102678E-4</v>
      </c>
      <c r="D2796">
        <f>(C2796-meanrtn)/stdevrtns</f>
        <v>-6.0208805439081123E-2</v>
      </c>
    </row>
    <row r="2797" spans="1:4" x14ac:dyDescent="0.3">
      <c r="A2797" s="1">
        <v>41887</v>
      </c>
      <c r="B2797">
        <v>1.629408</v>
      </c>
      <c r="C2797">
        <f t="shared" si="45"/>
        <v>-1.0199860405698218E-2</v>
      </c>
      <c r="D2797">
        <f>(C2797-meanrtn)/stdevrtns</f>
        <v>-1.6825029529934774</v>
      </c>
    </row>
    <row r="2798" spans="1:4" x14ac:dyDescent="0.3">
      <c r="A2798" s="1">
        <v>41890</v>
      </c>
      <c r="B2798">
        <v>1.621245</v>
      </c>
      <c r="C2798">
        <f t="shared" si="45"/>
        <v>-5.0097949684793008E-3</v>
      </c>
      <c r="D2798">
        <f>(C2798-meanrtn)/stdevrtns</f>
        <v>-0.82230017996783866</v>
      </c>
    </row>
    <row r="2799" spans="1:4" x14ac:dyDescent="0.3">
      <c r="A2799" s="1">
        <v>41891</v>
      </c>
      <c r="B2799">
        <v>1.6095029999999999</v>
      </c>
      <c r="C2799">
        <f t="shared" si="45"/>
        <v>-7.2425820896904174E-3</v>
      </c>
      <c r="D2799">
        <f>(C2799-meanrtn)/stdevrtns</f>
        <v>-1.1923628885164443</v>
      </c>
    </row>
    <row r="2800" spans="1:4" x14ac:dyDescent="0.3">
      <c r="A2800" s="1">
        <v>41892</v>
      </c>
      <c r="B2800">
        <v>1.6124609999999999</v>
      </c>
      <c r="C2800">
        <f t="shared" si="45"/>
        <v>1.8378344122378253E-3</v>
      </c>
      <c r="D2800">
        <f>(C2800-meanrtn)/stdevrtns</f>
        <v>0.31262766500766453</v>
      </c>
    </row>
    <row r="2801" spans="1:4" x14ac:dyDescent="0.3">
      <c r="A2801" s="1">
        <v>41893</v>
      </c>
      <c r="B2801">
        <v>1.6200889999999999</v>
      </c>
      <c r="C2801">
        <f t="shared" si="45"/>
        <v>4.7306570515503743E-3</v>
      </c>
      <c r="D2801">
        <f>(C2801-meanrtn)/stdevrtns</f>
        <v>0.79208482914342382</v>
      </c>
    </row>
    <row r="2802" spans="1:4" x14ac:dyDescent="0.3">
      <c r="A2802" s="1">
        <v>41894</v>
      </c>
      <c r="B2802">
        <v>1.625197</v>
      </c>
      <c r="C2802">
        <f t="shared" si="45"/>
        <v>3.1529132041511997E-3</v>
      </c>
      <c r="D2802">
        <f>(C2802-meanrtn)/stdevrtns</f>
        <v>0.53058916033656744</v>
      </c>
    </row>
    <row r="2803" spans="1:4" x14ac:dyDescent="0.3">
      <c r="A2803" s="1">
        <v>41897</v>
      </c>
      <c r="B2803">
        <v>1.6258049999999999</v>
      </c>
      <c r="C2803">
        <f t="shared" si="45"/>
        <v>3.741084926934654E-4</v>
      </c>
      <c r="D2803">
        <f>(C2803-meanrtn)/stdevrtns</f>
        <v>7.0029356725785322E-2</v>
      </c>
    </row>
    <row r="2804" spans="1:4" x14ac:dyDescent="0.3">
      <c r="A2804" s="1">
        <v>41898</v>
      </c>
      <c r="B2804">
        <v>1.6229020000000001</v>
      </c>
      <c r="C2804">
        <f t="shared" si="45"/>
        <v>-1.7855769910904923E-3</v>
      </c>
      <c r="D2804">
        <f>(C2804-meanrtn)/stdevrtns</f>
        <v>-0.28791746773846616</v>
      </c>
    </row>
    <row r="2805" spans="1:4" x14ac:dyDescent="0.3">
      <c r="A2805" s="1">
        <v>41899</v>
      </c>
      <c r="B2805">
        <v>1.626598</v>
      </c>
      <c r="C2805">
        <f t="shared" si="45"/>
        <v>2.2774018394209395E-3</v>
      </c>
      <c r="D2805">
        <f>(C2805-meanrtn)/stdevrtns</f>
        <v>0.38548168281698014</v>
      </c>
    </row>
    <row r="2806" spans="1:4" x14ac:dyDescent="0.3">
      <c r="A2806" s="1">
        <v>41900</v>
      </c>
      <c r="B2806">
        <v>1.6268100000000001</v>
      </c>
      <c r="C2806">
        <f t="shared" si="45"/>
        <v>1.303333706300518E-4</v>
      </c>
      <c r="D2806">
        <f>(C2806-meanrtn)/stdevrtns</f>
        <v>2.9626005644729021E-2</v>
      </c>
    </row>
    <row r="2807" spans="1:4" x14ac:dyDescent="0.3">
      <c r="A2807" s="1">
        <v>41901</v>
      </c>
      <c r="B2807">
        <v>1.6437090000000001</v>
      </c>
      <c r="C2807">
        <f t="shared" si="45"/>
        <v>1.038781418850388E-2</v>
      </c>
      <c r="D2807">
        <f>(C2807-meanrtn)/stdevrtns</f>
        <v>1.7297034999509315</v>
      </c>
    </row>
    <row r="2808" spans="1:4" x14ac:dyDescent="0.3">
      <c r="A2808" s="1">
        <v>41904</v>
      </c>
      <c r="B2808">
        <v>1.6319870000000001</v>
      </c>
      <c r="C2808">
        <f t="shared" si="45"/>
        <v>-7.1314326319318133E-3</v>
      </c>
      <c r="D2808">
        <f>(C2808-meanrtn)/stdevrtns</f>
        <v>-1.1739409489588806</v>
      </c>
    </row>
    <row r="2809" spans="1:4" x14ac:dyDescent="0.3">
      <c r="A2809" s="1">
        <v>41905</v>
      </c>
      <c r="B2809">
        <v>1.637197</v>
      </c>
      <c r="C2809">
        <f t="shared" si="45"/>
        <v>3.1924273906593229E-3</v>
      </c>
      <c r="D2809">
        <f>(C2809-meanrtn)/stdevrtns</f>
        <v>0.53713825171495155</v>
      </c>
    </row>
    <row r="2810" spans="1:4" x14ac:dyDescent="0.3">
      <c r="A2810" s="1">
        <v>41906</v>
      </c>
      <c r="B2810">
        <v>1.6393709999999999</v>
      </c>
      <c r="C2810">
        <f t="shared" si="45"/>
        <v>1.3278792961383989E-3</v>
      </c>
      <c r="D2810">
        <f>(C2810-meanrtn)/stdevrtns</f>
        <v>0.22810757363432815</v>
      </c>
    </row>
    <row r="2811" spans="1:4" x14ac:dyDescent="0.3">
      <c r="A2811" s="1">
        <v>41907</v>
      </c>
      <c r="B2811">
        <v>1.6324129999999999</v>
      </c>
      <c r="C2811">
        <f t="shared" si="45"/>
        <v>-4.2443107752912672E-3</v>
      </c>
      <c r="D2811">
        <f>(C2811-meanrtn)/stdevrtns</f>
        <v>-0.69542863400126598</v>
      </c>
    </row>
    <row r="2812" spans="1:4" x14ac:dyDescent="0.3">
      <c r="A2812" s="1">
        <v>41908</v>
      </c>
      <c r="B2812">
        <v>1.6331329999999999</v>
      </c>
      <c r="C2812">
        <f t="shared" si="45"/>
        <v>4.4106485307336685E-4</v>
      </c>
      <c r="D2812">
        <f>(C2812-meanrtn)/stdevrtns</f>
        <v>8.1126721020551906E-2</v>
      </c>
    </row>
    <row r="2813" spans="1:4" x14ac:dyDescent="0.3">
      <c r="A2813" s="1">
        <v>41911</v>
      </c>
      <c r="B2813">
        <v>1.6238250000000001</v>
      </c>
      <c r="C2813">
        <f t="shared" si="45"/>
        <v>-5.6994745682071649E-3</v>
      </c>
      <c r="D2813">
        <f>(C2813-meanrtn)/stdevrtns</f>
        <v>-0.93660785322581219</v>
      </c>
    </row>
    <row r="2814" spans="1:4" x14ac:dyDescent="0.3">
      <c r="A2814" s="1">
        <v>41912</v>
      </c>
      <c r="B2814">
        <v>1.62422</v>
      </c>
      <c r="C2814">
        <f t="shared" si="45"/>
        <v>2.4325281357284387E-4</v>
      </c>
      <c r="D2814">
        <f>(C2814-meanrtn)/stdevrtns</f>
        <v>4.8341302999428445E-2</v>
      </c>
    </row>
    <row r="2815" spans="1:4" x14ac:dyDescent="0.3">
      <c r="A2815" s="1">
        <v>41913</v>
      </c>
      <c r="B2815">
        <v>1.6213759999999999</v>
      </c>
      <c r="C2815">
        <f t="shared" si="45"/>
        <v>-1.7509943234291345E-3</v>
      </c>
      <c r="D2815">
        <f>(C2815-meanrtn)/stdevrtns</f>
        <v>-0.28218572755507754</v>
      </c>
    </row>
    <row r="2816" spans="1:4" x14ac:dyDescent="0.3">
      <c r="A2816" s="1">
        <v>41914</v>
      </c>
      <c r="B2816">
        <v>1.6192230000000001</v>
      </c>
      <c r="C2816">
        <f t="shared" si="45"/>
        <v>-1.3278844635666554E-3</v>
      </c>
      <c r="D2816">
        <f>(C2816-meanrtn)/stdevrtns</f>
        <v>-0.21205939116282949</v>
      </c>
    </row>
    <row r="2817" spans="1:4" x14ac:dyDescent="0.3">
      <c r="A2817" s="1">
        <v>41915</v>
      </c>
      <c r="B2817">
        <v>1.6160049999999999</v>
      </c>
      <c r="C2817">
        <f t="shared" si="45"/>
        <v>-1.9873729560413635E-3</v>
      </c>
      <c r="D2817">
        <f>(C2817-meanrtn)/stdevrtns</f>
        <v>-0.32136318258269736</v>
      </c>
    </row>
    <row r="2818" spans="1:4" x14ac:dyDescent="0.3">
      <c r="A2818" s="1">
        <v>41918</v>
      </c>
      <c r="B2818">
        <v>1.596398</v>
      </c>
      <c r="C2818">
        <f t="shared" si="45"/>
        <v>-1.2133007014210929E-2</v>
      </c>
      <c r="D2818">
        <f>(C2818-meanrtn)/stdevrtns</f>
        <v>-2.0029031663285144</v>
      </c>
    </row>
    <row r="2819" spans="1:4" x14ac:dyDescent="0.3">
      <c r="A2819" s="1">
        <v>41919</v>
      </c>
      <c r="B2819">
        <v>1.60751</v>
      </c>
      <c r="C2819">
        <f t="shared" si="45"/>
        <v>6.9606702088075845E-3</v>
      </c>
      <c r="D2819">
        <f>(C2819-meanrtn)/stdevrtns</f>
        <v>1.1616877801968133</v>
      </c>
    </row>
    <row r="2820" spans="1:4" x14ac:dyDescent="0.3">
      <c r="A2820" s="1">
        <v>41920</v>
      </c>
      <c r="B2820">
        <v>1.6089070000000001</v>
      </c>
      <c r="C2820">
        <f t="shared" ref="C2820:C2883" si="46">(B2820-B2819)/B2819</f>
        <v>8.6904591573308575E-4</v>
      </c>
      <c r="D2820">
        <f>(C2820-meanrtn)/stdevrtns</f>
        <v>0.15206041181032012</v>
      </c>
    </row>
    <row r="2821" spans="1:4" x14ac:dyDescent="0.3">
      <c r="A2821" s="1">
        <v>41921</v>
      </c>
      <c r="B2821">
        <v>1.6162920000000001</v>
      </c>
      <c r="C2821">
        <f t="shared" si="46"/>
        <v>4.5900726393756598E-3</v>
      </c>
      <c r="D2821">
        <f>(C2821-meanrtn)/stdevrtns</f>
        <v>0.76878433271236735</v>
      </c>
    </row>
    <row r="2822" spans="1:4" x14ac:dyDescent="0.3">
      <c r="A2822" s="1">
        <v>41922</v>
      </c>
      <c r="B2822">
        <v>1.612279</v>
      </c>
      <c r="C2822">
        <f t="shared" si="46"/>
        <v>-2.4828434466049724E-3</v>
      </c>
      <c r="D2822">
        <f>(C2822-meanrtn)/stdevrtns</f>
        <v>-0.40348258841500045</v>
      </c>
    </row>
    <row r="2823" spans="1:4" x14ac:dyDescent="0.3">
      <c r="A2823" s="1">
        <v>41925</v>
      </c>
      <c r="B2823">
        <v>1.6092949999999999</v>
      </c>
      <c r="C2823">
        <f t="shared" si="46"/>
        <v>-1.850796295182222E-3</v>
      </c>
      <c r="D2823">
        <f>(C2823-meanrtn)/stdevrtns</f>
        <v>-0.29872693187974497</v>
      </c>
    </row>
    <row r="2824" spans="1:4" x14ac:dyDescent="0.3">
      <c r="A2824" s="1">
        <v>41926</v>
      </c>
      <c r="B2824">
        <v>1.606684</v>
      </c>
      <c r="C2824">
        <f t="shared" si="46"/>
        <v>-1.6224495819597521E-3</v>
      </c>
      <c r="D2824">
        <f>(C2824-meanrtn)/stdevrtns</f>
        <v>-0.26088068922610463</v>
      </c>
    </row>
    <row r="2825" spans="1:4" x14ac:dyDescent="0.3">
      <c r="A2825" s="1">
        <v>41927</v>
      </c>
      <c r="B2825">
        <v>1.589143</v>
      </c>
      <c r="C2825">
        <f t="shared" si="46"/>
        <v>-1.0917517072429942E-2</v>
      </c>
      <c r="D2825">
        <f>(C2825-meanrtn)/stdevrtns</f>
        <v>-1.8014475524923539</v>
      </c>
    </row>
    <row r="2826" spans="1:4" x14ac:dyDescent="0.3">
      <c r="A2826" s="1">
        <v>41928</v>
      </c>
      <c r="B2826">
        <v>1.599207</v>
      </c>
      <c r="C2826">
        <f t="shared" si="46"/>
        <v>6.3329731811423342E-3</v>
      </c>
      <c r="D2826">
        <f>(C2826-meanrtn)/stdevrtns</f>
        <v>1.0576531142857553</v>
      </c>
    </row>
    <row r="2827" spans="1:4" x14ac:dyDescent="0.3">
      <c r="A2827" s="1">
        <v>41929</v>
      </c>
      <c r="B2827">
        <v>1.6096060000000001</v>
      </c>
      <c r="C2827">
        <f t="shared" si="46"/>
        <v>6.5025978500594652E-3</v>
      </c>
      <c r="D2827">
        <f>(C2827-meanrtn)/stdevrtns</f>
        <v>1.0857667502969148</v>
      </c>
    </row>
    <row r="2828" spans="1:4" x14ac:dyDescent="0.3">
      <c r="A2828" s="1">
        <v>41932</v>
      </c>
      <c r="B2828">
        <v>1.609218</v>
      </c>
      <c r="C2828">
        <f t="shared" si="46"/>
        <v>-2.4105277937585653E-4</v>
      </c>
      <c r="D2828">
        <f>(C2828-meanrtn)/stdevrtns</f>
        <v>-3.1927629846538297E-2</v>
      </c>
    </row>
    <row r="2829" spans="1:4" x14ac:dyDescent="0.3">
      <c r="A2829" s="1">
        <v>41933</v>
      </c>
      <c r="B2829">
        <v>1.615901</v>
      </c>
      <c r="C2829">
        <f t="shared" si="46"/>
        <v>4.1529488235900877E-3</v>
      </c>
      <c r="D2829">
        <f>(C2829-meanrtn)/stdevrtns</f>
        <v>0.69633531968108198</v>
      </c>
    </row>
    <row r="2830" spans="1:4" x14ac:dyDescent="0.3">
      <c r="A2830" s="1">
        <v>41934</v>
      </c>
      <c r="B2830">
        <v>1.6114999999999999</v>
      </c>
      <c r="C2830">
        <f t="shared" si="46"/>
        <v>-2.7235579407402428E-3</v>
      </c>
      <c r="D2830">
        <f>(C2830-meanrtn)/stdevrtns</f>
        <v>-0.44337867024043076</v>
      </c>
    </row>
    <row r="2831" spans="1:4" x14ac:dyDescent="0.3">
      <c r="A2831" s="1">
        <v>41935</v>
      </c>
      <c r="B2831">
        <v>1.6044929999999999</v>
      </c>
      <c r="C2831">
        <f t="shared" si="46"/>
        <v>-4.3481228668941895E-3</v>
      </c>
      <c r="D2831">
        <f>(C2831-meanrtn)/stdevrtns</f>
        <v>-0.71263447661551171</v>
      </c>
    </row>
    <row r="2832" spans="1:4" x14ac:dyDescent="0.3">
      <c r="A2832" s="1">
        <v>41936</v>
      </c>
      <c r="B2832">
        <v>1.6029500000000001</v>
      </c>
      <c r="C2832">
        <f t="shared" si="46"/>
        <v>-9.616744978007695E-4</v>
      </c>
      <c r="D2832">
        <f>(C2832-meanrtn)/stdevrtns</f>
        <v>-0.15136365777141406</v>
      </c>
    </row>
    <row r="2833" spans="1:4" x14ac:dyDescent="0.3">
      <c r="A2833" s="1">
        <v>41939</v>
      </c>
      <c r="B2833">
        <v>1.6092949999999999</v>
      </c>
      <c r="C2833">
        <f t="shared" si="46"/>
        <v>3.9583268348980455E-3</v>
      </c>
      <c r="D2833">
        <f>(C2833-meanrtn)/stdevrtns</f>
        <v>0.66407862149687413</v>
      </c>
    </row>
    <row r="2834" spans="1:4" x14ac:dyDescent="0.3">
      <c r="A2834" s="1">
        <v>41940</v>
      </c>
      <c r="B2834">
        <v>1.612487</v>
      </c>
      <c r="C2834">
        <f t="shared" si="46"/>
        <v>1.9834772369267807E-3</v>
      </c>
      <c r="D2834">
        <f>(C2834-meanrtn)/stdevrtns</f>
        <v>0.33676654402261946</v>
      </c>
    </row>
    <row r="2835" spans="1:4" x14ac:dyDescent="0.3">
      <c r="A2835" s="1">
        <v>41941</v>
      </c>
      <c r="B2835">
        <v>1.6142829999999999</v>
      </c>
      <c r="C2835">
        <f t="shared" si="46"/>
        <v>1.1138074291451086E-3</v>
      </c>
      <c r="D2835">
        <f>(C2835-meanrtn)/stdevrtns</f>
        <v>0.19262724764578382</v>
      </c>
    </row>
    <row r="2836" spans="1:4" x14ac:dyDescent="0.3">
      <c r="A2836" s="1">
        <v>41942</v>
      </c>
      <c r="B2836">
        <v>1.600563</v>
      </c>
      <c r="C2836">
        <f t="shared" si="46"/>
        <v>-8.4991293348192082E-3</v>
      </c>
      <c r="D2836">
        <f>(C2836-meanrtn)/stdevrtns</f>
        <v>-1.4006233503106797</v>
      </c>
    </row>
    <row r="2837" spans="1:4" x14ac:dyDescent="0.3">
      <c r="A2837" s="1">
        <v>41943</v>
      </c>
      <c r="B2837">
        <v>1.6001019999999999</v>
      </c>
      <c r="C2837">
        <f t="shared" si="46"/>
        <v>-2.8802365167759388E-4</v>
      </c>
      <c r="D2837">
        <f>(C2837-meanrtn)/stdevrtns</f>
        <v>-3.9712594235549591E-2</v>
      </c>
    </row>
    <row r="2838" spans="1:4" x14ac:dyDescent="0.3">
      <c r="A2838" s="1">
        <v>41946</v>
      </c>
      <c r="B2838">
        <v>1.5973679999999999</v>
      </c>
      <c r="C2838">
        <f t="shared" si="46"/>
        <v>-1.7086410741315331E-3</v>
      </c>
      <c r="D2838">
        <f>(C2838-meanrtn)/stdevrtns</f>
        <v>-0.27516608918381935</v>
      </c>
    </row>
    <row r="2839" spans="1:4" x14ac:dyDescent="0.3">
      <c r="A2839" s="1">
        <v>41947</v>
      </c>
      <c r="B2839">
        <v>1.5978779999999999</v>
      </c>
      <c r="C2839">
        <f t="shared" si="46"/>
        <v>3.192752077167005E-4</v>
      </c>
      <c r="D2839">
        <f>(C2839-meanrtn)/stdevrtns</f>
        <v>6.0941274049048796E-2</v>
      </c>
    </row>
    <row r="2840" spans="1:4" x14ac:dyDescent="0.3">
      <c r="A2840" s="1">
        <v>41948</v>
      </c>
      <c r="B2840">
        <v>1.6006400000000001</v>
      </c>
      <c r="C2840">
        <f t="shared" si="46"/>
        <v>1.7285424794634843E-3</v>
      </c>
      <c r="D2840">
        <f>(C2840-meanrtn)/stdevrtns</f>
        <v>0.29451359211609107</v>
      </c>
    </row>
    <row r="2841" spans="1:4" x14ac:dyDescent="0.3">
      <c r="A2841" s="1">
        <v>41949</v>
      </c>
      <c r="B2841">
        <v>1.5964750000000001</v>
      </c>
      <c r="C2841">
        <f t="shared" si="46"/>
        <v>-2.6020841663334507E-3</v>
      </c>
      <c r="D2841">
        <f>(C2841-meanrtn)/stdevrtns</f>
        <v>-0.42324557580094996</v>
      </c>
    </row>
    <row r="2842" spans="1:4" x14ac:dyDescent="0.3">
      <c r="A2842" s="1">
        <v>41950</v>
      </c>
      <c r="B2842">
        <v>1.584133</v>
      </c>
      <c r="C2842">
        <f t="shared" si="46"/>
        <v>-7.7307818788268368E-3</v>
      </c>
      <c r="D2842">
        <f>(C2842-meanrtn)/stdevrtns</f>
        <v>-1.2732772464345805</v>
      </c>
    </row>
    <row r="2843" spans="1:4" x14ac:dyDescent="0.3">
      <c r="A2843" s="1">
        <v>41953</v>
      </c>
      <c r="B2843">
        <v>1.5885119999999999</v>
      </c>
      <c r="C2843">
        <f t="shared" si="46"/>
        <v>2.7642880995471407E-3</v>
      </c>
      <c r="D2843">
        <f>(C2843-meanrtn)/stdevrtns</f>
        <v>0.46617833610100212</v>
      </c>
    </row>
    <row r="2844" spans="1:4" x14ac:dyDescent="0.3">
      <c r="A2844" s="1">
        <v>41954</v>
      </c>
      <c r="B2844">
        <v>1.5853390000000001</v>
      </c>
      <c r="C2844">
        <f t="shared" si="46"/>
        <v>-1.9974668117079823E-3</v>
      </c>
      <c r="D2844">
        <f>(C2844-meanrtn)/stdevrtns</f>
        <v>-0.32303614080258425</v>
      </c>
    </row>
    <row r="2845" spans="1:4" x14ac:dyDescent="0.3">
      <c r="A2845" s="1">
        <v>41955</v>
      </c>
      <c r="B2845">
        <v>1.5926100000000001</v>
      </c>
      <c r="C2845">
        <f t="shared" si="46"/>
        <v>4.5864007634960268E-3</v>
      </c>
      <c r="D2845">
        <f>(C2845-meanrtn)/stdevrtns</f>
        <v>0.76817575506492275</v>
      </c>
    </row>
    <row r="2846" spans="1:4" x14ac:dyDescent="0.3">
      <c r="A2846" s="1">
        <v>41956</v>
      </c>
      <c r="B2846">
        <v>1.576889</v>
      </c>
      <c r="C2846">
        <f t="shared" si="46"/>
        <v>-9.8712176866904613E-3</v>
      </c>
      <c r="D2846">
        <f>(C2846-meanrtn)/stdevrtns</f>
        <v>-1.628033624688314</v>
      </c>
    </row>
    <row r="2847" spans="1:4" x14ac:dyDescent="0.3">
      <c r="A2847" s="1">
        <v>41957</v>
      </c>
      <c r="B2847">
        <v>1.570228</v>
      </c>
      <c r="C2847">
        <f t="shared" si="46"/>
        <v>-4.2241400631243091E-3</v>
      </c>
      <c r="D2847">
        <f>(C2847-meanrtn)/stdevrtns</f>
        <v>-0.69208553500765924</v>
      </c>
    </row>
    <row r="2848" spans="1:4" x14ac:dyDescent="0.3">
      <c r="A2848" s="1">
        <v>41960</v>
      </c>
      <c r="B2848">
        <v>1.5666370000000001</v>
      </c>
      <c r="C2848">
        <f t="shared" si="46"/>
        <v>-2.2869290319621734E-3</v>
      </c>
      <c r="D2848">
        <f>(C2848-meanrtn)/stdevrtns</f>
        <v>-0.37101168322315092</v>
      </c>
    </row>
    <row r="2849" spans="1:4" x14ac:dyDescent="0.3">
      <c r="A2849" s="1">
        <v>41961</v>
      </c>
      <c r="B2849">
        <v>1.5640890000000001</v>
      </c>
      <c r="C2849">
        <f t="shared" si="46"/>
        <v>-1.6264137767715142E-3</v>
      </c>
      <c r="D2849">
        <f>(C2849-meanrtn)/stdevrtns</f>
        <v>-0.26153771588812663</v>
      </c>
    </row>
    <row r="2850" spans="1:4" x14ac:dyDescent="0.3">
      <c r="A2850" s="1">
        <v>41962</v>
      </c>
      <c r="B2850">
        <v>1.5628660000000001</v>
      </c>
      <c r="C2850">
        <f t="shared" si="46"/>
        <v>-7.819248137414009E-4</v>
      </c>
      <c r="D2850">
        <f>(C2850-meanrtn)/stdevrtns</f>
        <v>-0.12157189916090901</v>
      </c>
    </row>
    <row r="2851" spans="1:4" x14ac:dyDescent="0.3">
      <c r="A2851" s="1">
        <v>41963</v>
      </c>
      <c r="B2851">
        <v>1.5673490000000001</v>
      </c>
      <c r="C2851">
        <f t="shared" si="46"/>
        <v>2.8684480947183027E-3</v>
      </c>
      <c r="D2851">
        <f>(C2851-meanrtn)/stdevrtns</f>
        <v>0.48344184034163107</v>
      </c>
    </row>
    <row r="2852" spans="1:4" x14ac:dyDescent="0.3">
      <c r="A2852" s="1">
        <v>41964</v>
      </c>
      <c r="B2852">
        <v>1.5694889999999999</v>
      </c>
      <c r="C2852">
        <f t="shared" si="46"/>
        <v>1.3653627877389201E-3</v>
      </c>
      <c r="D2852">
        <f>(C2852-meanrtn)/stdevrtns</f>
        <v>0.23432009711933627</v>
      </c>
    </row>
    <row r="2853" spans="1:4" x14ac:dyDescent="0.3">
      <c r="A2853" s="1">
        <v>41967</v>
      </c>
      <c r="B2853">
        <v>1.564872</v>
      </c>
      <c r="C2853">
        <f t="shared" si="46"/>
        <v>-2.9417217960749464E-3</v>
      </c>
      <c r="D2853">
        <f>(C2853-meanrtn)/stdevrtns</f>
        <v>-0.47953720342328715</v>
      </c>
    </row>
    <row r="2854" spans="1:4" x14ac:dyDescent="0.3">
      <c r="A2854" s="1">
        <v>41968</v>
      </c>
      <c r="B2854">
        <v>1.5697110000000001</v>
      </c>
      <c r="C2854">
        <f t="shared" si="46"/>
        <v>3.0922656932963447E-3</v>
      </c>
      <c r="D2854">
        <f>(C2854-meanrtn)/stdevrtns</f>
        <v>0.520537426375694</v>
      </c>
    </row>
    <row r="2855" spans="1:4" x14ac:dyDescent="0.3">
      <c r="A2855" s="1">
        <v>41969</v>
      </c>
      <c r="B2855">
        <v>1.5721050000000001</v>
      </c>
      <c r="C2855">
        <f t="shared" si="46"/>
        <v>1.5251215032576107E-3</v>
      </c>
      <c r="D2855">
        <f>(C2855-meanrtn)/stdevrtns</f>
        <v>0.26079854749082726</v>
      </c>
    </row>
    <row r="2856" spans="1:4" x14ac:dyDescent="0.3">
      <c r="A2856" s="1">
        <v>41970</v>
      </c>
      <c r="B2856">
        <v>1.5789059999999999</v>
      </c>
      <c r="C2856">
        <f t="shared" si="46"/>
        <v>4.3260469243465507E-3</v>
      </c>
      <c r="D2856">
        <f>(C2856-meanrtn)/stdevrtns</f>
        <v>0.72502464317369064</v>
      </c>
    </row>
    <row r="2857" spans="1:4" x14ac:dyDescent="0.3">
      <c r="A2857" s="1">
        <v>41971</v>
      </c>
      <c r="B2857">
        <v>1.5724750000000001</v>
      </c>
      <c r="C2857">
        <f t="shared" si="46"/>
        <v>-4.0730733811891609E-3</v>
      </c>
      <c r="D2857">
        <f>(C2857-meanrtn)/stdevrtns</f>
        <v>-0.66704770450546258</v>
      </c>
    </row>
    <row r="2858" spans="1:4" x14ac:dyDescent="0.3">
      <c r="A2858" s="1">
        <v>41974</v>
      </c>
      <c r="B2858">
        <v>1.561207</v>
      </c>
      <c r="C2858">
        <f t="shared" si="46"/>
        <v>-7.1657737006947993E-3</v>
      </c>
      <c r="D2858">
        <f>(C2858-meanrtn)/stdevrtns</f>
        <v>-1.1796326464790594</v>
      </c>
    </row>
    <row r="2859" spans="1:4" x14ac:dyDescent="0.3">
      <c r="A2859" s="1">
        <v>41975</v>
      </c>
      <c r="B2859">
        <v>1.5734399999999999</v>
      </c>
      <c r="C2859">
        <f t="shared" si="46"/>
        <v>7.8356041191206156E-3</v>
      </c>
      <c r="D2859">
        <f>(C2859-meanrtn)/stdevrtns</f>
        <v>1.3066995502735939</v>
      </c>
    </row>
    <row r="2860" spans="1:4" x14ac:dyDescent="0.3">
      <c r="A2860" s="1">
        <v>41976</v>
      </c>
      <c r="B2860">
        <v>1.564651</v>
      </c>
      <c r="C2860">
        <f t="shared" si="46"/>
        <v>-5.5858501118567824E-3</v>
      </c>
      <c r="D2860">
        <f>(C2860-meanrtn)/stdevrtns</f>
        <v>-0.91777570676861764</v>
      </c>
    </row>
    <row r="2861" spans="1:4" x14ac:dyDescent="0.3">
      <c r="A2861" s="1">
        <v>41977</v>
      </c>
      <c r="B2861">
        <v>1.569415</v>
      </c>
      <c r="C2861">
        <f t="shared" si="46"/>
        <v>3.0447684499610396E-3</v>
      </c>
      <c r="D2861">
        <f>(C2861-meanrtn)/stdevrtns</f>
        <v>0.51266522111694957</v>
      </c>
    </row>
    <row r="2862" spans="1:4" x14ac:dyDescent="0.3">
      <c r="A2862" s="1">
        <v>41978</v>
      </c>
      <c r="B2862">
        <v>1.5678650000000001</v>
      </c>
      <c r="C2862">
        <f t="shared" si="46"/>
        <v>-9.8762914844062293E-4</v>
      </c>
      <c r="D2862">
        <f>(C2862-meanrtn)/stdevrtns</f>
        <v>-0.15566538820687403</v>
      </c>
    </row>
    <row r="2863" spans="1:4" x14ac:dyDescent="0.3">
      <c r="A2863" s="1">
        <v>41981</v>
      </c>
      <c r="B2863">
        <v>1.5565659999999999</v>
      </c>
      <c r="C2863">
        <f t="shared" si="46"/>
        <v>-7.2066153654811926E-3</v>
      </c>
      <c r="D2863">
        <f>(C2863-meanrtn)/stdevrtns</f>
        <v>-1.1864017544468126</v>
      </c>
    </row>
    <row r="2864" spans="1:4" x14ac:dyDescent="0.3">
      <c r="A2864" s="1">
        <v>41982</v>
      </c>
      <c r="B2864">
        <v>1.5651660000000001</v>
      </c>
      <c r="C2864">
        <f t="shared" si="46"/>
        <v>5.5249825577586582E-3</v>
      </c>
      <c r="D2864">
        <f>(C2864-meanrtn)/stdevrtns</f>
        <v>0.92373654170670405</v>
      </c>
    </row>
    <row r="2865" spans="1:4" x14ac:dyDescent="0.3">
      <c r="A2865" s="1">
        <v>41983</v>
      </c>
      <c r="B2865">
        <v>1.5688</v>
      </c>
      <c r="C2865">
        <f t="shared" si="46"/>
        <v>2.3217984546047609E-3</v>
      </c>
      <c r="D2865">
        <f>(C2865-meanrtn)/stdevrtns</f>
        <v>0.39283998917285134</v>
      </c>
    </row>
    <row r="2866" spans="1:4" x14ac:dyDescent="0.3">
      <c r="A2866" s="1">
        <v>41984</v>
      </c>
      <c r="B2866">
        <v>1.5747040000000001</v>
      </c>
      <c r="C2866">
        <f t="shared" si="46"/>
        <v>3.7633860275370547E-3</v>
      </c>
      <c r="D2866">
        <f>(C2866-meanrtn)/stdevrtns</f>
        <v>0.63176908222493067</v>
      </c>
    </row>
    <row r="2867" spans="1:4" x14ac:dyDescent="0.3">
      <c r="A2867" s="1">
        <v>41985</v>
      </c>
      <c r="B2867">
        <v>1.5722529999999999</v>
      </c>
      <c r="C2867">
        <f t="shared" si="46"/>
        <v>-1.5564829961695677E-3</v>
      </c>
      <c r="D2867">
        <f>(C2867-meanrtn)/stdevrtns</f>
        <v>-0.24994737042499204</v>
      </c>
    </row>
    <row r="2868" spans="1:4" x14ac:dyDescent="0.3">
      <c r="A2868" s="1">
        <v>41988</v>
      </c>
      <c r="B2868">
        <v>1.572797</v>
      </c>
      <c r="C2868">
        <f t="shared" si="46"/>
        <v>3.4600029384590139E-4</v>
      </c>
      <c r="D2868">
        <f>(C2868-meanrtn)/stdevrtns</f>
        <v>6.5370696659567212E-2</v>
      </c>
    </row>
    <row r="2869" spans="1:4" x14ac:dyDescent="0.3">
      <c r="A2869" s="1">
        <v>41989</v>
      </c>
      <c r="B2869">
        <v>1.5645290000000001</v>
      </c>
      <c r="C2869">
        <f t="shared" si="46"/>
        <v>-5.2568767615909376E-3</v>
      </c>
      <c r="D2869">
        <f>(C2869-meanrtn)/stdevrtns</f>
        <v>-0.86325157955417342</v>
      </c>
    </row>
    <row r="2870" spans="1:4" x14ac:dyDescent="0.3">
      <c r="A2870" s="1">
        <v>41990</v>
      </c>
      <c r="B2870">
        <v>1.57453</v>
      </c>
      <c r="C2870">
        <f t="shared" si="46"/>
        <v>6.3923391640550772E-3</v>
      </c>
      <c r="D2870">
        <f>(C2870-meanrtn)/stdevrtns</f>
        <v>1.0674924474777272</v>
      </c>
    </row>
    <row r="2871" spans="1:4" x14ac:dyDescent="0.3">
      <c r="A2871" s="1">
        <v>41991</v>
      </c>
      <c r="B2871">
        <v>1.5573410000000001</v>
      </c>
      <c r="C2871">
        <f t="shared" si="46"/>
        <v>-1.0916908537785815E-2</v>
      </c>
      <c r="D2871">
        <f>(C2871-meanrtn)/stdevrtns</f>
        <v>-1.8013466938047917</v>
      </c>
    </row>
    <row r="2872" spans="1:4" x14ac:dyDescent="0.3">
      <c r="A2872" s="1">
        <v>41992</v>
      </c>
      <c r="B2872">
        <v>1.567005</v>
      </c>
      <c r="C2872">
        <f t="shared" si="46"/>
        <v>6.2054489029698019E-3</v>
      </c>
      <c r="D2872">
        <f>(C2872-meanrtn)/stdevrtns</f>
        <v>1.0365172078046059</v>
      </c>
    </row>
    <row r="2873" spans="1:4" x14ac:dyDescent="0.3">
      <c r="A2873" s="1">
        <v>41995</v>
      </c>
      <c r="B2873">
        <v>1.562964</v>
      </c>
      <c r="C2873">
        <f t="shared" si="46"/>
        <v>-2.5788047900293628E-3</v>
      </c>
      <c r="D2873">
        <f>(C2873-meanrtn)/stdevrtns</f>
        <v>-0.41938724601815364</v>
      </c>
    </row>
    <row r="2874" spans="1:4" x14ac:dyDescent="0.3">
      <c r="A2874" s="1">
        <v>41996</v>
      </c>
      <c r="B2874">
        <v>1.5577780000000001</v>
      </c>
      <c r="C2874">
        <f t="shared" si="46"/>
        <v>-3.3180546704849969E-3</v>
      </c>
      <c r="D2874">
        <f>(C2874-meanrtn)/stdevrtns</f>
        <v>-0.54191071028251869</v>
      </c>
    </row>
    <row r="2875" spans="1:4" x14ac:dyDescent="0.3">
      <c r="A2875" s="1">
        <v>41997</v>
      </c>
      <c r="B2875">
        <v>1.552217</v>
      </c>
      <c r="C2875">
        <f t="shared" si="46"/>
        <v>-3.5698283067292958E-3</v>
      </c>
      <c r="D2875">
        <f>(C2875-meanrtn)/stdevrtns</f>
        <v>-0.58363973714969175</v>
      </c>
    </row>
    <row r="2876" spans="1:4" x14ac:dyDescent="0.3">
      <c r="A2876" s="1">
        <v>41998</v>
      </c>
      <c r="B2876">
        <v>1.5562020000000001</v>
      </c>
      <c r="C2876">
        <f t="shared" si="46"/>
        <v>2.567295680951908E-3</v>
      </c>
      <c r="D2876">
        <f>(C2876-meanrtn)/stdevrtns</f>
        <v>0.43352876225835557</v>
      </c>
    </row>
    <row r="2877" spans="1:4" x14ac:dyDescent="0.3">
      <c r="A2877" s="1">
        <v>41999</v>
      </c>
      <c r="B2877">
        <v>1.5562020000000001</v>
      </c>
      <c r="C2877">
        <f t="shared" si="46"/>
        <v>0</v>
      </c>
      <c r="D2877">
        <f>(C2877-meanrtn)/stdevrtns</f>
        <v>8.0245194611897972E-3</v>
      </c>
    </row>
    <row r="2878" spans="1:4" x14ac:dyDescent="0.3">
      <c r="A2878" s="1">
        <v>42002</v>
      </c>
      <c r="B2878">
        <v>1.555355</v>
      </c>
      <c r="C2878">
        <f t="shared" si="46"/>
        <v>-5.4427381535304676E-4</v>
      </c>
      <c r="D2878">
        <f>(C2878-meanrtn)/stdevrtns</f>
        <v>-8.2183561904121724E-2</v>
      </c>
    </row>
    <row r="2879" spans="1:4" x14ac:dyDescent="0.3">
      <c r="A2879" s="1">
        <v>42003</v>
      </c>
      <c r="B2879">
        <v>1.55159</v>
      </c>
      <c r="C2879">
        <f t="shared" si="46"/>
        <v>-2.4206692362836895E-3</v>
      </c>
      <c r="D2879">
        <f>(C2879-meanrtn)/stdevrtns</f>
        <v>-0.39317781889407799</v>
      </c>
    </row>
    <row r="2880" spans="1:4" x14ac:dyDescent="0.3">
      <c r="A2880" s="1">
        <v>42004</v>
      </c>
      <c r="B2880">
        <v>1.556905</v>
      </c>
      <c r="C2880">
        <f t="shared" si="46"/>
        <v>3.4255183392519666E-3</v>
      </c>
      <c r="D2880">
        <f>(C2880-meanrtn)/stdevrtns</f>
        <v>0.57577080515227574</v>
      </c>
    </row>
    <row r="2881" spans="1:4" x14ac:dyDescent="0.3">
      <c r="A2881" s="1">
        <v>42005</v>
      </c>
      <c r="B2881">
        <v>1.5580940000000001</v>
      </c>
      <c r="C2881">
        <f t="shared" si="46"/>
        <v>7.6369463775895555E-4</v>
      </c>
      <c r="D2881">
        <f>(C2881-meanrtn)/stdevrtns</f>
        <v>0.13459946405323325</v>
      </c>
    </row>
    <row r="2882" spans="1:4" x14ac:dyDescent="0.3">
      <c r="A2882" s="1">
        <v>42006</v>
      </c>
      <c r="B2882">
        <v>1.5579719999999999</v>
      </c>
      <c r="C2882">
        <f t="shared" si="46"/>
        <v>-7.8300795715905146E-5</v>
      </c>
      <c r="D2882">
        <f>(C2882-meanrtn)/stdevrtns</f>
        <v>-4.9530744477277395E-3</v>
      </c>
    </row>
    <row r="2883" spans="1:4" x14ac:dyDescent="0.3">
      <c r="A2883" s="1">
        <v>42009</v>
      </c>
      <c r="B2883">
        <v>1.528491</v>
      </c>
      <c r="C2883">
        <f t="shared" si="46"/>
        <v>-1.892267640239996E-2</v>
      </c>
      <c r="D2883">
        <f>(C2883-meanrtn)/stdevrtns</f>
        <v>-3.1282247073180067</v>
      </c>
    </row>
    <row r="2884" spans="1:4" x14ac:dyDescent="0.3">
      <c r="A2884" s="1">
        <v>42010</v>
      </c>
      <c r="B2884">
        <v>1.5258320000000001</v>
      </c>
      <c r="C2884">
        <f t="shared" ref="C2884:C2947" si="47">(B2884-B2883)/B2883</f>
        <v>-1.7396242437802819E-3</v>
      </c>
      <c r="D2884">
        <f>(C2884-meanrtn)/stdevrtns</f>
        <v>-0.28030124764595599</v>
      </c>
    </row>
    <row r="2885" spans="1:4" x14ac:dyDescent="0.3">
      <c r="A2885" s="1">
        <v>42011</v>
      </c>
      <c r="B2885">
        <v>1.513798</v>
      </c>
      <c r="C2885">
        <f t="shared" si="47"/>
        <v>-7.8868446853913796E-3</v>
      </c>
      <c r="D2885">
        <f>(C2885-meanrtn)/stdevrtns</f>
        <v>-1.29914313591071</v>
      </c>
    </row>
    <row r="2886" spans="1:4" x14ac:dyDescent="0.3">
      <c r="A2886" s="1">
        <v>42012</v>
      </c>
      <c r="B2886">
        <v>1.5107569999999999</v>
      </c>
      <c r="C2886">
        <f t="shared" si="47"/>
        <v>-2.0088545499466056E-3</v>
      </c>
      <c r="D2886">
        <f>(C2886-meanrtn)/stdevrtns</f>
        <v>-0.32492354745089091</v>
      </c>
    </row>
    <row r="2887" spans="1:4" x14ac:dyDescent="0.3">
      <c r="A2887" s="1">
        <v>42013</v>
      </c>
      <c r="B2887">
        <v>1.508796</v>
      </c>
      <c r="C2887">
        <f t="shared" si="47"/>
        <v>-1.2980247650680285E-3</v>
      </c>
      <c r="D2887">
        <f>(C2887-meanrtn)/stdevrtns</f>
        <v>-0.20711043709646385</v>
      </c>
    </row>
    <row r="2888" spans="1:4" x14ac:dyDescent="0.3">
      <c r="A2888" s="1">
        <v>42016</v>
      </c>
      <c r="B2888">
        <v>1.5189490000000001</v>
      </c>
      <c r="C2888">
        <f t="shared" si="47"/>
        <v>6.7292065991691906E-3</v>
      </c>
      <c r="D2888">
        <f>(C2888-meanrtn)/stdevrtns</f>
        <v>1.1233249423339904</v>
      </c>
    </row>
    <row r="2889" spans="1:4" x14ac:dyDescent="0.3">
      <c r="A2889" s="1">
        <v>42017</v>
      </c>
      <c r="B2889">
        <v>1.5170360000000001</v>
      </c>
      <c r="C2889">
        <f t="shared" si="47"/>
        <v>-1.2594234566137858E-3</v>
      </c>
      <c r="D2889">
        <f>(C2889-meanrtn)/stdevrtns</f>
        <v>-0.20071264636021632</v>
      </c>
    </row>
    <row r="2890" spans="1:4" x14ac:dyDescent="0.3">
      <c r="A2890" s="1">
        <v>42018</v>
      </c>
      <c r="B2890">
        <v>1.5170360000000001</v>
      </c>
      <c r="C2890">
        <f t="shared" si="47"/>
        <v>0</v>
      </c>
      <c r="D2890">
        <f>(C2890-meanrtn)/stdevrtns</f>
        <v>8.0245194611897972E-3</v>
      </c>
    </row>
    <row r="2891" spans="1:4" x14ac:dyDescent="0.3">
      <c r="A2891" s="1">
        <v>42019</v>
      </c>
      <c r="B2891">
        <v>1.5234380000000001</v>
      </c>
      <c r="C2891">
        <f t="shared" si="47"/>
        <v>4.2200712441893395E-3</v>
      </c>
      <c r="D2891">
        <f>(C2891-meanrtn)/stdevrtns</f>
        <v>0.70746020683907673</v>
      </c>
    </row>
    <row r="2892" spans="1:4" x14ac:dyDescent="0.3">
      <c r="A2892" s="1">
        <v>42020</v>
      </c>
      <c r="B2892">
        <v>1.518119</v>
      </c>
      <c r="C2892">
        <f t="shared" si="47"/>
        <v>-3.4914450079360456E-3</v>
      </c>
      <c r="D2892">
        <f>(C2892-meanrtn)/stdevrtns</f>
        <v>-0.5706484691596333</v>
      </c>
    </row>
    <row r="2893" spans="1:4" x14ac:dyDescent="0.3">
      <c r="A2893" s="1">
        <v>42023</v>
      </c>
      <c r="B2893">
        <v>1.514211</v>
      </c>
      <c r="C2893">
        <f t="shared" si="47"/>
        <v>-2.5742382514150884E-3</v>
      </c>
      <c r="D2893">
        <f>(C2893-meanrtn)/stdevrtns</f>
        <v>-0.418630386740242</v>
      </c>
    </row>
    <row r="2894" spans="1:4" x14ac:dyDescent="0.3">
      <c r="A2894" s="1">
        <v>42024</v>
      </c>
      <c r="B2894">
        <v>1.509001</v>
      </c>
      <c r="C2894">
        <f t="shared" si="47"/>
        <v>-3.4407358023419042E-3</v>
      </c>
      <c r="D2894">
        <f>(C2894-meanrtn)/stdevrtns</f>
        <v>-0.56224391245458694</v>
      </c>
    </row>
    <row r="2895" spans="1:4" x14ac:dyDescent="0.3">
      <c r="A2895" s="1">
        <v>42025</v>
      </c>
      <c r="B2895">
        <v>1.5147379999999999</v>
      </c>
      <c r="C2895">
        <f t="shared" si="47"/>
        <v>3.8018530140138283E-3</v>
      </c>
      <c r="D2895">
        <f>(C2895-meanrtn)/stdevrtns</f>
        <v>0.63814461040227699</v>
      </c>
    </row>
    <row r="2896" spans="1:4" x14ac:dyDescent="0.3">
      <c r="A2896" s="1">
        <v>42026</v>
      </c>
      <c r="B2896">
        <v>1.514486</v>
      </c>
      <c r="C2896">
        <f t="shared" si="47"/>
        <v>-1.6636540444612795E-4</v>
      </c>
      <c r="D2896">
        <f>(C2896-meanrtn)/stdevrtns</f>
        <v>-1.9548925222924861E-2</v>
      </c>
    </row>
    <row r="2897" spans="1:4" x14ac:dyDescent="0.3">
      <c r="A2897" s="1">
        <v>42027</v>
      </c>
      <c r="B2897">
        <v>1.5013209999999999</v>
      </c>
      <c r="C2897">
        <f t="shared" si="47"/>
        <v>-8.6927181895376342E-3</v>
      </c>
      <c r="D2897">
        <f>(C2897-meanrtn)/stdevrtns</f>
        <v>-1.4327088166058561</v>
      </c>
    </row>
    <row r="2898" spans="1:4" x14ac:dyDescent="0.3">
      <c r="A2898" s="1">
        <v>42030</v>
      </c>
      <c r="B2898">
        <v>1.4995879999999999</v>
      </c>
      <c r="C2898">
        <f t="shared" si="47"/>
        <v>-1.1543167650355818E-3</v>
      </c>
      <c r="D2898">
        <f>(C2898-meanrtn)/stdevrtns</f>
        <v>-0.18329223641494805</v>
      </c>
    </row>
    <row r="2899" spans="1:4" x14ac:dyDescent="0.3">
      <c r="A2899" s="1">
        <v>42031</v>
      </c>
      <c r="B2899">
        <v>1.5085459999999999</v>
      </c>
      <c r="C2899">
        <f t="shared" si="47"/>
        <v>5.9736407599954265E-3</v>
      </c>
      <c r="D2899">
        <f>(C2899-meanrtn)/stdevrtns</f>
        <v>0.99809726689855616</v>
      </c>
    </row>
    <row r="2900" spans="1:4" x14ac:dyDescent="0.3">
      <c r="A2900" s="1">
        <v>42032</v>
      </c>
      <c r="B2900">
        <v>1.51881</v>
      </c>
      <c r="C2900">
        <f t="shared" si="47"/>
        <v>6.8039025657819193E-3</v>
      </c>
      <c r="D2900">
        <f>(C2900-meanrtn)/stdevrtns</f>
        <v>1.1357050709453418</v>
      </c>
    </row>
    <row r="2901" spans="1:4" x14ac:dyDescent="0.3">
      <c r="A2901" s="1">
        <v>42033</v>
      </c>
      <c r="B2901">
        <v>1.5142340000000001</v>
      </c>
      <c r="C2901">
        <f t="shared" si="47"/>
        <v>-3.0128850876672613E-3</v>
      </c>
      <c r="D2901">
        <f>(C2901-meanrtn)/stdevrtns</f>
        <v>-0.49133182557320426</v>
      </c>
    </row>
    <row r="2902" spans="1:4" x14ac:dyDescent="0.3">
      <c r="A2902" s="1">
        <v>42034</v>
      </c>
      <c r="B2902">
        <v>1.5079089999999999</v>
      </c>
      <c r="C2902">
        <f t="shared" si="47"/>
        <v>-4.1770294419489562E-3</v>
      </c>
      <c r="D2902">
        <f>(C2902-meanrtn)/stdevrtns</f>
        <v>-0.68427740860459141</v>
      </c>
    </row>
    <row r="2903" spans="1:4" x14ac:dyDescent="0.3">
      <c r="A2903" s="1">
        <v>42037</v>
      </c>
      <c r="B2903">
        <v>1.508705</v>
      </c>
      <c r="C2903">
        <f t="shared" si="47"/>
        <v>5.2788331391351794E-4</v>
      </c>
      <c r="D2903">
        <f>(C2903-meanrtn)/stdevrtns</f>
        <v>9.5516034925721791E-2</v>
      </c>
    </row>
    <row r="2904" spans="1:4" x14ac:dyDescent="0.3">
      <c r="A2904" s="1">
        <v>42038</v>
      </c>
      <c r="B2904">
        <v>1.50281</v>
      </c>
      <c r="C2904">
        <f t="shared" si="47"/>
        <v>-3.9073244935225798E-3</v>
      </c>
      <c r="D2904">
        <f>(C2904-meanrtn)/stdevrtns</f>
        <v>-0.63957644147007631</v>
      </c>
    </row>
    <row r="2905" spans="1:4" x14ac:dyDescent="0.3">
      <c r="A2905" s="1">
        <v>42039</v>
      </c>
      <c r="B2905">
        <v>1.514211</v>
      </c>
      <c r="C2905">
        <f t="shared" si="47"/>
        <v>7.5864547081800062E-3</v>
      </c>
      <c r="D2905">
        <f>(C2905-meanrtn)/stdevrtns</f>
        <v>1.2654054631794514</v>
      </c>
    </row>
    <row r="2906" spans="1:4" x14ac:dyDescent="0.3">
      <c r="A2906" s="1">
        <v>42040</v>
      </c>
      <c r="B2906">
        <v>1.518003</v>
      </c>
      <c r="C2906">
        <f t="shared" si="47"/>
        <v>2.5042745033552242E-3</v>
      </c>
      <c r="D2906">
        <f>(C2906-meanrtn)/stdevrtns</f>
        <v>0.42308361616457962</v>
      </c>
    </row>
    <row r="2907" spans="1:4" x14ac:dyDescent="0.3">
      <c r="A2907" s="1">
        <v>42041</v>
      </c>
      <c r="B2907">
        <v>1.532591</v>
      </c>
      <c r="C2907">
        <f t="shared" si="47"/>
        <v>9.6099941831472302E-3</v>
      </c>
      <c r="D2907">
        <f>(C2907-meanrtn)/stdevrtns</f>
        <v>1.6007874133204067</v>
      </c>
    </row>
    <row r="2908" spans="1:4" x14ac:dyDescent="0.3">
      <c r="A2908" s="1">
        <v>42044</v>
      </c>
      <c r="B2908">
        <v>1.5239020000000001</v>
      </c>
      <c r="C2908">
        <f t="shared" si="47"/>
        <v>-5.6694839001403159E-3</v>
      </c>
      <c r="D2908">
        <f>(C2908-meanrtn)/stdevrtns</f>
        <v>-0.93163719222971131</v>
      </c>
    </row>
    <row r="2909" spans="1:4" x14ac:dyDescent="0.3">
      <c r="A2909" s="1">
        <v>42045</v>
      </c>
      <c r="B2909">
        <v>1.5216069999999999</v>
      </c>
      <c r="C2909">
        <f t="shared" si="47"/>
        <v>-1.5060023544822159E-3</v>
      </c>
      <c r="D2909">
        <f>(C2909-meanrtn)/stdevrtns</f>
        <v>-0.2415806959603167</v>
      </c>
    </row>
    <row r="2910" spans="1:4" x14ac:dyDescent="0.3">
      <c r="A2910" s="1">
        <v>42046</v>
      </c>
      <c r="B2910">
        <v>1.526205</v>
      </c>
      <c r="C2910">
        <f t="shared" si="47"/>
        <v>3.0218052361747167E-3</v>
      </c>
      <c r="D2910">
        <f>(C2910-meanrtn)/stdevrtns</f>
        <v>0.50885929219071235</v>
      </c>
    </row>
    <row r="2911" spans="1:4" x14ac:dyDescent="0.3">
      <c r="A2911" s="1">
        <v>42047</v>
      </c>
      <c r="B2911">
        <v>1.5242739999999999</v>
      </c>
      <c r="C2911">
        <f t="shared" si="47"/>
        <v>-1.2652297692643695E-3</v>
      </c>
      <c r="D2911">
        <f>(C2911-meanrtn)/stdevrtns</f>
        <v>-0.20167498610400234</v>
      </c>
    </row>
    <row r="2912" spans="1:4" x14ac:dyDescent="0.3">
      <c r="A2912" s="1">
        <v>42048</v>
      </c>
      <c r="B2912">
        <v>1.539196</v>
      </c>
      <c r="C2912">
        <f t="shared" si="47"/>
        <v>9.789578514099239E-3</v>
      </c>
      <c r="D2912">
        <f>(C2912-meanrtn)/stdevrtns</f>
        <v>1.6305517662646056</v>
      </c>
    </row>
    <row r="2913" spans="1:4" x14ac:dyDescent="0.3">
      <c r="A2913" s="1">
        <v>42051</v>
      </c>
      <c r="B2913">
        <v>1.540049</v>
      </c>
      <c r="C2913">
        <f t="shared" si="47"/>
        <v>5.5418543187481814E-4</v>
      </c>
      <c r="D2913">
        <f>(C2913-meanrtn)/stdevrtns</f>
        <v>9.9875354683909942E-2</v>
      </c>
    </row>
    <row r="2914" spans="1:4" x14ac:dyDescent="0.3">
      <c r="A2914" s="1">
        <v>42052</v>
      </c>
      <c r="B2914">
        <v>1.5356270000000001</v>
      </c>
      <c r="C2914">
        <f t="shared" si="47"/>
        <v>-2.8713372106990921E-3</v>
      </c>
      <c r="D2914">
        <f>(C2914-meanrtn)/stdevrtns</f>
        <v>-0.46787164424085559</v>
      </c>
    </row>
    <row r="2915" spans="1:4" x14ac:dyDescent="0.3">
      <c r="A2915" s="1">
        <v>42053</v>
      </c>
      <c r="B2915">
        <v>1.535344</v>
      </c>
      <c r="C2915">
        <f t="shared" si="47"/>
        <v>-1.8428954427086343E-4</v>
      </c>
      <c r="D2915">
        <f>(C2915-meanrtn)/stdevrtns</f>
        <v>-2.2519676741926641E-2</v>
      </c>
    </row>
    <row r="2916" spans="1:4" x14ac:dyDescent="0.3">
      <c r="A2916" s="1">
        <v>42054</v>
      </c>
      <c r="B2916">
        <v>1.543901</v>
      </c>
      <c r="C2916">
        <f t="shared" si="47"/>
        <v>5.5733438239247528E-3</v>
      </c>
      <c r="D2916">
        <f>(C2916-meanrtn)/stdevrtns</f>
        <v>0.93175195033041436</v>
      </c>
    </row>
    <row r="2917" spans="1:4" x14ac:dyDescent="0.3">
      <c r="A2917" s="1">
        <v>42055</v>
      </c>
      <c r="B2917">
        <v>1.5419959999999999</v>
      </c>
      <c r="C2917">
        <f t="shared" si="47"/>
        <v>-1.2338874059930303E-3</v>
      </c>
      <c r="D2917">
        <f>(C2917-meanrtn)/stdevrtns</f>
        <v>-0.19648029479898679</v>
      </c>
    </row>
    <row r="2918" spans="1:4" x14ac:dyDescent="0.3">
      <c r="A2918" s="1">
        <v>42058</v>
      </c>
      <c r="B2918">
        <v>1.5389109999999999</v>
      </c>
      <c r="C2918">
        <f t="shared" si="47"/>
        <v>-2.0006536981937726E-3</v>
      </c>
      <c r="D2918">
        <f>(C2918-meanrtn)/stdevrtns</f>
        <v>-0.32356433618384778</v>
      </c>
    </row>
    <row r="2919" spans="1:4" x14ac:dyDescent="0.3">
      <c r="A2919" s="1">
        <v>42059</v>
      </c>
      <c r="B2919">
        <v>1.545237</v>
      </c>
      <c r="C2919">
        <f t="shared" si="47"/>
        <v>4.1106990592698692E-3</v>
      </c>
      <c r="D2919">
        <f>(C2919-meanrtn)/stdevrtns</f>
        <v>0.68933283293644343</v>
      </c>
    </row>
    <row r="2920" spans="1:4" x14ac:dyDescent="0.3">
      <c r="A2920" s="1">
        <v>42060</v>
      </c>
      <c r="B2920">
        <v>1.545906</v>
      </c>
      <c r="C2920">
        <f t="shared" si="47"/>
        <v>4.3294329607693232E-4</v>
      </c>
      <c r="D2920">
        <f>(C2920-meanrtn)/stdevrtns</f>
        <v>7.978065208671542E-2</v>
      </c>
    </row>
    <row r="2921" spans="1:4" x14ac:dyDescent="0.3">
      <c r="A2921" s="1">
        <v>42061</v>
      </c>
      <c r="B2921">
        <v>1.552891</v>
      </c>
      <c r="C2921">
        <f t="shared" si="47"/>
        <v>4.5183859820713676E-3</v>
      </c>
      <c r="D2921">
        <f>(C2921-meanrtn)/stdevrtns</f>
        <v>0.75690296779548616</v>
      </c>
    </row>
    <row r="2922" spans="1:4" x14ac:dyDescent="0.3">
      <c r="A2922" s="1">
        <v>42062</v>
      </c>
      <c r="B2922">
        <v>1.541806</v>
      </c>
      <c r="C2922">
        <f t="shared" si="47"/>
        <v>-7.1382988245794528E-3</v>
      </c>
      <c r="D2922">
        <f>(C2922-meanrtn)/stdevrtns</f>
        <v>-1.1750789534844637</v>
      </c>
    </row>
    <row r="2923" spans="1:4" x14ac:dyDescent="0.3">
      <c r="A2923" s="1">
        <v>42065</v>
      </c>
      <c r="B2923">
        <v>1.540618</v>
      </c>
      <c r="C2923">
        <f t="shared" si="47"/>
        <v>-7.7052495579856797E-4</v>
      </c>
      <c r="D2923">
        <f>(C2923-meanrtn)/stdevrtns</f>
        <v>-0.11968248378972673</v>
      </c>
    </row>
    <row r="2924" spans="1:4" x14ac:dyDescent="0.3">
      <c r="A2924" s="1">
        <v>42066</v>
      </c>
      <c r="B2924">
        <v>1.5359100000000001</v>
      </c>
      <c r="C2924">
        <f t="shared" si="47"/>
        <v>-3.0559165218113343E-3</v>
      </c>
      <c r="D2924">
        <f>(C2924-meanrtn)/stdevrtns</f>
        <v>-0.49846386647437568</v>
      </c>
    </row>
    <row r="2925" spans="1:4" x14ac:dyDescent="0.3">
      <c r="A2925" s="1">
        <v>42067</v>
      </c>
      <c r="B2925">
        <v>1.5366649999999999</v>
      </c>
      <c r="C2925">
        <f t="shared" si="47"/>
        <v>4.915652609852394E-4</v>
      </c>
      <c r="D2925">
        <f>(C2925-meanrtn)/stdevrtns</f>
        <v>8.9496671544334924E-2</v>
      </c>
    </row>
    <row r="2926" spans="1:4" x14ac:dyDescent="0.3">
      <c r="A2926" s="1">
        <v>42068</v>
      </c>
      <c r="B2926">
        <v>1.526508</v>
      </c>
      <c r="C2926">
        <f t="shared" si="47"/>
        <v>-6.6097685572326899E-3</v>
      </c>
      <c r="D2926">
        <f>(C2926-meanrtn)/stdevrtns</f>
        <v>-1.0874802117924347</v>
      </c>
    </row>
    <row r="2927" spans="1:4" x14ac:dyDescent="0.3">
      <c r="A2927" s="1">
        <v>42069</v>
      </c>
      <c r="B2927">
        <v>1.524762</v>
      </c>
      <c r="C2927">
        <f t="shared" si="47"/>
        <v>-1.1437869962031154E-3</v>
      </c>
      <c r="D2927">
        <f>(C2927-meanrtn)/stdevrtns</f>
        <v>-0.18154702983546026</v>
      </c>
    </row>
    <row r="2928" spans="1:4" x14ac:dyDescent="0.3">
      <c r="A2928" s="1">
        <v>42072</v>
      </c>
      <c r="B2928">
        <v>1.5057750000000001</v>
      </c>
      <c r="C2928">
        <f t="shared" si="47"/>
        <v>-1.2452435199722885E-2</v>
      </c>
      <c r="D2928">
        <f>(C2928-meanrtn)/stdevrtns</f>
        <v>-2.0558452754952858</v>
      </c>
    </row>
    <row r="2929" spans="1:4" x14ac:dyDescent="0.3">
      <c r="A2929" s="1">
        <v>42073</v>
      </c>
      <c r="B2929">
        <v>1.510483</v>
      </c>
      <c r="C2929">
        <f t="shared" si="47"/>
        <v>3.1266291444604502E-3</v>
      </c>
      <c r="D2929">
        <f>(C2929-meanrtn)/stdevrtns</f>
        <v>0.52623283356075912</v>
      </c>
    </row>
    <row r="2930" spans="1:4" x14ac:dyDescent="0.3">
      <c r="A2930" s="1">
        <v>42074</v>
      </c>
      <c r="B2930">
        <v>1.508205</v>
      </c>
      <c r="C2930">
        <f t="shared" si="47"/>
        <v>-1.5081268706764672E-3</v>
      </c>
      <c r="D2930">
        <f>(C2930-meanrtn)/stdevrtns</f>
        <v>-0.24193281381773854</v>
      </c>
    </row>
    <row r="2931" spans="1:4" x14ac:dyDescent="0.3">
      <c r="A2931" s="1">
        <v>42075</v>
      </c>
      <c r="B2931">
        <v>1.493295</v>
      </c>
      <c r="C2931">
        <f t="shared" si="47"/>
        <v>-9.8859239957432704E-3</v>
      </c>
      <c r="D2931">
        <f>(C2931-meanrtn)/stdevrtns</f>
        <v>-1.6304710521121535</v>
      </c>
    </row>
    <row r="2932" spans="1:4" x14ac:dyDescent="0.3">
      <c r="A2932" s="1">
        <v>42076</v>
      </c>
      <c r="B2932">
        <v>1.489403</v>
      </c>
      <c r="C2932">
        <f t="shared" si="47"/>
        <v>-2.6063169032240828E-3</v>
      </c>
      <c r="D2932">
        <f>(C2932-meanrtn)/stdevrtns</f>
        <v>-0.42394711069580876</v>
      </c>
    </row>
    <row r="2933" spans="1:4" x14ac:dyDescent="0.3">
      <c r="A2933" s="1">
        <v>42079</v>
      </c>
      <c r="B2933">
        <v>1.475579</v>
      </c>
      <c r="C2933">
        <f t="shared" si="47"/>
        <v>-9.2815712067184364E-3</v>
      </c>
      <c r="D2933">
        <f>(C2933-meanrtn)/stdevrtns</f>
        <v>-1.5303054662841047</v>
      </c>
    </row>
    <row r="2934" spans="1:4" x14ac:dyDescent="0.3">
      <c r="A2934" s="1">
        <v>42080</v>
      </c>
      <c r="B2934">
        <v>1.48258</v>
      </c>
      <c r="C2934">
        <f t="shared" si="47"/>
        <v>4.7445782299694117E-3</v>
      </c>
      <c r="D2934">
        <f>(C2934-meanrtn)/stdevrtns</f>
        <v>0.79439212881520938</v>
      </c>
    </row>
    <row r="2935" spans="1:4" x14ac:dyDescent="0.3">
      <c r="A2935" s="1">
        <v>42081</v>
      </c>
      <c r="B2935">
        <v>1.475209</v>
      </c>
      <c r="C2935">
        <f t="shared" si="47"/>
        <v>-4.9717384559349355E-3</v>
      </c>
      <c r="D2935">
        <f>(C2935-meanrtn)/stdevrtns</f>
        <v>-0.81599268384503643</v>
      </c>
    </row>
    <row r="2936" spans="1:4" x14ac:dyDescent="0.3">
      <c r="A2936" s="1">
        <v>42082</v>
      </c>
      <c r="B2936">
        <v>1.4962</v>
      </c>
      <c r="C2936">
        <f t="shared" si="47"/>
        <v>1.4229170239606714E-2</v>
      </c>
      <c r="D2936">
        <f>(C2936-meanrtn)/stdevrtns</f>
        <v>2.3663708343628267</v>
      </c>
    </row>
    <row r="2937" spans="1:4" x14ac:dyDescent="0.3">
      <c r="A2937" s="1">
        <v>42083</v>
      </c>
      <c r="B2937">
        <v>1.476167</v>
      </c>
      <c r="C2937">
        <f t="shared" si="47"/>
        <v>-1.3389252773693334E-2</v>
      </c>
      <c r="D2937">
        <f>(C2937-meanrtn)/stdevrtns</f>
        <v>-2.2111136598146071</v>
      </c>
    </row>
    <row r="2938" spans="1:4" x14ac:dyDescent="0.3">
      <c r="A2938" s="1">
        <v>42086</v>
      </c>
      <c r="B2938">
        <v>1.4943219999999999</v>
      </c>
      <c r="C2938">
        <f t="shared" si="47"/>
        <v>1.2298743976799319E-2</v>
      </c>
      <c r="D2938">
        <f>(C2938-meanrtn)/stdevrtns</f>
        <v>2.0464214918207708</v>
      </c>
    </row>
    <row r="2939" spans="1:4" x14ac:dyDescent="0.3">
      <c r="A2939" s="1">
        <v>42087</v>
      </c>
      <c r="B2939">
        <v>1.495193</v>
      </c>
      <c r="C2939">
        <f t="shared" si="47"/>
        <v>5.8287303539669916E-4</v>
      </c>
      <c r="D2939">
        <f>(C2939-meanrtn)/stdevrtns</f>
        <v>0.10463004542904346</v>
      </c>
    </row>
    <row r="2940" spans="1:4" x14ac:dyDescent="0.3">
      <c r="A2940" s="1">
        <v>42088</v>
      </c>
      <c r="B2940">
        <v>1.483393</v>
      </c>
      <c r="C2940">
        <f t="shared" si="47"/>
        <v>-7.8919577606369438E-3</v>
      </c>
      <c r="D2940">
        <f>(C2940-meanrtn)/stdevrtns</f>
        <v>-1.299990578309679</v>
      </c>
    </row>
    <row r="2941" spans="1:4" x14ac:dyDescent="0.3">
      <c r="A2941" s="1">
        <v>42089</v>
      </c>
      <c r="B2941">
        <v>1.487741</v>
      </c>
      <c r="C2941">
        <f t="shared" si="47"/>
        <v>2.9311180516559121E-3</v>
      </c>
      <c r="D2941">
        <f>(C2941-meanrtn)/stdevrtns</f>
        <v>0.49382877503354045</v>
      </c>
    </row>
    <row r="2942" spans="1:4" x14ac:dyDescent="0.3">
      <c r="A2942" s="1">
        <v>42090</v>
      </c>
      <c r="B2942">
        <v>1.48584</v>
      </c>
      <c r="C2942">
        <f t="shared" si="47"/>
        <v>-1.2777761720621603E-3</v>
      </c>
      <c r="D2942">
        <f>(C2942-meanrtn)/stdevrtns</f>
        <v>-0.20375443011269664</v>
      </c>
    </row>
    <row r="2943" spans="1:4" x14ac:dyDescent="0.3">
      <c r="A2943" s="1">
        <v>42093</v>
      </c>
      <c r="B2943">
        <v>1.488583</v>
      </c>
      <c r="C2943">
        <f t="shared" si="47"/>
        <v>1.8460937920637081E-3</v>
      </c>
      <c r="D2943">
        <f>(C2943-meanrtn)/stdevrtns</f>
        <v>0.3139965767325047</v>
      </c>
    </row>
    <row r="2944" spans="1:4" x14ac:dyDescent="0.3">
      <c r="A2944" s="1">
        <v>42094</v>
      </c>
      <c r="B2944">
        <v>1.4809110000000001</v>
      </c>
      <c r="C2944">
        <f t="shared" si="47"/>
        <v>-5.1538946770182791E-3</v>
      </c>
      <c r="D2944">
        <f>(C2944-meanrtn)/stdevrtns</f>
        <v>-0.84618330251741414</v>
      </c>
    </row>
    <row r="2945" spans="1:4" x14ac:dyDescent="0.3">
      <c r="A2945" s="1">
        <v>42095</v>
      </c>
      <c r="B2945">
        <v>1.482953</v>
      </c>
      <c r="C2945">
        <f t="shared" si="47"/>
        <v>1.3788809725904373E-3</v>
      </c>
      <c r="D2945">
        <f>(C2945-meanrtn)/stdevrtns</f>
        <v>0.23656060453416752</v>
      </c>
    </row>
    <row r="2946" spans="1:4" x14ac:dyDescent="0.3">
      <c r="A2946" s="1">
        <v>42096</v>
      </c>
      <c r="B2946">
        <v>1.483679</v>
      </c>
      <c r="C2946">
        <f t="shared" si="47"/>
        <v>4.895637285874903E-4</v>
      </c>
      <c r="D2946">
        <f>(C2946-meanrtn)/stdevrtns</f>
        <v>8.9164937052800847E-2</v>
      </c>
    </row>
    <row r="2947" spans="1:4" x14ac:dyDescent="0.3">
      <c r="A2947" s="1">
        <v>42097</v>
      </c>
      <c r="B2947">
        <v>1.483063</v>
      </c>
      <c r="C2947">
        <f t="shared" si="47"/>
        <v>-4.151841469751543E-4</v>
      </c>
      <c r="D2947">
        <f>(C2947-meanrtn)/stdevrtns</f>
        <v>-6.0788207249956636E-2</v>
      </c>
    </row>
    <row r="2948" spans="1:4" x14ac:dyDescent="0.3">
      <c r="A2948" s="1">
        <v>42100</v>
      </c>
      <c r="B2948">
        <v>1.493072</v>
      </c>
      <c r="C2948">
        <f t="shared" ref="C2948:C3011" si="48">(B2948-B2947)/B2947</f>
        <v>6.7488704121132642E-3</v>
      </c>
      <c r="D2948">
        <f>(C2948-meanrtn)/stdevrtns</f>
        <v>1.1265840277207468</v>
      </c>
    </row>
    <row r="2949" spans="1:4" x14ac:dyDescent="0.3">
      <c r="A2949" s="1">
        <v>42101</v>
      </c>
      <c r="B2949">
        <v>1.4890699999999999</v>
      </c>
      <c r="C2949">
        <f t="shared" si="48"/>
        <v>-2.6803797807473861E-3</v>
      </c>
      <c r="D2949">
        <f>(C2949-meanrtn)/stdevrtns</f>
        <v>-0.43622231095955383</v>
      </c>
    </row>
    <row r="2950" spans="1:4" x14ac:dyDescent="0.3">
      <c r="A2950" s="1">
        <v>42102</v>
      </c>
      <c r="B2950">
        <v>1.4823820000000001</v>
      </c>
      <c r="C2950">
        <f t="shared" si="48"/>
        <v>-4.4913939573020785E-3</v>
      </c>
      <c r="D2950">
        <f>(C2950-meanrtn)/stdevrtns</f>
        <v>-0.73638026378410515</v>
      </c>
    </row>
    <row r="2951" spans="1:4" x14ac:dyDescent="0.3">
      <c r="A2951" s="1">
        <v>42103</v>
      </c>
      <c r="B2951">
        <v>1.487852</v>
      </c>
      <c r="C2951">
        <f t="shared" si="48"/>
        <v>3.6900070292271922E-3</v>
      </c>
      <c r="D2951">
        <f>(C2951-meanrtn)/stdevrtns</f>
        <v>0.61960722827693682</v>
      </c>
    </row>
    <row r="2952" spans="1:4" x14ac:dyDescent="0.3">
      <c r="A2952" s="1">
        <v>42104</v>
      </c>
      <c r="B2952">
        <v>1.4714970000000001</v>
      </c>
      <c r="C2952">
        <f t="shared" si="48"/>
        <v>-1.0992356766667584E-2</v>
      </c>
      <c r="D2952">
        <f>(C2952-meanrtn)/stdevrtns</f>
        <v>-1.8138515025570194</v>
      </c>
    </row>
    <row r="2953" spans="1:4" x14ac:dyDescent="0.3">
      <c r="A2953" s="1">
        <v>42107</v>
      </c>
      <c r="B2953">
        <v>1.464064</v>
      </c>
      <c r="C2953">
        <f t="shared" si="48"/>
        <v>-5.0513184872276479E-3</v>
      </c>
      <c r="D2953">
        <f>(C2953-meanrtn)/stdevrtns</f>
        <v>-0.82918229858564363</v>
      </c>
    </row>
    <row r="2954" spans="1:4" x14ac:dyDescent="0.3">
      <c r="A2954" s="1">
        <v>42108</v>
      </c>
      <c r="B2954">
        <v>1.4667920000000001</v>
      </c>
      <c r="C2954">
        <f t="shared" si="48"/>
        <v>1.8633065221192952E-3</v>
      </c>
      <c r="D2954">
        <f>(C2954-meanrtn)/stdevrtns</f>
        <v>0.31684941901441083</v>
      </c>
    </row>
    <row r="2955" spans="1:4" x14ac:dyDescent="0.3">
      <c r="A2955" s="1">
        <v>42109</v>
      </c>
      <c r="B2955">
        <v>1.4771920000000001</v>
      </c>
      <c r="C2955">
        <f t="shared" si="48"/>
        <v>7.0903031922726362E-3</v>
      </c>
      <c r="D2955">
        <f>(C2955-meanrtn)/stdevrtns</f>
        <v>1.1831731840324877</v>
      </c>
    </row>
    <row r="2956" spans="1:4" x14ac:dyDescent="0.3">
      <c r="A2956" s="1">
        <v>42110</v>
      </c>
      <c r="B2956">
        <v>1.4828440000000001</v>
      </c>
      <c r="C2956">
        <f t="shared" si="48"/>
        <v>3.8261783166981611E-3</v>
      </c>
      <c r="D2956">
        <f>(C2956-meanrtn)/stdevrtns</f>
        <v>0.64217629229085127</v>
      </c>
    </row>
    <row r="2957" spans="1:4" x14ac:dyDescent="0.3">
      <c r="A2957" s="1">
        <v>42111</v>
      </c>
      <c r="B2957">
        <v>1.492181</v>
      </c>
      <c r="C2957">
        <f t="shared" si="48"/>
        <v>6.2966839397805355E-3</v>
      </c>
      <c r="D2957">
        <f>(C2957-meanrtn)/stdevrtns</f>
        <v>1.0516385261407659</v>
      </c>
    </row>
    <row r="2958" spans="1:4" x14ac:dyDescent="0.3">
      <c r="A2958" s="1">
        <v>42114</v>
      </c>
      <c r="B2958">
        <v>1.4968269999999999</v>
      </c>
      <c r="C2958">
        <f t="shared" si="48"/>
        <v>3.1135633009667916E-3</v>
      </c>
      <c r="D2958">
        <f>(C2958-meanrtn)/stdevrtns</f>
        <v>0.52406729731827462</v>
      </c>
    </row>
    <row r="2959" spans="1:4" x14ac:dyDescent="0.3">
      <c r="A2959" s="1">
        <v>42115</v>
      </c>
      <c r="B2959">
        <v>1.49098</v>
      </c>
      <c r="C2959">
        <f t="shared" si="48"/>
        <v>-3.9062630484350807E-3</v>
      </c>
      <c r="D2959">
        <f>(C2959-meanrtn)/stdevrtns</f>
        <v>-0.63940051728978875</v>
      </c>
    </row>
    <row r="2960" spans="1:4" x14ac:dyDescent="0.3">
      <c r="A2960" s="1">
        <v>42116</v>
      </c>
      <c r="B2960">
        <v>1.493563</v>
      </c>
      <c r="C2960">
        <f t="shared" si="48"/>
        <v>1.7324176045285665E-3</v>
      </c>
      <c r="D2960">
        <f>(C2960-meanrtn)/stdevrtns</f>
        <v>0.295155856335517</v>
      </c>
    </row>
    <row r="2961" spans="1:4" x14ac:dyDescent="0.3">
      <c r="A2961" s="1">
        <v>42117</v>
      </c>
      <c r="B2961">
        <v>1.5037590000000001</v>
      </c>
      <c r="C2961">
        <f t="shared" si="48"/>
        <v>6.8266286725100272E-3</v>
      </c>
      <c r="D2961">
        <f>(C2961-meanrtn)/stdevrtns</f>
        <v>1.1394717016871057</v>
      </c>
    </row>
    <row r="2962" spans="1:4" x14ac:dyDescent="0.3">
      <c r="A2962" s="1">
        <v>42118</v>
      </c>
      <c r="B2962">
        <v>1.5052080000000001</v>
      </c>
      <c r="C2962">
        <f t="shared" si="48"/>
        <v>9.6358525535011495E-4</v>
      </c>
      <c r="D2962">
        <f>(C2962-meanrtn)/stdevrtns</f>
        <v>0.16772938613873586</v>
      </c>
    </row>
    <row r="2963" spans="1:4" x14ac:dyDescent="0.3">
      <c r="A2963" s="1">
        <v>42121</v>
      </c>
      <c r="B2963">
        <v>1.517658</v>
      </c>
      <c r="C2963">
        <f t="shared" si="48"/>
        <v>8.2712821085191204E-3</v>
      </c>
      <c r="D2963">
        <f>(C2963-meanrtn)/stdevrtns</f>
        <v>1.3789089316696883</v>
      </c>
    </row>
    <row r="2964" spans="1:4" x14ac:dyDescent="0.3">
      <c r="A2964" s="1">
        <v>42122</v>
      </c>
      <c r="B2964">
        <v>1.5223709999999999</v>
      </c>
      <c r="C2964">
        <f t="shared" si="48"/>
        <v>3.1054427282035659E-3</v>
      </c>
      <c r="D2964">
        <f>(C2964-meanrtn)/stdevrtns</f>
        <v>0.52272139151150188</v>
      </c>
    </row>
    <row r="2965" spans="1:4" x14ac:dyDescent="0.3">
      <c r="A2965" s="1">
        <v>42123</v>
      </c>
      <c r="B2965">
        <v>1.5334840000000001</v>
      </c>
      <c r="C2965">
        <f t="shared" si="48"/>
        <v>7.2997974869464478E-3</v>
      </c>
      <c r="D2965">
        <f>(C2965-meanrtn)/stdevrtns</f>
        <v>1.2178948220139978</v>
      </c>
    </row>
    <row r="2966" spans="1:4" x14ac:dyDescent="0.3">
      <c r="A2966" s="1">
        <v>42124</v>
      </c>
      <c r="B2966">
        <v>1.542686</v>
      </c>
      <c r="C2966">
        <f t="shared" si="48"/>
        <v>6.0007147123803915E-3</v>
      </c>
      <c r="D2966">
        <f>(C2966-meanrtn)/stdevrtns</f>
        <v>1.0025845106915343</v>
      </c>
    </row>
    <row r="2967" spans="1:4" x14ac:dyDescent="0.3">
      <c r="A2967" s="1">
        <v>42125</v>
      </c>
      <c r="B2967">
        <v>1.5354620000000001</v>
      </c>
      <c r="C2967">
        <f t="shared" si="48"/>
        <v>-4.6827416596766274E-3</v>
      </c>
      <c r="D2967">
        <f>(C2967-meanrtn)/stdevrtns</f>
        <v>-0.76809428091658871</v>
      </c>
    </row>
    <row r="2968" spans="1:4" x14ac:dyDescent="0.3">
      <c r="A2968" s="1">
        <v>42128</v>
      </c>
      <c r="B2968">
        <v>1.51467</v>
      </c>
      <c r="C2968">
        <f t="shared" si="48"/>
        <v>-1.3541201280135974E-2</v>
      </c>
      <c r="D2968">
        <f>(C2968-meanrtn)/stdevrtns</f>
        <v>-2.2362976441362195</v>
      </c>
    </row>
    <row r="2969" spans="1:4" x14ac:dyDescent="0.3">
      <c r="A2969" s="1">
        <v>42129</v>
      </c>
      <c r="B2969">
        <v>1.5122869999999999</v>
      </c>
      <c r="C2969">
        <f t="shared" si="48"/>
        <v>-1.5732799883803232E-3</v>
      </c>
      <c r="D2969">
        <f>(C2969-meanrtn)/stdevrtns</f>
        <v>-0.25273130821016271</v>
      </c>
    </row>
    <row r="2970" spans="1:4" x14ac:dyDescent="0.3">
      <c r="A2970" s="1">
        <v>42130</v>
      </c>
      <c r="B2970">
        <v>1.517428</v>
      </c>
      <c r="C2970">
        <f t="shared" si="48"/>
        <v>3.3994870021365406E-3</v>
      </c>
      <c r="D2970">
        <f>(C2970-meanrtn)/stdevrtns</f>
        <v>0.57145636468074024</v>
      </c>
    </row>
    <row r="2971" spans="1:4" x14ac:dyDescent="0.3">
      <c r="A2971" s="1">
        <v>42131</v>
      </c>
      <c r="B2971">
        <v>1.5242039999999999</v>
      </c>
      <c r="C2971">
        <f t="shared" si="48"/>
        <v>4.4654507495577337E-3</v>
      </c>
      <c r="D2971">
        <f>(C2971-meanrtn)/stdevrtns</f>
        <v>0.74812946881945308</v>
      </c>
    </row>
    <row r="2972" spans="1:4" x14ac:dyDescent="0.3">
      <c r="A2972" s="1">
        <v>42132</v>
      </c>
      <c r="B2972">
        <v>1.540713</v>
      </c>
      <c r="C2972">
        <f t="shared" si="48"/>
        <v>1.0831227316028634E-2</v>
      </c>
      <c r="D2972">
        <f>(C2972-meanrtn)/stdevrtns</f>
        <v>1.8031949051184839</v>
      </c>
    </row>
    <row r="2973" spans="1:4" x14ac:dyDescent="0.3">
      <c r="A2973" s="1">
        <v>42135</v>
      </c>
      <c r="B2973">
        <v>1.5434000000000001</v>
      </c>
      <c r="C2973">
        <f t="shared" si="48"/>
        <v>1.7439977464979565E-3</v>
      </c>
      <c r="D2973">
        <f>(C2973-meanrtn)/stdevrtns</f>
        <v>0.297075152027372</v>
      </c>
    </row>
    <row r="2974" spans="1:4" x14ac:dyDescent="0.3">
      <c r="A2974" s="1">
        <v>42136</v>
      </c>
      <c r="B2974">
        <v>1.5577049999999999</v>
      </c>
      <c r="C2974">
        <f t="shared" si="48"/>
        <v>9.2684981210313516E-3</v>
      </c>
      <c r="D2974">
        <f>(C2974-meanrtn)/stdevrtns</f>
        <v>1.5441877686410088</v>
      </c>
    </row>
    <row r="2975" spans="1:4" x14ac:dyDescent="0.3">
      <c r="A2975" s="1">
        <v>42137</v>
      </c>
      <c r="B2975">
        <v>1.5671029999999999</v>
      </c>
      <c r="C2975">
        <f t="shared" si="48"/>
        <v>6.0332347909264061E-3</v>
      </c>
      <c r="D2975">
        <f>(C2975-meanrtn)/stdevrtns</f>
        <v>1.0079743968273984</v>
      </c>
    </row>
    <row r="2976" spans="1:4" x14ac:dyDescent="0.3">
      <c r="A2976" s="1">
        <v>42138</v>
      </c>
      <c r="B2976">
        <v>1.5740099999999999</v>
      </c>
      <c r="C2976">
        <f t="shared" si="48"/>
        <v>4.4074958697673328E-3</v>
      </c>
      <c r="D2976">
        <f>(C2976-meanrtn)/stdevrtns</f>
        <v>0.73852401221989539</v>
      </c>
    </row>
    <row r="2977" spans="1:4" x14ac:dyDescent="0.3">
      <c r="A2977" s="1">
        <v>42139</v>
      </c>
      <c r="B2977">
        <v>1.5772120000000001</v>
      </c>
      <c r="C2977">
        <f t="shared" si="48"/>
        <v>2.0342945724615151E-3</v>
      </c>
      <c r="D2977">
        <f>(C2977-meanrtn)/stdevrtns</f>
        <v>0.34518902221167608</v>
      </c>
    </row>
    <row r="2978" spans="1:4" x14ac:dyDescent="0.3">
      <c r="A2978" s="1">
        <v>42142</v>
      </c>
      <c r="B2978">
        <v>1.574605</v>
      </c>
      <c r="C2978">
        <f t="shared" si="48"/>
        <v>-1.6529166656099662E-3</v>
      </c>
      <c r="D2978">
        <f>(C2978-meanrtn)/stdevrtns</f>
        <v>-0.26593031146284501</v>
      </c>
    </row>
    <row r="2979" spans="1:4" x14ac:dyDescent="0.3">
      <c r="A2979" s="1">
        <v>42143</v>
      </c>
      <c r="B2979">
        <v>1.5663670000000001</v>
      </c>
      <c r="C2979">
        <f t="shared" si="48"/>
        <v>-5.2317882897615388E-3</v>
      </c>
      <c r="D2979">
        <f>(C2979-meanrtn)/stdevrtns</f>
        <v>-0.85909340981630045</v>
      </c>
    </row>
    <row r="2980" spans="1:4" x14ac:dyDescent="0.3">
      <c r="A2980" s="1">
        <v>42144</v>
      </c>
      <c r="B2980">
        <v>1.551614</v>
      </c>
      <c r="C2980">
        <f t="shared" si="48"/>
        <v>-9.4186100703092038E-3</v>
      </c>
      <c r="D2980">
        <f>(C2980-meanrtn)/stdevrtns</f>
        <v>-1.5530183225860141</v>
      </c>
    </row>
    <row r="2981" spans="1:4" x14ac:dyDescent="0.3">
      <c r="A2981" s="1">
        <v>42145</v>
      </c>
      <c r="B2981">
        <v>1.5542910000000001</v>
      </c>
      <c r="C2981">
        <f t="shared" si="48"/>
        <v>1.7253002357545371E-3</v>
      </c>
      <c r="D2981">
        <f>(C2981-meanrtn)/stdevrtns</f>
        <v>0.29397622181450278</v>
      </c>
    </row>
    <row r="2982" spans="1:4" x14ac:dyDescent="0.3">
      <c r="A2982" s="1">
        <v>42146</v>
      </c>
      <c r="B2982">
        <v>1.566392</v>
      </c>
      <c r="C2982">
        <f t="shared" si="48"/>
        <v>7.7855433763689792E-3</v>
      </c>
      <c r="D2982">
        <f>(C2982-meanrtn)/stdevrtns</f>
        <v>1.2984024699659213</v>
      </c>
    </row>
    <row r="2983" spans="1:4" x14ac:dyDescent="0.3">
      <c r="A2983" s="1">
        <v>42149</v>
      </c>
      <c r="B2983">
        <v>1.5475080000000001</v>
      </c>
      <c r="C2983">
        <f t="shared" si="48"/>
        <v>-1.2055730621708935E-2</v>
      </c>
      <c r="D2983">
        <f>(C2983-meanrtn)/stdevrtns</f>
        <v>-1.9900953572702815</v>
      </c>
    </row>
    <row r="2984" spans="1:4" x14ac:dyDescent="0.3">
      <c r="A2984" s="1">
        <v>42150</v>
      </c>
      <c r="B2984">
        <v>1.547221</v>
      </c>
      <c r="C2984">
        <f t="shared" si="48"/>
        <v>-1.8545946127590179E-4</v>
      </c>
      <c r="D2984">
        <f>(C2984-meanrtn)/stdevrtns</f>
        <v>-2.2713579085570909E-2</v>
      </c>
    </row>
    <row r="2985" spans="1:4" x14ac:dyDescent="0.3">
      <c r="A2985" s="1">
        <v>42151</v>
      </c>
      <c r="B2985">
        <v>1.5398590000000001</v>
      </c>
      <c r="C2985">
        <f t="shared" si="48"/>
        <v>-4.7582084265918503E-3</v>
      </c>
      <c r="D2985">
        <f>(C2985-meanrtn)/stdevrtns</f>
        <v>-0.78060216216722278</v>
      </c>
    </row>
    <row r="2986" spans="1:4" x14ac:dyDescent="0.3">
      <c r="A2986" s="1">
        <v>42152</v>
      </c>
      <c r="B2986">
        <v>1.5350140000000001</v>
      </c>
      <c r="C2986">
        <f t="shared" si="48"/>
        <v>-3.1463919748496373E-3</v>
      </c>
      <c r="D2986">
        <f>(C2986-meanrtn)/stdevrtns</f>
        <v>-0.51345929120181477</v>
      </c>
    </row>
    <row r="2987" spans="1:4" x14ac:dyDescent="0.3">
      <c r="A2987" s="1">
        <v>42153</v>
      </c>
      <c r="B2987">
        <v>1.5319100000000001</v>
      </c>
      <c r="C2987">
        <f t="shared" si="48"/>
        <v>-2.0221313942413526E-3</v>
      </c>
      <c r="D2987">
        <f>(C2987-meanrtn)/stdevrtns</f>
        <v>-0.32712405502011549</v>
      </c>
    </row>
    <row r="2988" spans="1:4" x14ac:dyDescent="0.3">
      <c r="A2988" s="1">
        <v>42156</v>
      </c>
      <c r="B2988">
        <v>1.528888</v>
      </c>
      <c r="C2988">
        <f t="shared" si="48"/>
        <v>-1.9727007461274359E-3</v>
      </c>
      <c r="D2988">
        <f>(C2988-meanrtn)/stdevrtns</f>
        <v>-0.31893140675885767</v>
      </c>
    </row>
    <row r="2989" spans="1:4" x14ac:dyDescent="0.3">
      <c r="A2989" s="1">
        <v>42157</v>
      </c>
      <c r="B2989">
        <v>1.5199879999999999</v>
      </c>
      <c r="C2989">
        <f t="shared" si="48"/>
        <v>-5.8212243146653839E-3</v>
      </c>
      <c r="D2989">
        <f>(C2989-meanrtn)/stdevrtns</f>
        <v>-0.95678668734368166</v>
      </c>
    </row>
    <row r="2990" spans="1:4" x14ac:dyDescent="0.3">
      <c r="A2990" s="1">
        <v>42158</v>
      </c>
      <c r="B2990">
        <v>1.5339780000000001</v>
      </c>
      <c r="C2990">
        <f t="shared" si="48"/>
        <v>9.2040200317372051E-3</v>
      </c>
      <c r="D2990">
        <f>(C2990-meanrtn)/stdevrtns</f>
        <v>1.5335011536298617</v>
      </c>
    </row>
    <row r="2991" spans="1:4" x14ac:dyDescent="0.3">
      <c r="A2991" s="1">
        <v>42159</v>
      </c>
      <c r="B2991">
        <v>1.5326610000000001</v>
      </c>
      <c r="C2991">
        <f t="shared" si="48"/>
        <v>-8.5855207832186153E-4</v>
      </c>
      <c r="D2991">
        <f>(C2991-meanrtn)/stdevrtns</f>
        <v>-0.13427212159139956</v>
      </c>
    </row>
    <row r="2992" spans="1:4" x14ac:dyDescent="0.3">
      <c r="A2992" s="1">
        <v>42160</v>
      </c>
      <c r="B2992">
        <v>1.5365</v>
      </c>
      <c r="C2992">
        <f t="shared" si="48"/>
        <v>2.5047939498688398E-3</v>
      </c>
      <c r="D2992">
        <f>(C2992-meanrtn)/stdevrtns</f>
        <v>0.4231697093626049</v>
      </c>
    </row>
    <row r="2993" spans="1:4" x14ac:dyDescent="0.3">
      <c r="A2993" s="1">
        <v>42163</v>
      </c>
      <c r="B2993">
        <v>1.526788</v>
      </c>
      <c r="C2993">
        <f t="shared" si="48"/>
        <v>-6.32085909534653E-3</v>
      </c>
      <c r="D2993">
        <f>(C2993-meanrtn)/stdevrtns</f>
        <v>-1.0395962836851642</v>
      </c>
    </row>
    <row r="2994" spans="1:4" x14ac:dyDescent="0.3">
      <c r="A2994" s="1">
        <v>42164</v>
      </c>
      <c r="B2994">
        <v>1.5345899999999999</v>
      </c>
      <c r="C2994">
        <f t="shared" si="48"/>
        <v>5.1100742211753463E-3</v>
      </c>
      <c r="D2994">
        <f>(C2994-meanrtn)/stdevrtns</f>
        <v>0.85496952788044545</v>
      </c>
    </row>
    <row r="2995" spans="1:4" x14ac:dyDescent="0.3">
      <c r="A2995" s="1">
        <v>42165</v>
      </c>
      <c r="B2995">
        <v>1.539409</v>
      </c>
      <c r="C2995">
        <f t="shared" si="48"/>
        <v>3.1402524452786274E-3</v>
      </c>
      <c r="D2995">
        <f>(C2995-meanrtn)/stdevrtns</f>
        <v>0.52849076292279007</v>
      </c>
    </row>
    <row r="2996" spans="1:4" x14ac:dyDescent="0.3">
      <c r="A2996" s="1">
        <v>42166</v>
      </c>
      <c r="B2996">
        <v>1.5496909999999999</v>
      </c>
      <c r="C2996">
        <f t="shared" si="48"/>
        <v>6.679186622918212E-3</v>
      </c>
      <c r="D2996">
        <f>(C2996-meanrtn)/stdevrtns</f>
        <v>1.1150346186765638</v>
      </c>
    </row>
    <row r="2997" spans="1:4" x14ac:dyDescent="0.3">
      <c r="A2997" s="1">
        <v>42167</v>
      </c>
      <c r="B2997">
        <v>1.5508930000000001</v>
      </c>
      <c r="C2997">
        <f t="shared" si="48"/>
        <v>7.7563849825555383E-4</v>
      </c>
      <c r="D2997">
        <f>(C2997-meanrtn)/stdevrtns</f>
        <v>0.13657904254681591</v>
      </c>
    </row>
    <row r="2998" spans="1:4" x14ac:dyDescent="0.3">
      <c r="A2998" s="1">
        <v>42170</v>
      </c>
      <c r="B2998">
        <v>1.556154</v>
      </c>
      <c r="C2998">
        <f t="shared" si="48"/>
        <v>3.3922391809105851E-3</v>
      </c>
      <c r="D2998">
        <f>(C2998-meanrtn)/stdevrtns</f>
        <v>0.57025510893697806</v>
      </c>
    </row>
    <row r="2999" spans="1:4" x14ac:dyDescent="0.3">
      <c r="A2999" s="1">
        <v>42171</v>
      </c>
      <c r="B2999">
        <v>1.5596000000000001</v>
      </c>
      <c r="C2999">
        <f t="shared" si="48"/>
        <v>2.2144337899719824E-3</v>
      </c>
      <c r="D2999">
        <f>(C2999-meanrtn)/stdevrtns</f>
        <v>0.375045342195997</v>
      </c>
    </row>
    <row r="3000" spans="1:4" x14ac:dyDescent="0.3">
      <c r="A3000" s="1">
        <v>42172</v>
      </c>
      <c r="B3000">
        <v>1.563966</v>
      </c>
      <c r="C3000">
        <f t="shared" si="48"/>
        <v>2.7994357527570336E-3</v>
      </c>
      <c r="D3000">
        <f>(C3000-meanrtn)/stdevrtns</f>
        <v>0.47200371713371109</v>
      </c>
    </row>
    <row r="3001" spans="1:4" x14ac:dyDescent="0.3">
      <c r="A3001" s="1">
        <v>42173</v>
      </c>
      <c r="B3001">
        <v>1.584811</v>
      </c>
      <c r="C3001">
        <f t="shared" si="48"/>
        <v>1.3328294860629964E-2</v>
      </c>
      <c r="D3001">
        <f>(C3001-meanrtn)/stdevrtns</f>
        <v>2.2170595186346822</v>
      </c>
    </row>
    <row r="3002" spans="1:4" x14ac:dyDescent="0.3">
      <c r="A3002" s="1">
        <v>42174</v>
      </c>
      <c r="B3002">
        <v>1.5878810000000001</v>
      </c>
      <c r="C3002">
        <f t="shared" si="48"/>
        <v>1.9371395074870936E-3</v>
      </c>
      <c r="D3002">
        <f>(C3002-meanrtn)/stdevrtns</f>
        <v>0.32908651689350304</v>
      </c>
    </row>
    <row r="3003" spans="1:4" x14ac:dyDescent="0.3">
      <c r="A3003" s="1">
        <v>42177</v>
      </c>
      <c r="B3003">
        <v>1.5885119999999999</v>
      </c>
      <c r="C3003">
        <f t="shared" si="48"/>
        <v>3.9738494257430255E-4</v>
      </c>
      <c r="D3003">
        <f>(C3003-meanrtn)/stdevrtns</f>
        <v>7.3887201482443612E-2</v>
      </c>
    </row>
    <row r="3004" spans="1:4" x14ac:dyDescent="0.3">
      <c r="A3004" s="1">
        <v>42178</v>
      </c>
      <c r="B3004">
        <v>1.5829299999999999</v>
      </c>
      <c r="C3004">
        <f t="shared" si="48"/>
        <v>-3.5139803791220817E-3</v>
      </c>
      <c r="D3004">
        <f>(C3004-meanrtn)/stdevrtns</f>
        <v>-0.57438348734386979</v>
      </c>
    </row>
    <row r="3005" spans="1:4" x14ac:dyDescent="0.3">
      <c r="A3005" s="1">
        <v>42179</v>
      </c>
      <c r="B3005">
        <v>1.574109</v>
      </c>
      <c r="C3005">
        <f t="shared" si="48"/>
        <v>-5.5725774355151322E-3</v>
      </c>
      <c r="D3005">
        <f>(C3005-meanrtn)/stdevrtns</f>
        <v>-0.91557588999700545</v>
      </c>
    </row>
    <row r="3006" spans="1:4" x14ac:dyDescent="0.3">
      <c r="A3006" s="1">
        <v>42180</v>
      </c>
      <c r="B3006">
        <v>1.5709930000000001</v>
      </c>
      <c r="C3006">
        <f t="shared" si="48"/>
        <v>-1.9795325482542168E-3</v>
      </c>
      <c r="D3006">
        <f>(C3006-meanrtn)/stdevrtns</f>
        <v>-0.32006371139071765</v>
      </c>
    </row>
    <row r="3007" spans="1:4" x14ac:dyDescent="0.3">
      <c r="A3007" s="1">
        <v>42181</v>
      </c>
      <c r="B3007">
        <v>1.574506</v>
      </c>
      <c r="C3007">
        <f t="shared" si="48"/>
        <v>2.2361652789031376E-3</v>
      </c>
      <c r="D3007">
        <f>(C3007-meanrtn)/stdevrtns</f>
        <v>0.37864712472970097</v>
      </c>
    </row>
    <row r="3008" spans="1:4" x14ac:dyDescent="0.3">
      <c r="A3008" s="1">
        <v>42184</v>
      </c>
      <c r="B3008">
        <v>1.5693170000000001</v>
      </c>
      <c r="C3008">
        <f t="shared" si="48"/>
        <v>-3.295636853717857E-3</v>
      </c>
      <c r="D3008">
        <f>(C3008-meanrtn)/stdevrtns</f>
        <v>-0.53819517559773689</v>
      </c>
    </row>
    <row r="3009" spans="1:4" x14ac:dyDescent="0.3">
      <c r="A3009" s="1">
        <v>42185</v>
      </c>
      <c r="B3009">
        <v>1.5731930000000001</v>
      </c>
      <c r="C3009">
        <f t="shared" si="48"/>
        <v>2.4698642785364526E-3</v>
      </c>
      <c r="D3009">
        <f>(C3009-meanrtn)/stdevrtns</f>
        <v>0.41738045670202689</v>
      </c>
    </row>
    <row r="3010" spans="1:4" x14ac:dyDescent="0.3">
      <c r="A3010" s="1">
        <v>42186</v>
      </c>
      <c r="B3010">
        <v>1.5687009999999999</v>
      </c>
      <c r="C3010">
        <f t="shared" si="48"/>
        <v>-2.8553394275210747E-3</v>
      </c>
      <c r="D3010">
        <f>(C3010-meanrtn)/stdevrtns</f>
        <v>-0.46522016756518436</v>
      </c>
    </row>
    <row r="3011" spans="1:4" x14ac:dyDescent="0.3">
      <c r="A3011" s="1">
        <v>42187</v>
      </c>
      <c r="B3011">
        <v>1.5605009999999999</v>
      </c>
      <c r="C3011">
        <f t="shared" si="48"/>
        <v>-5.2272549070855349E-3</v>
      </c>
      <c r="D3011">
        <f>(C3011-meanrtn)/stdevrtns</f>
        <v>-0.85834204581207807</v>
      </c>
    </row>
    <row r="3012" spans="1:4" x14ac:dyDescent="0.3">
      <c r="A3012" s="1">
        <v>42188</v>
      </c>
      <c r="B3012">
        <v>1.5613049999999999</v>
      </c>
      <c r="C3012">
        <f t="shared" ref="C3012:C3075" si="49">(B3012-B3011)/B3011</f>
        <v>5.1521915077274989E-4</v>
      </c>
      <c r="D3012">
        <f>(C3012-meanrtn)/stdevrtns</f>
        <v>9.3417073287662911E-2</v>
      </c>
    </row>
    <row r="3013" spans="1:4" x14ac:dyDescent="0.3">
      <c r="A3013" s="1">
        <v>42191</v>
      </c>
      <c r="B3013">
        <v>1.5555969999999999</v>
      </c>
      <c r="C3013">
        <f t="shared" si="49"/>
        <v>-3.6559160445909329E-3</v>
      </c>
      <c r="D3013">
        <f>(C3013-meanrtn)/stdevrtns</f>
        <v>-0.597907940841506</v>
      </c>
    </row>
    <row r="3014" spans="1:4" x14ac:dyDescent="0.3">
      <c r="A3014" s="1">
        <v>42192</v>
      </c>
      <c r="B3014">
        <v>1.560208</v>
      </c>
      <c r="C3014">
        <f t="shared" si="49"/>
        <v>2.9641353126806901E-3</v>
      </c>
      <c r="D3014">
        <f>(C3014-meanrtn)/stdevrtns</f>
        <v>0.4993010643205989</v>
      </c>
    </row>
    <row r="3015" spans="1:4" x14ac:dyDescent="0.3">
      <c r="A3015" s="1">
        <v>42193</v>
      </c>
      <c r="B3015">
        <v>1.5462880000000001</v>
      </c>
      <c r="C3015">
        <f t="shared" si="49"/>
        <v>-8.9218873380984658E-3</v>
      </c>
      <c r="D3015">
        <f>(C3015-meanrtn)/stdevrtns</f>
        <v>-1.4706913699028306</v>
      </c>
    </row>
    <row r="3016" spans="1:4" x14ac:dyDescent="0.3">
      <c r="A3016" s="1">
        <v>42194</v>
      </c>
      <c r="B3016">
        <v>1.536996</v>
      </c>
      <c r="C3016">
        <f t="shared" si="49"/>
        <v>-6.0092298459278465E-3</v>
      </c>
      <c r="D3016">
        <f>(C3016-meanrtn)/stdevrtns</f>
        <v>-0.98794677218122229</v>
      </c>
    </row>
    <row r="3017" spans="1:4" x14ac:dyDescent="0.3">
      <c r="A3017" s="1">
        <v>42195</v>
      </c>
      <c r="B3017">
        <v>1.5373969999999999</v>
      </c>
      <c r="C3017">
        <f t="shared" si="49"/>
        <v>2.6089853194144529E-4</v>
      </c>
      <c r="D3017">
        <f>(C3017-meanrtn)/stdevrtns</f>
        <v>5.1265908875078821E-2</v>
      </c>
    </row>
    <row r="3018" spans="1:4" x14ac:dyDescent="0.3">
      <c r="A3018" s="1">
        <v>42198</v>
      </c>
      <c r="B3018">
        <v>1.55159</v>
      </c>
      <c r="C3018">
        <f t="shared" si="49"/>
        <v>9.231837970283617E-3</v>
      </c>
      <c r="D3018">
        <f>(C3018-meanrtn)/stdevrtns</f>
        <v>1.5381117058795271</v>
      </c>
    </row>
    <row r="3019" spans="1:4" x14ac:dyDescent="0.3">
      <c r="A3019" s="1">
        <v>42199</v>
      </c>
      <c r="B3019">
        <v>1.548227</v>
      </c>
      <c r="C3019">
        <f t="shared" si="49"/>
        <v>-2.1674540310262407E-3</v>
      </c>
      <c r="D3019">
        <f>(C3019-meanrtn)/stdevrtns</f>
        <v>-0.35120986600995591</v>
      </c>
    </row>
    <row r="3020" spans="1:4" x14ac:dyDescent="0.3">
      <c r="A3020" s="1">
        <v>42200</v>
      </c>
      <c r="B3020">
        <v>1.5636969999999999</v>
      </c>
      <c r="C3020">
        <f t="shared" si="49"/>
        <v>9.9920748055678348E-3</v>
      </c>
      <c r="D3020">
        <f>(C3020-meanrtn)/stdevrtns</f>
        <v>1.6641135534050069</v>
      </c>
    </row>
    <row r="3021" spans="1:4" x14ac:dyDescent="0.3">
      <c r="A3021" s="1">
        <v>42201</v>
      </c>
      <c r="B3021">
        <v>1.563404</v>
      </c>
      <c r="C3021">
        <f t="shared" si="49"/>
        <v>-1.8737645464554623E-4</v>
      </c>
      <c r="D3021">
        <f>(C3021-meanrtn)/stdevrtns</f>
        <v>-2.3031302056964409E-2</v>
      </c>
    </row>
    <row r="3022" spans="1:4" x14ac:dyDescent="0.3">
      <c r="A3022" s="1">
        <v>42202</v>
      </c>
      <c r="B3022">
        <v>1.5613049999999999</v>
      </c>
      <c r="C3022">
        <f t="shared" si="49"/>
        <v>-1.3425832350435799E-3</v>
      </c>
      <c r="D3022">
        <f>(C3022-meanrtn)/stdevrtns</f>
        <v>-0.21449556930691388</v>
      </c>
    </row>
    <row r="3023" spans="1:4" x14ac:dyDescent="0.3">
      <c r="A3023" s="1">
        <v>42205</v>
      </c>
      <c r="B3023">
        <v>1.560038</v>
      </c>
      <c r="C3023">
        <f t="shared" si="49"/>
        <v>-8.1150063568611328E-4</v>
      </c>
      <c r="D3023">
        <f>(C3023-meanrtn)/stdevrtns</f>
        <v>-0.12647380345462186</v>
      </c>
    </row>
    <row r="3024" spans="1:4" x14ac:dyDescent="0.3">
      <c r="A3024" s="1">
        <v>42206</v>
      </c>
      <c r="B3024">
        <v>1.5573900000000001</v>
      </c>
      <c r="C3024">
        <f t="shared" si="49"/>
        <v>-1.6973945506455507E-3</v>
      </c>
      <c r="D3024">
        <f>(C3024-meanrtn)/stdevrtns</f>
        <v>-0.27330208750473378</v>
      </c>
    </row>
    <row r="3025" spans="1:4" x14ac:dyDescent="0.3">
      <c r="A3025" s="1">
        <v>42207</v>
      </c>
      <c r="B3025">
        <v>1.5555969999999999</v>
      </c>
      <c r="C3025">
        <f t="shared" si="49"/>
        <v>-1.1512851629971654E-3</v>
      </c>
      <c r="D3025">
        <f>(C3025-meanrtn)/stdevrtns</f>
        <v>-0.18278977791770926</v>
      </c>
    </row>
    <row r="3026" spans="1:4" x14ac:dyDescent="0.3">
      <c r="A3026" s="1">
        <v>42208</v>
      </c>
      <c r="B3026">
        <v>1.561402</v>
      </c>
      <c r="C3026">
        <f t="shared" si="49"/>
        <v>3.7316862915009867E-3</v>
      </c>
      <c r="D3026">
        <f>(C3026-meanrtn)/stdevrtns</f>
        <v>0.62651515986648387</v>
      </c>
    </row>
    <row r="3027" spans="1:4" x14ac:dyDescent="0.3">
      <c r="A3027" s="1">
        <v>42209</v>
      </c>
      <c r="B3027">
        <v>1.551952</v>
      </c>
      <c r="C3027">
        <f t="shared" si="49"/>
        <v>-6.052253039255719E-3</v>
      </c>
      <c r="D3027">
        <f>(C3027-meanrtn)/stdevrtns</f>
        <v>-0.99507744724740887</v>
      </c>
    </row>
    <row r="3028" spans="1:4" x14ac:dyDescent="0.3">
      <c r="A3028" s="1">
        <v>42212</v>
      </c>
      <c r="B3028">
        <v>1.552289</v>
      </c>
      <c r="C3028">
        <f t="shared" si="49"/>
        <v>2.1714589111005477E-4</v>
      </c>
      <c r="D3028">
        <f>(C3028-meanrtn)/stdevrtns</f>
        <v>4.4014334993088593E-2</v>
      </c>
    </row>
    <row r="3029" spans="1:4" x14ac:dyDescent="0.3">
      <c r="A3029" s="1">
        <v>42213</v>
      </c>
      <c r="B3029">
        <v>1.5564199999999999</v>
      </c>
      <c r="C3029">
        <f t="shared" si="49"/>
        <v>2.6612312526854759E-3</v>
      </c>
      <c r="D3029">
        <f>(C3029-meanrtn)/stdevrtns</f>
        <v>0.44909766794334099</v>
      </c>
    </row>
    <row r="3030" spans="1:4" x14ac:dyDescent="0.3">
      <c r="A3030" s="1">
        <v>42214</v>
      </c>
      <c r="B3030">
        <v>1.56111</v>
      </c>
      <c r="C3030">
        <f t="shared" si="49"/>
        <v>3.0133254519988713E-3</v>
      </c>
      <c r="D3030">
        <f>(C3030-meanrtn)/stdevrtns</f>
        <v>0.50745385059253667</v>
      </c>
    </row>
    <row r="3031" spans="1:4" x14ac:dyDescent="0.3">
      <c r="A3031" s="1">
        <v>42215</v>
      </c>
      <c r="B3031">
        <v>1.560208</v>
      </c>
      <c r="C3031">
        <f t="shared" si="49"/>
        <v>-5.7779400554730824E-4</v>
      </c>
      <c r="D3031">
        <f>(C3031-meanrtn)/stdevrtns</f>
        <v>-8.7739206800364358E-2</v>
      </c>
    </row>
    <row r="3032" spans="1:4" x14ac:dyDescent="0.3">
      <c r="A3032" s="1">
        <v>42216</v>
      </c>
      <c r="B3032">
        <v>1.5604279999999999</v>
      </c>
      <c r="C3032">
        <f t="shared" si="49"/>
        <v>1.410068401135534E-4</v>
      </c>
      <c r="D3032">
        <f>(C3032-meanrtn)/stdevrtns</f>
        <v>3.1395029206873627E-2</v>
      </c>
    </row>
    <row r="3033" spans="1:4" x14ac:dyDescent="0.3">
      <c r="A3033" s="1">
        <v>42219</v>
      </c>
      <c r="B3033">
        <v>1.5626949999999999</v>
      </c>
      <c r="C3033">
        <f t="shared" si="49"/>
        <v>1.4528065376935169E-3</v>
      </c>
      <c r="D3033">
        <f>(C3033-meanrtn)/stdevrtns</f>
        <v>0.24881304660226436</v>
      </c>
    </row>
    <row r="3034" spans="1:4" x14ac:dyDescent="0.3">
      <c r="A3034" s="1">
        <v>42220</v>
      </c>
      <c r="B3034">
        <v>1.5590409999999999</v>
      </c>
      <c r="C3034">
        <f t="shared" si="49"/>
        <v>-2.3382681841306501E-3</v>
      </c>
      <c r="D3034">
        <f>(C3034-meanrtn)/stdevrtns</f>
        <v>-0.37952064743454883</v>
      </c>
    </row>
    <row r="3035" spans="1:4" x14ac:dyDescent="0.3">
      <c r="A3035" s="1">
        <v>42221</v>
      </c>
      <c r="B3035">
        <v>1.556905</v>
      </c>
      <c r="C3035">
        <f t="shared" si="49"/>
        <v>-1.3700730128328349E-3</v>
      </c>
      <c r="D3035">
        <f>(C3035-meanrtn)/stdevrtns</f>
        <v>-0.21905173210875456</v>
      </c>
    </row>
    <row r="3036" spans="1:4" x14ac:dyDescent="0.3">
      <c r="A3036" s="1">
        <v>42222</v>
      </c>
      <c r="B3036">
        <v>1.5605979999999999</v>
      </c>
      <c r="C3036">
        <f t="shared" si="49"/>
        <v>2.3720137066808485E-3</v>
      </c>
      <c r="D3036">
        <f>(C3036-meanrtn)/stdevrtns</f>
        <v>0.40116267789547716</v>
      </c>
    </row>
    <row r="3037" spans="1:4" x14ac:dyDescent="0.3">
      <c r="A3037" s="1">
        <v>42223</v>
      </c>
      <c r="B3037">
        <v>1.5514220000000001</v>
      </c>
      <c r="C3037">
        <f t="shared" si="49"/>
        <v>-5.8797973597299567E-3</v>
      </c>
      <c r="D3037">
        <f>(C3037-meanrtn)/stdevrtns</f>
        <v>-0.96649459881388844</v>
      </c>
    </row>
    <row r="3038" spans="1:4" x14ac:dyDescent="0.3">
      <c r="A3038" s="1">
        <v>42226</v>
      </c>
      <c r="B3038">
        <v>1.5494030000000001</v>
      </c>
      <c r="C3038">
        <f t="shared" si="49"/>
        <v>-1.3013867277890819E-3</v>
      </c>
      <c r="D3038">
        <f>(C3038-meanrtn)/stdevrtns</f>
        <v>-0.2076676496577391</v>
      </c>
    </row>
    <row r="3039" spans="1:4" x14ac:dyDescent="0.3">
      <c r="A3039" s="1">
        <v>42227</v>
      </c>
      <c r="B3039">
        <v>1.5585310000000001</v>
      </c>
      <c r="C3039">
        <f t="shared" si="49"/>
        <v>5.891301359297758E-3</v>
      </c>
      <c r="D3039">
        <f>(C3039-meanrtn)/stdevrtns</f>
        <v>0.98445031356700874</v>
      </c>
    </row>
    <row r="3040" spans="1:4" x14ac:dyDescent="0.3">
      <c r="A3040" s="1">
        <v>42228</v>
      </c>
      <c r="B3040">
        <v>1.5584089999999999</v>
      </c>
      <c r="C3040">
        <f t="shared" si="49"/>
        <v>-7.8278840780310118E-5</v>
      </c>
      <c r="D3040">
        <f>(C3040-meanrtn)/stdevrtns</f>
        <v>-4.9494356310868142E-3</v>
      </c>
    </row>
    <row r="3041" spans="1:4" x14ac:dyDescent="0.3">
      <c r="A3041" s="1">
        <v>42229</v>
      </c>
      <c r="B3041">
        <v>1.5615969999999999</v>
      </c>
      <c r="C3041">
        <f t="shared" si="49"/>
        <v>2.0456760709158949E-3</v>
      </c>
      <c r="D3041">
        <f>(C3041-meanrtn)/stdevrtns</f>
        <v>0.3470753946765463</v>
      </c>
    </row>
    <row r="3042" spans="1:4" x14ac:dyDescent="0.3">
      <c r="A3042" s="1">
        <v>42230</v>
      </c>
      <c r="B3042">
        <v>1.5617920000000001</v>
      </c>
      <c r="C3042">
        <f t="shared" si="49"/>
        <v>1.2487216612235249E-4</v>
      </c>
      <c r="D3042">
        <f>(C3042-meanrtn)/stdevrtns</f>
        <v>2.8720864212812829E-2</v>
      </c>
    </row>
    <row r="3043" spans="1:4" x14ac:dyDescent="0.3">
      <c r="A3043" s="1">
        <v>42233</v>
      </c>
      <c r="B3043">
        <v>1.5651900000000001</v>
      </c>
      <c r="C3043">
        <f t="shared" si="49"/>
        <v>2.1757058558374049E-3</v>
      </c>
      <c r="D3043">
        <f>(C3043-meanrtn)/stdevrtns</f>
        <v>0.36862656448710379</v>
      </c>
    </row>
    <row r="3044" spans="1:4" x14ac:dyDescent="0.3">
      <c r="A3044" s="1">
        <v>42234</v>
      </c>
      <c r="B3044">
        <v>1.5585059999999999</v>
      </c>
      <c r="C3044">
        <f t="shared" si="49"/>
        <v>-4.2704080654745648E-3</v>
      </c>
      <c r="D3044">
        <f>(C3044-meanrtn)/stdevrtns</f>
        <v>-0.6997540055511392</v>
      </c>
    </row>
    <row r="3045" spans="1:4" x14ac:dyDescent="0.3">
      <c r="A3045" s="1">
        <v>42235</v>
      </c>
      <c r="B3045">
        <v>1.5664899999999999</v>
      </c>
      <c r="C3045">
        <f t="shared" si="49"/>
        <v>5.1228548366191668E-3</v>
      </c>
      <c r="D3045">
        <f>(C3045-meanrtn)/stdevrtns</f>
        <v>0.8570877903529972</v>
      </c>
    </row>
    <row r="3046" spans="1:4" x14ac:dyDescent="0.3">
      <c r="A3046" s="1">
        <v>42236</v>
      </c>
      <c r="B3046">
        <v>1.568308</v>
      </c>
      <c r="C3046">
        <f t="shared" si="49"/>
        <v>1.1605564031689302E-3</v>
      </c>
      <c r="D3046">
        <f>(C3046-meanrtn)/stdevrtns</f>
        <v>0.20037543455745854</v>
      </c>
    </row>
    <row r="3047" spans="1:4" x14ac:dyDescent="0.3">
      <c r="A3047" s="1">
        <v>42237</v>
      </c>
      <c r="B3047">
        <v>1.5690949999999999</v>
      </c>
      <c r="C3047">
        <f t="shared" si="49"/>
        <v>5.0181469456246543E-4</v>
      </c>
      <c r="D3047">
        <f>(C3047-meanrtn)/stdevrtns</f>
        <v>9.1195415286917922E-2</v>
      </c>
    </row>
    <row r="3048" spans="1:4" x14ac:dyDescent="0.3">
      <c r="A3048" s="1">
        <v>42240</v>
      </c>
      <c r="B3048">
        <v>1.5677909999999999</v>
      </c>
      <c r="C3048">
        <f t="shared" si="49"/>
        <v>-8.3105229447546006E-4</v>
      </c>
      <c r="D3048">
        <f>(C3048-meanrtn)/stdevrtns</f>
        <v>-0.1297143003830882</v>
      </c>
    </row>
    <row r="3049" spans="1:4" x14ac:dyDescent="0.3">
      <c r="A3049" s="1">
        <v>42241</v>
      </c>
      <c r="B3049">
        <v>1.5762929999999999</v>
      </c>
      <c r="C3049">
        <f t="shared" si="49"/>
        <v>5.4229167025451799E-3</v>
      </c>
      <c r="D3049">
        <f>(C3049-meanrtn)/stdevrtns</f>
        <v>0.90682012075827889</v>
      </c>
    </row>
    <row r="3050" spans="1:4" x14ac:dyDescent="0.3">
      <c r="A3050" s="1">
        <v>42242</v>
      </c>
      <c r="B3050">
        <v>1.569588</v>
      </c>
      <c r="C3050">
        <f t="shared" si="49"/>
        <v>-4.2536508123806683E-3</v>
      </c>
      <c r="D3050">
        <f>(C3050-meanrtn)/stdevrtns</f>
        <v>-0.69697665413736087</v>
      </c>
    </row>
    <row r="3051" spans="1:4" x14ac:dyDescent="0.3">
      <c r="A3051" s="1">
        <v>42243</v>
      </c>
      <c r="B3051">
        <v>1.548203</v>
      </c>
      <c r="C3051">
        <f t="shared" si="49"/>
        <v>-1.3624594479570427E-2</v>
      </c>
      <c r="D3051">
        <f>(C3051-meanrtn)/stdevrtns</f>
        <v>-2.2501192543399311</v>
      </c>
    </row>
    <row r="3052" spans="1:4" x14ac:dyDescent="0.3">
      <c r="A3052" s="1">
        <v>42244</v>
      </c>
      <c r="B3052">
        <v>1.5414019999999999</v>
      </c>
      <c r="C3052">
        <f t="shared" si="49"/>
        <v>-4.3928347897530598E-3</v>
      </c>
      <c r="D3052">
        <f>(C3052-meanrtn)/stdevrtns</f>
        <v>-0.72004504214609166</v>
      </c>
    </row>
    <row r="3053" spans="1:4" x14ac:dyDescent="0.3">
      <c r="A3053" s="1">
        <v>42247</v>
      </c>
      <c r="B3053">
        <v>1.541806</v>
      </c>
      <c r="C3053">
        <f t="shared" si="49"/>
        <v>2.6209905008561752E-4</v>
      </c>
      <c r="D3053">
        <f>(C3053-meanrtn)/stdevrtns</f>
        <v>5.1464883059349972E-2</v>
      </c>
    </row>
    <row r="3054" spans="1:4" x14ac:dyDescent="0.3">
      <c r="A3054" s="1">
        <v>42248</v>
      </c>
      <c r="B3054">
        <v>1.536311</v>
      </c>
      <c r="C3054">
        <f t="shared" si="49"/>
        <v>-3.5640022155835607E-3</v>
      </c>
      <c r="D3054">
        <f>(C3054-meanrtn)/stdevrtns</f>
        <v>-0.58267411931306057</v>
      </c>
    </row>
    <row r="3055" spans="1:4" x14ac:dyDescent="0.3">
      <c r="A3055" s="1">
        <v>42249</v>
      </c>
      <c r="B3055">
        <v>1.5305260000000001</v>
      </c>
      <c r="C3055">
        <f t="shared" si="49"/>
        <v>-3.7655136232181696E-3</v>
      </c>
      <c r="D3055">
        <f>(C3055-meanrtn)/stdevrtns</f>
        <v>-0.61607267155491341</v>
      </c>
    </row>
    <row r="3056" spans="1:4" x14ac:dyDescent="0.3">
      <c r="A3056" s="1">
        <v>42250</v>
      </c>
      <c r="B3056">
        <v>1.530807</v>
      </c>
      <c r="C3056">
        <f t="shared" si="49"/>
        <v>1.8359701174627265E-4</v>
      </c>
      <c r="D3056">
        <f>(C3056-meanrtn)/stdevrtns</f>
        <v>3.8453935146551793E-2</v>
      </c>
    </row>
    <row r="3057" spans="1:4" x14ac:dyDescent="0.3">
      <c r="A3057" s="1">
        <v>42251</v>
      </c>
      <c r="B3057">
        <v>1.526205</v>
      </c>
      <c r="C3057">
        <f t="shared" si="49"/>
        <v>-3.0062574837977584E-3</v>
      </c>
      <c r="D3057">
        <f>(C3057-meanrtn)/stdevrtns</f>
        <v>-0.49023336481273322</v>
      </c>
    </row>
    <row r="3058" spans="1:4" x14ac:dyDescent="0.3">
      <c r="A3058" s="1">
        <v>42254</v>
      </c>
      <c r="B3058">
        <v>1.520103</v>
      </c>
      <c r="C3058">
        <f t="shared" si="49"/>
        <v>-3.9981522796741272E-3</v>
      </c>
      <c r="D3058">
        <f>(C3058-meanrtn)/stdevrtns</f>
        <v>-0.65463026197782048</v>
      </c>
    </row>
    <row r="3059" spans="1:4" x14ac:dyDescent="0.3">
      <c r="A3059" s="1">
        <v>42255</v>
      </c>
      <c r="B3059">
        <v>1.5283040000000001</v>
      </c>
      <c r="C3059">
        <f t="shared" si="49"/>
        <v>5.3950291526298714E-3</v>
      </c>
      <c r="D3059">
        <f>(C3059-meanrtn)/stdevrtns</f>
        <v>0.90219803110252805</v>
      </c>
    </row>
    <row r="3060" spans="1:4" x14ac:dyDescent="0.3">
      <c r="A3060" s="1">
        <v>42256</v>
      </c>
      <c r="B3060">
        <v>1.5401910000000001</v>
      </c>
      <c r="C3060">
        <f t="shared" si="49"/>
        <v>7.7779028256158332E-3</v>
      </c>
      <c r="D3060">
        <f>(C3060-meanrtn)/stdevrtns</f>
        <v>1.2971361231298744</v>
      </c>
    </row>
    <row r="3061" spans="1:4" x14ac:dyDescent="0.3">
      <c r="A3061" s="1">
        <v>42257</v>
      </c>
      <c r="B3061">
        <v>1.535792</v>
      </c>
      <c r="C3061">
        <f t="shared" si="49"/>
        <v>-2.8561392710384891E-3</v>
      </c>
      <c r="D3061">
        <f>(C3061-meanrtn)/stdevrtns</f>
        <v>-0.46535273383433629</v>
      </c>
    </row>
    <row r="3062" spans="1:4" x14ac:dyDescent="0.3">
      <c r="A3062" s="1">
        <v>42258</v>
      </c>
      <c r="B3062">
        <v>1.544211</v>
      </c>
      <c r="C3062">
        <f t="shared" si="49"/>
        <v>5.4818621271630237E-3</v>
      </c>
      <c r="D3062">
        <f>(C3062-meanrtn)/stdevrtns</f>
        <v>0.9165897505108882</v>
      </c>
    </row>
    <row r="3063" spans="1:4" x14ac:dyDescent="0.3">
      <c r="A3063" s="1">
        <v>42261</v>
      </c>
      <c r="B3063">
        <v>1.544807</v>
      </c>
      <c r="C3063">
        <f t="shared" si="49"/>
        <v>3.8595761848610129E-4</v>
      </c>
      <c r="D3063">
        <f>(C3063-meanrtn)/stdevrtns</f>
        <v>7.1993233865303E-2</v>
      </c>
    </row>
    <row r="3064" spans="1:4" x14ac:dyDescent="0.3">
      <c r="A3064" s="1">
        <v>42262</v>
      </c>
      <c r="B3064">
        <v>1.54271</v>
      </c>
      <c r="C3064">
        <f t="shared" si="49"/>
        <v>-1.3574511249625457E-3</v>
      </c>
      <c r="D3064">
        <f>(C3064-meanrtn)/stdevrtns</f>
        <v>-0.21695977718483758</v>
      </c>
    </row>
    <row r="3065" spans="1:4" x14ac:dyDescent="0.3">
      <c r="A3065" s="1">
        <v>42263</v>
      </c>
      <c r="B3065">
        <v>1.5344949999999999</v>
      </c>
      <c r="C3065">
        <f t="shared" si="49"/>
        <v>-5.3250448885403499E-3</v>
      </c>
      <c r="D3065">
        <f>(C3065-meanrtn)/stdevrtns</f>
        <v>-0.87454978235010383</v>
      </c>
    </row>
    <row r="3066" spans="1:4" x14ac:dyDescent="0.3">
      <c r="A3066" s="1">
        <v>42264</v>
      </c>
      <c r="B3066">
        <v>1.5518069999999999</v>
      </c>
      <c r="C3066">
        <f t="shared" si="49"/>
        <v>1.1281887526515235E-2</v>
      </c>
      <c r="D3066">
        <f>(C3066-meanrtn)/stdevrtns</f>
        <v>1.8778874436697162</v>
      </c>
    </row>
    <row r="3067" spans="1:4" x14ac:dyDescent="0.3">
      <c r="A3067" s="1">
        <v>42265</v>
      </c>
      <c r="B3067">
        <v>1.556905</v>
      </c>
      <c r="C3067">
        <f t="shared" si="49"/>
        <v>3.2852023479724266E-3</v>
      </c>
      <c r="D3067">
        <f>(C3067-meanrtn)/stdevrtns</f>
        <v>0.55251479686903937</v>
      </c>
    </row>
    <row r="3068" spans="1:4" x14ac:dyDescent="0.3">
      <c r="A3068" s="1">
        <v>42268</v>
      </c>
      <c r="B3068">
        <v>1.552891</v>
      </c>
      <c r="C3068">
        <f t="shared" si="49"/>
        <v>-2.5781919898773286E-3</v>
      </c>
      <c r="D3068">
        <f>(C3068-meanrtn)/stdevrtns</f>
        <v>-0.41928568036421981</v>
      </c>
    </row>
    <row r="3069" spans="1:4" x14ac:dyDescent="0.3">
      <c r="A3069" s="1">
        <v>42269</v>
      </c>
      <c r="B3069">
        <v>1.5508200000000001</v>
      </c>
      <c r="C3069">
        <f t="shared" si="49"/>
        <v>-1.3336415756160182E-3</v>
      </c>
      <c r="D3069">
        <f>(C3069-meanrtn)/stdevrtns</f>
        <v>-0.21301357638638513</v>
      </c>
    </row>
    <row r="3070" spans="1:4" x14ac:dyDescent="0.3">
      <c r="A3070" s="1">
        <v>42270</v>
      </c>
      <c r="B3070">
        <v>1.535391</v>
      </c>
      <c r="C3070">
        <f t="shared" si="49"/>
        <v>-9.9489302433552161E-3</v>
      </c>
      <c r="D3070">
        <f>(C3070-meanrtn)/stdevrtns</f>
        <v>-1.6409137237064402</v>
      </c>
    </row>
    <row r="3071" spans="1:4" x14ac:dyDescent="0.3">
      <c r="A3071" s="1">
        <v>42271</v>
      </c>
      <c r="B3071">
        <v>1.525204</v>
      </c>
      <c r="C3071">
        <f t="shared" si="49"/>
        <v>-6.634792049712384E-3</v>
      </c>
      <c r="D3071">
        <f>(C3071-meanrtn)/stdevrtns</f>
        <v>-1.091627611836268</v>
      </c>
    </row>
    <row r="3072" spans="1:4" x14ac:dyDescent="0.3">
      <c r="A3072" s="1">
        <v>42272</v>
      </c>
      <c r="B3072">
        <v>1.522696</v>
      </c>
      <c r="C3072">
        <f t="shared" si="49"/>
        <v>-1.6443701957246078E-3</v>
      </c>
      <c r="D3072">
        <f>(C3072-meanrtn)/stdevrtns</f>
        <v>-0.26451381735811852</v>
      </c>
    </row>
    <row r="3073" spans="1:4" x14ac:dyDescent="0.3">
      <c r="A3073" s="1">
        <v>42275</v>
      </c>
      <c r="B3073">
        <v>1.520173</v>
      </c>
      <c r="C3073">
        <f t="shared" si="49"/>
        <v>-1.6569295512696249E-3</v>
      </c>
      <c r="D3073">
        <f>(C3073-meanrtn)/stdevrtns</f>
        <v>-0.26659540815845101</v>
      </c>
    </row>
    <row r="3074" spans="1:4" x14ac:dyDescent="0.3">
      <c r="A3074" s="1">
        <v>42276</v>
      </c>
      <c r="B3074">
        <v>1.516507</v>
      </c>
      <c r="C3074">
        <f t="shared" si="49"/>
        <v>-2.4115676307893555E-3</v>
      </c>
      <c r="D3074">
        <f>(C3074-meanrtn)/stdevrtns</f>
        <v>-0.39166931647153302</v>
      </c>
    </row>
    <row r="3075" spans="1:4" x14ac:dyDescent="0.3">
      <c r="A3075" s="1">
        <v>42277</v>
      </c>
      <c r="B3075">
        <v>1.515795</v>
      </c>
      <c r="C3075">
        <f t="shared" si="49"/>
        <v>-4.6949997593156241E-4</v>
      </c>
      <c r="D3075">
        <f>(C3075-meanrtn)/stdevrtns</f>
        <v>-6.9790526633529706E-2</v>
      </c>
    </row>
    <row r="3076" spans="1:4" x14ac:dyDescent="0.3">
      <c r="A3076" s="1">
        <v>42278</v>
      </c>
      <c r="B3076">
        <v>1.512402</v>
      </c>
      <c r="C3076">
        <f t="shared" ref="C3076:C3139" si="50">(B3076-B3075)/B3075</f>
        <v>-2.2384293390596876E-3</v>
      </c>
      <c r="D3076">
        <f>(C3076-meanrtn)/stdevrtns</f>
        <v>-0.36297333171674573</v>
      </c>
    </row>
    <row r="3077" spans="1:4" x14ac:dyDescent="0.3">
      <c r="A3077" s="1">
        <v>42279</v>
      </c>
      <c r="B3077">
        <v>1.5139130000000001</v>
      </c>
      <c r="C3077">
        <f t="shared" si="50"/>
        <v>9.990729977876517E-4</v>
      </c>
      <c r="D3077">
        <f>(C3077-meanrtn)/stdevrtns</f>
        <v>0.17361113364701899</v>
      </c>
    </row>
    <row r="3078" spans="1:4" x14ac:dyDescent="0.3">
      <c r="A3078" s="1">
        <v>42282</v>
      </c>
      <c r="B3078">
        <v>1.5194099999999999</v>
      </c>
      <c r="C3078">
        <f t="shared" si="50"/>
        <v>3.6309880422454015E-3</v>
      </c>
      <c r="D3078">
        <f>(C3078-meanrtn)/stdevrtns</f>
        <v>0.60982540627931192</v>
      </c>
    </row>
    <row r="3079" spans="1:4" x14ac:dyDescent="0.3">
      <c r="A3079" s="1">
        <v>42283</v>
      </c>
      <c r="B3079">
        <v>1.515496</v>
      </c>
      <c r="C3079">
        <f t="shared" si="50"/>
        <v>-2.57599989469595E-3</v>
      </c>
      <c r="D3079">
        <f>(C3079-meanrtn)/stdevrtns</f>
        <v>-0.41892236194818683</v>
      </c>
    </row>
    <row r="3080" spans="1:4" x14ac:dyDescent="0.3">
      <c r="A3080" s="1">
        <v>42284</v>
      </c>
      <c r="B3080">
        <v>1.5226029999999999</v>
      </c>
      <c r="C3080">
        <f t="shared" si="50"/>
        <v>4.689553783051869E-3</v>
      </c>
      <c r="D3080">
        <f>(C3080-meanrtn)/stdevrtns</f>
        <v>0.78527236290951485</v>
      </c>
    </row>
    <row r="3081" spans="1:4" x14ac:dyDescent="0.3">
      <c r="A3081" s="1">
        <v>42285</v>
      </c>
      <c r="B3081">
        <v>1.531558</v>
      </c>
      <c r="C3081">
        <f t="shared" si="50"/>
        <v>5.8813755128553184E-3</v>
      </c>
      <c r="D3081">
        <f>(C3081-meanrtn)/stdevrtns</f>
        <v>0.98280520123890902</v>
      </c>
    </row>
    <row r="3082" spans="1:4" x14ac:dyDescent="0.3">
      <c r="A3082" s="1">
        <v>42286</v>
      </c>
      <c r="B3082">
        <v>1.5351319999999999</v>
      </c>
      <c r="C3082">
        <f t="shared" si="50"/>
        <v>2.3335714351007055E-3</v>
      </c>
      <c r="D3082">
        <f>(C3082-meanrtn)/stdevrtns</f>
        <v>0.39479124597141974</v>
      </c>
    </row>
    <row r="3083" spans="1:4" x14ac:dyDescent="0.3">
      <c r="A3083" s="1">
        <v>42289</v>
      </c>
      <c r="B3083">
        <v>1.5323089999999999</v>
      </c>
      <c r="C3083">
        <f t="shared" si="50"/>
        <v>-1.8389298118989246E-3</v>
      </c>
      <c r="D3083">
        <f>(C3083-meanrtn)/stdevrtns</f>
        <v>-0.29676017790528553</v>
      </c>
    </row>
    <row r="3084" spans="1:4" x14ac:dyDescent="0.3">
      <c r="A3084" s="1">
        <v>42290</v>
      </c>
      <c r="B3084">
        <v>1.5337890000000001</v>
      </c>
      <c r="C3084">
        <f t="shared" si="50"/>
        <v>9.6586262953500101E-4</v>
      </c>
      <c r="D3084">
        <f>(C3084-meanrtn)/stdevrtns</f>
        <v>0.16810683871862195</v>
      </c>
    </row>
    <row r="3085" spans="1:4" x14ac:dyDescent="0.3">
      <c r="A3085" s="1">
        <v>42291</v>
      </c>
      <c r="B3085">
        <v>1.525809</v>
      </c>
      <c r="C3085">
        <f t="shared" si="50"/>
        <v>-5.2028016891502663E-3</v>
      </c>
      <c r="D3085">
        <f>(C3085-meanrtn)/stdevrtns</f>
        <v>-0.8542891632170968</v>
      </c>
    </row>
    <row r="3086" spans="1:4" x14ac:dyDescent="0.3">
      <c r="A3086" s="1">
        <v>42292</v>
      </c>
      <c r="B3086">
        <v>1.5480119999999999</v>
      </c>
      <c r="C3086">
        <f t="shared" si="50"/>
        <v>1.4551624744643643E-2</v>
      </c>
      <c r="D3086">
        <f>(C3086-meanrtn)/stdevrtns</f>
        <v>2.4198145265017081</v>
      </c>
    </row>
    <row r="3087" spans="1:4" x14ac:dyDescent="0.3">
      <c r="A3087" s="1">
        <v>42293</v>
      </c>
      <c r="B3087">
        <v>1.5471969999999999</v>
      </c>
      <c r="C3087">
        <f t="shared" si="50"/>
        <v>-5.2648170686016012E-4</v>
      </c>
      <c r="D3087">
        <f>(C3087-meanrtn)/stdevrtns</f>
        <v>-7.923469329183018E-2</v>
      </c>
    </row>
    <row r="3088" spans="1:4" x14ac:dyDescent="0.3">
      <c r="A3088" s="1">
        <v>42296</v>
      </c>
      <c r="B3088">
        <v>1.5438050000000001</v>
      </c>
      <c r="C3088">
        <f t="shared" si="50"/>
        <v>-2.1923517173313028E-3</v>
      </c>
      <c r="D3088">
        <f>(C3088-meanrtn)/stdevrtns</f>
        <v>-0.35533641490622825</v>
      </c>
    </row>
    <row r="3089" spans="1:4" x14ac:dyDescent="0.3">
      <c r="A3089" s="1">
        <v>42297</v>
      </c>
      <c r="B3089">
        <v>1.5471969999999999</v>
      </c>
      <c r="C3089">
        <f t="shared" si="50"/>
        <v>2.197168683868649E-3</v>
      </c>
      <c r="D3089">
        <f>(C3089-meanrtn)/stdevrtns</f>
        <v>0.37218381909454118</v>
      </c>
    </row>
    <row r="3090" spans="1:4" x14ac:dyDescent="0.3">
      <c r="A3090" s="1">
        <v>42298</v>
      </c>
      <c r="B3090">
        <v>1.5449029999999999</v>
      </c>
      <c r="C3090">
        <f t="shared" si="50"/>
        <v>-1.4826812616622307E-3</v>
      </c>
      <c r="D3090">
        <f>(C3090-meanrtn)/stdevrtns</f>
        <v>-0.23771545207150571</v>
      </c>
    </row>
    <row r="3091" spans="1:4" x14ac:dyDescent="0.3">
      <c r="A3091" s="1">
        <v>42299</v>
      </c>
      <c r="B3091">
        <v>1.542448</v>
      </c>
      <c r="C3091">
        <f t="shared" si="50"/>
        <v>-1.5890965322741132E-3</v>
      </c>
      <c r="D3091">
        <f>(C3091-meanrtn)/stdevrtns</f>
        <v>-0.25535274624051058</v>
      </c>
    </row>
    <row r="3092" spans="1:4" x14ac:dyDescent="0.3">
      <c r="A3092" s="1">
        <v>42300</v>
      </c>
      <c r="B3092">
        <v>1.538367</v>
      </c>
      <c r="C3092">
        <f t="shared" si="50"/>
        <v>-2.6457942180222616E-3</v>
      </c>
      <c r="D3092">
        <f>(C3092-meanrtn)/stdevrtns</f>
        <v>-0.43049009094755608</v>
      </c>
    </row>
    <row r="3093" spans="1:4" x14ac:dyDescent="0.3">
      <c r="A3093" s="1">
        <v>42303</v>
      </c>
      <c r="B3093">
        <v>1.5317449999999999</v>
      </c>
      <c r="C3093">
        <f t="shared" si="50"/>
        <v>-4.3045645154895602E-3</v>
      </c>
      <c r="D3093">
        <f>(C3093-meanrtn)/stdevrtns</f>
        <v>-0.70541510431280618</v>
      </c>
    </row>
    <row r="3094" spans="1:4" x14ac:dyDescent="0.3">
      <c r="A3094" s="1">
        <v>42304</v>
      </c>
      <c r="B3094">
        <v>1.535792</v>
      </c>
      <c r="C3094">
        <f t="shared" si="50"/>
        <v>2.6420846811970231E-3</v>
      </c>
      <c r="D3094">
        <f>(C3094-meanrtn)/stdevrtns</f>
        <v>0.44592431028773383</v>
      </c>
    </row>
    <row r="3095" spans="1:4" x14ac:dyDescent="0.3">
      <c r="A3095" s="1">
        <v>42305</v>
      </c>
      <c r="B3095">
        <v>1.5313000000000001</v>
      </c>
      <c r="C3095">
        <f t="shared" si="50"/>
        <v>-2.9248752435225215E-3</v>
      </c>
      <c r="D3095">
        <f>(C3095-meanrtn)/stdevrtns</f>
        <v>-0.47674505149441221</v>
      </c>
    </row>
    <row r="3096" spans="1:4" x14ac:dyDescent="0.3">
      <c r="A3096" s="1">
        <v>42306</v>
      </c>
      <c r="B3096">
        <v>1.5271840000000001</v>
      </c>
      <c r="C3096">
        <f t="shared" si="50"/>
        <v>-2.6879122314373461E-3</v>
      </c>
      <c r="D3096">
        <f>(C3096-meanrtn)/stdevrtns</f>
        <v>-0.43747074126347973</v>
      </c>
    </row>
    <row r="3097" spans="1:4" x14ac:dyDescent="0.3">
      <c r="A3097" s="1">
        <v>42307</v>
      </c>
      <c r="B3097">
        <v>1.5323789999999999</v>
      </c>
      <c r="C3097">
        <f t="shared" si="50"/>
        <v>3.4016857169796425E-3</v>
      </c>
      <c r="D3097">
        <f>(C3097-meanrtn)/stdevrtns</f>
        <v>0.57182078024120042</v>
      </c>
    </row>
    <row r="3098" spans="1:4" x14ac:dyDescent="0.3">
      <c r="A3098" s="1">
        <v>42310</v>
      </c>
      <c r="B3098">
        <v>1.544163</v>
      </c>
      <c r="C3098">
        <f t="shared" si="50"/>
        <v>7.6900035826646127E-3</v>
      </c>
      <c r="D3098">
        <f>(C3098-meanrtn)/stdevrtns</f>
        <v>1.2825676801211845</v>
      </c>
    </row>
    <row r="3099" spans="1:4" x14ac:dyDescent="0.3">
      <c r="A3099" s="1">
        <v>42311</v>
      </c>
      <c r="B3099">
        <v>1.5424009999999999</v>
      </c>
      <c r="C3099">
        <f t="shared" si="50"/>
        <v>-1.1410712470121623E-3</v>
      </c>
      <c r="D3099">
        <f>(C3099-meanrtn)/stdevrtns</f>
        <v>-0.18109692086994558</v>
      </c>
    </row>
    <row r="3100" spans="1:4" x14ac:dyDescent="0.3">
      <c r="A3100" s="1">
        <v>42312</v>
      </c>
      <c r="B3100">
        <v>1.541925</v>
      </c>
      <c r="C3100">
        <f t="shared" si="50"/>
        <v>-3.0860975842204522E-4</v>
      </c>
      <c r="D3100">
        <f>(C3100-meanrtn)/stdevrtns</f>
        <v>-4.3124540832675307E-2</v>
      </c>
    </row>
    <row r="3101" spans="1:4" x14ac:dyDescent="0.3">
      <c r="A3101" s="1">
        <v>42313</v>
      </c>
      <c r="B3101">
        <v>1.5390060000000001</v>
      </c>
      <c r="C3101">
        <f t="shared" si="50"/>
        <v>-1.8930881852229479E-3</v>
      </c>
      <c r="D3101">
        <f>(C3101-meanrtn)/stdevrtns</f>
        <v>-0.30573640055207479</v>
      </c>
    </row>
    <row r="3102" spans="1:4" x14ac:dyDescent="0.3">
      <c r="A3102" s="1">
        <v>42314</v>
      </c>
      <c r="B3102">
        <v>1.5210049999999999</v>
      </c>
      <c r="C3102">
        <f t="shared" si="50"/>
        <v>-1.1696510604897027E-2</v>
      </c>
      <c r="D3102">
        <f>(C3102-meanrtn)/stdevrtns</f>
        <v>-1.930558139806315</v>
      </c>
    </row>
    <row r="3103" spans="1:4" x14ac:dyDescent="0.3">
      <c r="A3103" s="1">
        <v>42317</v>
      </c>
      <c r="B3103">
        <v>1.505503</v>
      </c>
      <c r="C3103">
        <f t="shared" si="50"/>
        <v>-1.0191945457115463E-2</v>
      </c>
      <c r="D3103">
        <f>(C3103-meanrtn)/stdevrtns</f>
        <v>-1.6811911273909683</v>
      </c>
    </row>
    <row r="3104" spans="1:4" x14ac:dyDescent="0.3">
      <c r="A3104" s="1">
        <v>42318</v>
      </c>
      <c r="B3104">
        <v>1.5121039999999999</v>
      </c>
      <c r="C3104">
        <f t="shared" si="50"/>
        <v>4.3845811001372009E-3</v>
      </c>
      <c r="D3104">
        <f>(C3104-meanrtn)/stdevrtns</f>
        <v>0.73472611244049579</v>
      </c>
    </row>
    <row r="3105" spans="1:4" x14ac:dyDescent="0.3">
      <c r="A3105" s="1">
        <v>42319</v>
      </c>
      <c r="B3105">
        <v>1.51389</v>
      </c>
      <c r="C3105">
        <f t="shared" si="50"/>
        <v>1.1811356890796304E-3</v>
      </c>
      <c r="D3105">
        <f>(C3105-meanrtn)/stdevrtns</f>
        <v>0.20378625066785377</v>
      </c>
    </row>
    <row r="3106" spans="1:4" x14ac:dyDescent="0.3">
      <c r="A3106" s="1">
        <v>42320</v>
      </c>
      <c r="B3106">
        <v>1.52251</v>
      </c>
      <c r="C3106">
        <f t="shared" si="50"/>
        <v>5.6939407750893874E-3</v>
      </c>
      <c r="D3106">
        <f>(C3106-meanrtn)/stdevrtns</f>
        <v>0.95173971986147521</v>
      </c>
    </row>
    <row r="3107" spans="1:4" x14ac:dyDescent="0.3">
      <c r="A3107" s="1">
        <v>42321</v>
      </c>
      <c r="B3107">
        <v>1.523461</v>
      </c>
      <c r="C3107">
        <f t="shared" si="50"/>
        <v>6.2462643923516048E-4</v>
      </c>
      <c r="D3107">
        <f>(C3107-meanrtn)/stdevrtns</f>
        <v>0.11155026526048156</v>
      </c>
    </row>
    <row r="3108" spans="1:4" x14ac:dyDescent="0.3">
      <c r="A3108" s="1">
        <v>42324</v>
      </c>
      <c r="B3108">
        <v>1.521792</v>
      </c>
      <c r="C3108">
        <f t="shared" si="50"/>
        <v>-1.0955318186680989E-3</v>
      </c>
      <c r="D3108">
        <f>(C3108-meanrtn)/stdevrtns</f>
        <v>-0.17354920436859902</v>
      </c>
    </row>
    <row r="3109" spans="1:4" x14ac:dyDescent="0.3">
      <c r="A3109" s="1">
        <v>42325</v>
      </c>
      <c r="B3109">
        <v>1.5204960000000001</v>
      </c>
      <c r="C3109">
        <f t="shared" si="50"/>
        <v>-8.516275548826409E-4</v>
      </c>
      <c r="D3109">
        <f>(C3109-meanrtn)/stdevrtns</f>
        <v>-0.13312444930550055</v>
      </c>
    </row>
    <row r="3110" spans="1:4" x14ac:dyDescent="0.3">
      <c r="A3110" s="1">
        <v>42326</v>
      </c>
      <c r="B3110">
        <v>1.5220009999999999</v>
      </c>
      <c r="C3110">
        <f t="shared" si="50"/>
        <v>9.8980858877620683E-4</v>
      </c>
      <c r="D3110">
        <f>(C3110-meanrtn)/stdevrtns</f>
        <v>0.1720756481279079</v>
      </c>
    </row>
    <row r="3111" spans="1:4" x14ac:dyDescent="0.3">
      <c r="A3111" s="1">
        <v>42327</v>
      </c>
      <c r="B3111">
        <v>1.5239259999999999</v>
      </c>
      <c r="C3111">
        <f t="shared" si="50"/>
        <v>1.2647823490260222E-3</v>
      </c>
      <c r="D3111">
        <f>(C3111-meanrtn)/stdevrtns</f>
        <v>0.21764986948164172</v>
      </c>
    </row>
    <row r="3112" spans="1:4" x14ac:dyDescent="0.3">
      <c r="A3112" s="1">
        <v>42328</v>
      </c>
      <c r="B3112">
        <v>1.528818</v>
      </c>
      <c r="C3112">
        <f t="shared" si="50"/>
        <v>3.2101296257168121E-3</v>
      </c>
      <c r="D3112">
        <f>(C3112-meanrtn)/stdevrtns</f>
        <v>0.54007222468107352</v>
      </c>
    </row>
    <row r="3113" spans="1:4" x14ac:dyDescent="0.3">
      <c r="A3113" s="1">
        <v>42331</v>
      </c>
      <c r="B3113">
        <v>1.5189950000000001</v>
      </c>
      <c r="C3113">
        <f t="shared" si="50"/>
        <v>-6.4252252393678742E-3</v>
      </c>
      <c r="D3113">
        <f>(C3113-meanrtn)/stdevrtns</f>
        <v>-1.0568939550889489</v>
      </c>
    </row>
    <row r="3114" spans="1:4" x14ac:dyDescent="0.3">
      <c r="A3114" s="1">
        <v>42332</v>
      </c>
      <c r="B3114">
        <v>1.5129049999999999</v>
      </c>
      <c r="C3114">
        <f t="shared" si="50"/>
        <v>-4.0092297867999243E-3</v>
      </c>
      <c r="D3114">
        <f>(C3114-meanrtn)/stdevrtns</f>
        <v>-0.65646625084213972</v>
      </c>
    </row>
    <row r="3115" spans="1:4" x14ac:dyDescent="0.3">
      <c r="A3115" s="1">
        <v>42333</v>
      </c>
      <c r="B3115">
        <v>1.508591</v>
      </c>
      <c r="C3115">
        <f t="shared" si="50"/>
        <v>-2.851467871412897E-3</v>
      </c>
      <c r="D3115">
        <f>(C3115-meanrtn)/stdevrtns</f>
        <v>-0.46457849486558861</v>
      </c>
    </row>
    <row r="3116" spans="1:4" x14ac:dyDescent="0.3">
      <c r="A3116" s="1">
        <v>42334</v>
      </c>
      <c r="B3116">
        <v>1.512356</v>
      </c>
      <c r="C3116">
        <f t="shared" si="50"/>
        <v>2.4957062583563193E-3</v>
      </c>
      <c r="D3116">
        <f>(C3116-meanrtn)/stdevrtns</f>
        <v>0.42166351304696453</v>
      </c>
    </row>
    <row r="3117" spans="1:4" x14ac:dyDescent="0.3">
      <c r="A3117" s="1">
        <v>42335</v>
      </c>
      <c r="B3117">
        <v>1.509981</v>
      </c>
      <c r="C3117">
        <f t="shared" si="50"/>
        <v>-1.5703974461039702E-3</v>
      </c>
      <c r="D3117">
        <f>(C3117-meanrtn)/stdevrtns</f>
        <v>-0.25225355491601326</v>
      </c>
    </row>
    <row r="3118" spans="1:4" x14ac:dyDescent="0.3">
      <c r="A3118" s="1">
        <v>42338</v>
      </c>
      <c r="B3118">
        <v>1.503895</v>
      </c>
      <c r="C3118">
        <f t="shared" si="50"/>
        <v>-4.0305142912394499E-3</v>
      </c>
      <c r="D3118">
        <f>(C3118-meanrtn)/stdevrtns</f>
        <v>-0.659993950051876</v>
      </c>
    </row>
    <row r="3119" spans="1:4" x14ac:dyDescent="0.3">
      <c r="A3119" s="1">
        <v>42339</v>
      </c>
      <c r="B3119">
        <v>1.5057970000000001</v>
      </c>
      <c r="C3119">
        <f t="shared" si="50"/>
        <v>1.2647159542388733E-3</v>
      </c>
      <c r="D3119">
        <f>(C3119-meanrtn)/stdevrtns</f>
        <v>0.21763886519263789</v>
      </c>
    </row>
    <row r="3120" spans="1:4" x14ac:dyDescent="0.3">
      <c r="A3120" s="1">
        <v>42340</v>
      </c>
      <c r="B3120">
        <v>1.507795</v>
      </c>
      <c r="C3120">
        <f t="shared" si="50"/>
        <v>1.3268720816949058E-3</v>
      </c>
      <c r="D3120">
        <f>(C3120-meanrtn)/stdevrtns</f>
        <v>0.22794063765484876</v>
      </c>
    </row>
    <row r="3121" spans="1:4" x14ac:dyDescent="0.3">
      <c r="A3121" s="1">
        <v>42341</v>
      </c>
      <c r="B3121">
        <v>1.494902</v>
      </c>
      <c r="C3121">
        <f t="shared" si="50"/>
        <v>-8.5508971710345529E-3</v>
      </c>
      <c r="D3121">
        <f>(C3121-meanrtn)/stdevrtns</f>
        <v>-1.4092033647256499</v>
      </c>
    </row>
    <row r="3122" spans="1:4" x14ac:dyDescent="0.3">
      <c r="A3122" s="1">
        <v>42342</v>
      </c>
      <c r="B3122">
        <v>1.5135000000000001</v>
      </c>
      <c r="C3122">
        <f t="shared" si="50"/>
        <v>1.2440949306376013E-2</v>
      </c>
      <c r="D3122">
        <f>(C3122-meanrtn)/stdevrtns</f>
        <v>2.0699906395166128</v>
      </c>
    </row>
    <row r="3123" spans="1:4" x14ac:dyDescent="0.3">
      <c r="A3123" s="1">
        <v>42345</v>
      </c>
      <c r="B3123">
        <v>1.5112589999999999</v>
      </c>
      <c r="C3123">
        <f t="shared" si="50"/>
        <v>-1.480673934588807E-3</v>
      </c>
      <c r="D3123">
        <f>(C3123-meanrtn)/stdevrtns</f>
        <v>-0.23738275716894319</v>
      </c>
    </row>
    <row r="3124" spans="1:4" x14ac:dyDescent="0.3">
      <c r="A3124" s="1">
        <v>42346</v>
      </c>
      <c r="B3124">
        <v>1.5050269999999999</v>
      </c>
      <c r="C3124">
        <f t="shared" si="50"/>
        <v>-4.1237140688657704E-3</v>
      </c>
      <c r="D3124">
        <f>(C3124-meanrtn)/stdevrtns</f>
        <v>-0.67544090503333243</v>
      </c>
    </row>
    <row r="3125" spans="1:4" x14ac:dyDescent="0.3">
      <c r="A3125" s="1">
        <v>42347</v>
      </c>
      <c r="B3125">
        <v>1.5010060000000001</v>
      </c>
      <c r="C3125">
        <f t="shared" si="50"/>
        <v>-2.6717128662806918E-3</v>
      </c>
      <c r="D3125">
        <f>(C3125-meanrtn)/stdevrtns</f>
        <v>-0.43478585433911066</v>
      </c>
    </row>
    <row r="3126" spans="1:4" x14ac:dyDescent="0.3">
      <c r="A3126" s="1">
        <v>42348</v>
      </c>
      <c r="B3126">
        <v>1.5183949999999999</v>
      </c>
      <c r="C3126">
        <f t="shared" si="50"/>
        <v>1.1584897062370089E-2</v>
      </c>
      <c r="D3126">
        <f>(C3126-meanrtn)/stdevrtns</f>
        <v>1.9281083216429282</v>
      </c>
    </row>
    <row r="3127" spans="1:4" x14ac:dyDescent="0.3">
      <c r="A3127" s="1">
        <v>42349</v>
      </c>
      <c r="B3127">
        <v>1.5160929999999999</v>
      </c>
      <c r="C3127">
        <f t="shared" si="50"/>
        <v>-1.5160745392338794E-3</v>
      </c>
      <c r="D3127">
        <f>(C3127-meanrtn)/stdevrtns</f>
        <v>-0.24325006243721609</v>
      </c>
    </row>
    <row r="3128" spans="1:4" x14ac:dyDescent="0.3">
      <c r="A3128" s="1">
        <v>42352</v>
      </c>
      <c r="B3128">
        <v>1.5198959999999999</v>
      </c>
      <c r="C3128">
        <f t="shared" si="50"/>
        <v>2.5084213171619428E-3</v>
      </c>
      <c r="D3128">
        <f>(C3128-meanrtn)/stdevrtns</f>
        <v>0.42377091014553409</v>
      </c>
    </row>
    <row r="3129" spans="1:4" x14ac:dyDescent="0.3">
      <c r="A3129" s="1">
        <v>42353</v>
      </c>
      <c r="B3129">
        <v>1.51607</v>
      </c>
      <c r="C3129">
        <f t="shared" si="50"/>
        <v>-2.5172774979339936E-3</v>
      </c>
      <c r="D3129">
        <f>(C3129-meanrtn)/stdevrtns</f>
        <v>-0.40918969688945606</v>
      </c>
    </row>
    <row r="3130" spans="1:4" x14ac:dyDescent="0.3">
      <c r="A3130" s="1">
        <v>42354</v>
      </c>
      <c r="B3130">
        <v>1.50437</v>
      </c>
      <c r="C3130">
        <f t="shared" si="50"/>
        <v>-7.7173217595493896E-3</v>
      </c>
      <c r="D3130">
        <f>(C3130-meanrtn)/stdevrtns</f>
        <v>-1.271046362822847</v>
      </c>
    </row>
    <row r="3131" spans="1:4" x14ac:dyDescent="0.3">
      <c r="A3131" s="1">
        <v>42355</v>
      </c>
      <c r="B3131">
        <v>1.4977910000000001</v>
      </c>
      <c r="C3131">
        <f t="shared" si="50"/>
        <v>-4.3732592380863024E-3</v>
      </c>
      <c r="D3131">
        <f>(C3131-meanrtn)/stdevrtns</f>
        <v>-0.7168005852060122</v>
      </c>
    </row>
    <row r="3132" spans="1:4" x14ac:dyDescent="0.3">
      <c r="A3132" s="1">
        <v>42356</v>
      </c>
      <c r="B3132">
        <v>1.492961</v>
      </c>
      <c r="C3132">
        <f t="shared" si="50"/>
        <v>-3.2247489803317762E-3</v>
      </c>
      <c r="D3132">
        <f>(C3132-meanrtn)/stdevrtns</f>
        <v>-0.52644620133176456</v>
      </c>
    </row>
    <row r="3133" spans="1:4" x14ac:dyDescent="0.3">
      <c r="A3133" s="1">
        <v>42359</v>
      </c>
      <c r="B3133">
        <v>1.4908239999999999</v>
      </c>
      <c r="C3133">
        <f t="shared" si="50"/>
        <v>-1.4313836731167497E-3</v>
      </c>
      <c r="D3133">
        <f>(C3133-meanrtn)/stdevrtns</f>
        <v>-0.22921337662561381</v>
      </c>
    </row>
    <row r="3134" spans="1:4" x14ac:dyDescent="0.3">
      <c r="A3134" s="1">
        <v>42360</v>
      </c>
      <c r="B3134">
        <v>1.4896910000000001</v>
      </c>
      <c r="C3134">
        <f t="shared" si="50"/>
        <v>-7.5998239899533989E-4</v>
      </c>
      <c r="D3134">
        <f>(C3134-meanrtn)/stdevrtns</f>
        <v>-0.11793515772869415</v>
      </c>
    </row>
    <row r="3135" spans="1:4" x14ac:dyDescent="0.3">
      <c r="A3135" s="1">
        <v>42361</v>
      </c>
      <c r="B3135">
        <v>1.4823379999999999</v>
      </c>
      <c r="C3135">
        <f t="shared" si="50"/>
        <v>-4.9359229531494549E-3</v>
      </c>
      <c r="D3135">
        <f>(C3135-meanrtn)/stdevrtns</f>
        <v>-0.81005661325285405</v>
      </c>
    </row>
    <row r="3136" spans="1:4" x14ac:dyDescent="0.3">
      <c r="A3136" s="1">
        <v>42362</v>
      </c>
      <c r="B3136">
        <v>1.487697</v>
      </c>
      <c r="C3136">
        <f t="shared" si="50"/>
        <v>3.6152348519704102E-3</v>
      </c>
      <c r="D3136">
        <f>(C3136-meanrtn)/stdevrtns</f>
        <v>0.60721446849394767</v>
      </c>
    </row>
    <row r="3137" spans="1:4" x14ac:dyDescent="0.3">
      <c r="A3137" s="1">
        <v>42363</v>
      </c>
      <c r="B3137">
        <v>1.4914240000000001</v>
      </c>
      <c r="C3137">
        <f t="shared" si="50"/>
        <v>2.5052144354663856E-3</v>
      </c>
      <c r="D3137">
        <f>(C3137-meanrtn)/stdevrtns</f>
        <v>0.42323940075308958</v>
      </c>
    </row>
    <row r="3138" spans="1:4" x14ac:dyDescent="0.3">
      <c r="A3138" s="1">
        <v>42366</v>
      </c>
      <c r="B3138">
        <v>1.493206</v>
      </c>
      <c r="C3138">
        <f t="shared" si="50"/>
        <v>1.1948312485248662E-3</v>
      </c>
      <c r="D3138">
        <f>(C3138-meanrtn)/stdevrtns</f>
        <v>0.20605615619321493</v>
      </c>
    </row>
    <row r="3139" spans="1:4" x14ac:dyDescent="0.3">
      <c r="A3139" s="1">
        <v>42367</v>
      </c>
      <c r="B3139">
        <v>1.489403</v>
      </c>
      <c r="C3139">
        <f t="shared" si="50"/>
        <v>-2.5468689517722273E-3</v>
      </c>
      <c r="D3139">
        <f>(C3139-meanrtn)/stdevrtns</f>
        <v>-0.41409419201719933</v>
      </c>
    </row>
    <row r="3140" spans="1:4" x14ac:dyDescent="0.3">
      <c r="A3140" s="1">
        <v>42368</v>
      </c>
      <c r="B3140">
        <v>1.4822280000000001</v>
      </c>
      <c r="C3140">
        <f t="shared" ref="C3140:C3203" si="51">(B3140-B3139)/B3139</f>
        <v>-4.8173664213110434E-3</v>
      </c>
      <c r="D3140">
        <f>(C3140-meanrtn)/stdevrtns</f>
        <v>-0.79040702334279866</v>
      </c>
    </row>
    <row r="3141" spans="1:4" x14ac:dyDescent="0.3">
      <c r="A3141" s="1">
        <v>42369</v>
      </c>
      <c r="B3141">
        <v>1.481921</v>
      </c>
      <c r="C3141">
        <f t="shared" si="51"/>
        <v>-2.0712063191361733E-4</v>
      </c>
      <c r="D3141">
        <f>(C3141-meanrtn)/stdevrtns</f>
        <v>-2.6303707047334892E-2</v>
      </c>
    </row>
    <row r="3142" spans="1:4" x14ac:dyDescent="0.3">
      <c r="A3142" s="1">
        <v>42370</v>
      </c>
      <c r="B3142">
        <v>1.4738389999999999</v>
      </c>
      <c r="C3142">
        <f t="shared" si="51"/>
        <v>-5.4537320140548278E-3</v>
      </c>
      <c r="D3142">
        <f>(C3142-meanrtn)/stdevrtns</f>
        <v>-0.89587841944712832</v>
      </c>
    </row>
    <row r="3143" spans="1:4" x14ac:dyDescent="0.3">
      <c r="A3143" s="1">
        <v>42373</v>
      </c>
      <c r="B3143">
        <v>1.4737089999999999</v>
      </c>
      <c r="C3143">
        <f t="shared" si="51"/>
        <v>-8.8205021036872737E-5</v>
      </c>
      <c r="D3143">
        <f>(C3143-meanrtn)/stdevrtns</f>
        <v>-6.5946032856246846E-3</v>
      </c>
    </row>
    <row r="3144" spans="1:4" x14ac:dyDescent="0.3">
      <c r="A3144" s="1">
        <v>42374</v>
      </c>
      <c r="B3144">
        <v>1.4714100000000001</v>
      </c>
      <c r="C3144">
        <f t="shared" si="51"/>
        <v>-1.5600094726976827E-3</v>
      </c>
      <c r="D3144">
        <f>(C3144-meanrtn)/stdevrtns</f>
        <v>-0.2505318495467273</v>
      </c>
    </row>
    <row r="3145" spans="1:4" x14ac:dyDescent="0.3">
      <c r="A3145" s="1">
        <v>42375</v>
      </c>
      <c r="B3145">
        <v>1.4673940000000001</v>
      </c>
      <c r="C3145">
        <f t="shared" si="51"/>
        <v>-2.7293548365173673E-3</v>
      </c>
      <c r="D3145">
        <f>(C3145-meanrtn)/stdevrtns</f>
        <v>-0.4443394492292011</v>
      </c>
    </row>
    <row r="3146" spans="1:4" x14ac:dyDescent="0.3">
      <c r="A3146" s="1">
        <v>42376</v>
      </c>
      <c r="B3146">
        <v>1.4629939999999999</v>
      </c>
      <c r="C3146">
        <f t="shared" si="51"/>
        <v>-2.9985130101391863E-3</v>
      </c>
      <c r="D3146">
        <f>(C3146-meanrtn)/stdevrtns</f>
        <v>-0.48894979376776054</v>
      </c>
    </row>
    <row r="3147" spans="1:4" x14ac:dyDescent="0.3">
      <c r="A3147" s="1">
        <v>42377</v>
      </c>
      <c r="B3147">
        <v>1.4626939999999999</v>
      </c>
      <c r="C3147">
        <f t="shared" si="51"/>
        <v>-2.0505894077485417E-4</v>
      </c>
      <c r="D3147">
        <f>(C3147-meanrtn)/stdevrtns</f>
        <v>-2.5962001830678361E-2</v>
      </c>
    </row>
    <row r="3148" spans="1:4" x14ac:dyDescent="0.3">
      <c r="A3148" s="1">
        <v>42380</v>
      </c>
      <c r="B3148">
        <v>1.452496</v>
      </c>
      <c r="C3148">
        <f t="shared" si="51"/>
        <v>-6.972066611334927E-3</v>
      </c>
      <c r="D3148">
        <f>(C3148-meanrtn)/stdevrtns</f>
        <v>-1.1475275839441688</v>
      </c>
    </row>
    <row r="3149" spans="1:4" x14ac:dyDescent="0.3">
      <c r="A3149" s="1">
        <v>42381</v>
      </c>
      <c r="B3149">
        <v>1.4543969999999999</v>
      </c>
      <c r="C3149">
        <f t="shared" si="51"/>
        <v>1.3087815732366426E-3</v>
      </c>
      <c r="D3149">
        <f>(C3149-meanrtn)/stdevrtns</f>
        <v>0.22494231215597404</v>
      </c>
    </row>
    <row r="3150" spans="1:4" x14ac:dyDescent="0.3">
      <c r="A3150" s="1">
        <v>42382</v>
      </c>
      <c r="B3150">
        <v>1.4436260000000001</v>
      </c>
      <c r="C3150">
        <f t="shared" si="51"/>
        <v>-7.4058183563359007E-3</v>
      </c>
      <c r="D3150">
        <f>(C3150-meanrtn)/stdevrtns</f>
        <v>-1.2194177091011418</v>
      </c>
    </row>
    <row r="3151" spans="1:4" x14ac:dyDescent="0.3">
      <c r="A3151" s="1">
        <v>42383</v>
      </c>
      <c r="B3151">
        <v>1.440798</v>
      </c>
      <c r="C3151">
        <f t="shared" si="51"/>
        <v>-1.9589561285264E-3</v>
      </c>
      <c r="D3151">
        <f>(C3151-meanrtn)/stdevrtns</f>
        <v>-0.31665337032220664</v>
      </c>
    </row>
    <row r="3152" spans="1:4" x14ac:dyDescent="0.3">
      <c r="A3152" s="1">
        <v>42384</v>
      </c>
      <c r="B3152">
        <v>1.4427099999999999</v>
      </c>
      <c r="C3152">
        <f t="shared" si="51"/>
        <v>1.3270423751281677E-3</v>
      </c>
      <c r="D3152">
        <f>(C3152-meanrtn)/stdevrtns</f>
        <v>0.22796886213203349</v>
      </c>
    </row>
    <row r="3153" spans="1:4" x14ac:dyDescent="0.3">
      <c r="A3153" s="1">
        <v>42387</v>
      </c>
      <c r="B3153">
        <v>1.4274089999999999</v>
      </c>
      <c r="C3153">
        <f t="shared" si="51"/>
        <v>-1.0605735040306097E-2</v>
      </c>
      <c r="D3153">
        <f>(C3153-meanrtn)/stdevrtns</f>
        <v>-1.7497727187437813</v>
      </c>
    </row>
    <row r="3154" spans="1:4" x14ac:dyDescent="0.3">
      <c r="A3154" s="1">
        <v>42388</v>
      </c>
      <c r="B3154">
        <v>1.425314</v>
      </c>
      <c r="C3154">
        <f t="shared" si="51"/>
        <v>-1.4676942628216287E-3</v>
      </c>
      <c r="D3154">
        <f>(C3154-meanrtn)/stdevrtns</f>
        <v>-0.23523150305044557</v>
      </c>
    </row>
    <row r="3155" spans="1:4" x14ac:dyDescent="0.3">
      <c r="A3155" s="1">
        <v>42389</v>
      </c>
      <c r="B3155">
        <v>1.418239</v>
      </c>
      <c r="C3155">
        <f t="shared" si="51"/>
        <v>-4.963818498941246E-3</v>
      </c>
      <c r="D3155">
        <f>(C3155-meanrtn)/stdevrtns</f>
        <v>-0.81468002814721807</v>
      </c>
    </row>
    <row r="3156" spans="1:4" x14ac:dyDescent="0.3">
      <c r="A3156" s="1">
        <v>42390</v>
      </c>
      <c r="B3156">
        <v>1.4198500000000001</v>
      </c>
      <c r="C3156">
        <f t="shared" si="51"/>
        <v>1.1359157377564917E-3</v>
      </c>
      <c r="D3156">
        <f>(C3156-meanrtn)/stdevrtns</f>
        <v>0.19629148436966776</v>
      </c>
    </row>
    <row r="3157" spans="1:4" x14ac:dyDescent="0.3">
      <c r="A3157" s="1">
        <v>42391</v>
      </c>
      <c r="B3157">
        <v>1.4226780000000001</v>
      </c>
      <c r="C3157">
        <f t="shared" si="51"/>
        <v>1.9917596929253461E-3</v>
      </c>
      <c r="D3157">
        <f>(C3157-meanrtn)/stdevrtns</f>
        <v>0.33813928039822216</v>
      </c>
    </row>
    <row r="3158" spans="1:4" x14ac:dyDescent="0.3">
      <c r="A3158" s="1">
        <v>42394</v>
      </c>
      <c r="B3158">
        <v>1.426005</v>
      </c>
      <c r="C3158">
        <f t="shared" si="51"/>
        <v>2.3385474436238259E-3</v>
      </c>
      <c r="D3158">
        <f>(C3158-meanrtn)/stdevrtns</f>
        <v>0.39561597089675343</v>
      </c>
    </row>
    <row r="3159" spans="1:4" x14ac:dyDescent="0.3">
      <c r="A3159" s="1">
        <v>42395</v>
      </c>
      <c r="B3159">
        <v>1.424299</v>
      </c>
      <c r="C3159">
        <f t="shared" si="51"/>
        <v>-1.1963492414121867E-3</v>
      </c>
      <c r="D3159">
        <f>(C3159-meanrtn)/stdevrtns</f>
        <v>-0.19025870980023632</v>
      </c>
    </row>
    <row r="3160" spans="1:4" x14ac:dyDescent="0.3">
      <c r="A3160" s="1">
        <v>42396</v>
      </c>
      <c r="B3160">
        <v>1.4343090000000001</v>
      </c>
      <c r="C3160">
        <f t="shared" si="51"/>
        <v>7.0280186955127217E-3</v>
      </c>
      <c r="D3160">
        <f>(C3160-meanrtn)/stdevrtns</f>
        <v>1.1728501356090184</v>
      </c>
    </row>
    <row r="3161" spans="1:4" x14ac:dyDescent="0.3">
      <c r="A3161" s="1">
        <v>42397</v>
      </c>
      <c r="B3161">
        <v>1.4249069999999999</v>
      </c>
      <c r="C3161">
        <f t="shared" si="51"/>
        <v>-6.5550728608689841E-3</v>
      </c>
      <c r="D3161">
        <f>(C3161-meanrtn)/stdevrtns</f>
        <v>-1.0784149330876176</v>
      </c>
    </row>
    <row r="3162" spans="1:4" x14ac:dyDescent="0.3">
      <c r="A3162" s="1">
        <v>42398</v>
      </c>
      <c r="B3162">
        <v>1.436204</v>
      </c>
      <c r="C3162">
        <f t="shared" si="51"/>
        <v>7.9282367200105789E-3</v>
      </c>
      <c r="D3162">
        <f>(C3162-meanrtn)/stdevrtns</f>
        <v>1.3220525012376998</v>
      </c>
    </row>
    <row r="3163" spans="1:4" x14ac:dyDescent="0.3">
      <c r="A3163" s="1">
        <v>42401</v>
      </c>
      <c r="B3163">
        <v>1.4246030000000001</v>
      </c>
      <c r="C3163">
        <f t="shared" si="51"/>
        <v>-8.0775433016479353E-3</v>
      </c>
      <c r="D3163">
        <f>(C3163-meanrtn)/stdevrtns</f>
        <v>-1.3307495733439807</v>
      </c>
    </row>
    <row r="3164" spans="1:4" x14ac:dyDescent="0.3">
      <c r="A3164" s="1">
        <v>42402</v>
      </c>
      <c r="B3164">
        <v>1.442793</v>
      </c>
      <c r="C3164">
        <f t="shared" si="51"/>
        <v>1.2768469531511535E-2</v>
      </c>
      <c r="D3164">
        <f>(C3164-meanrtn)/stdevrtns</f>
        <v>2.124273925400292</v>
      </c>
    </row>
    <row r="3165" spans="1:4" x14ac:dyDescent="0.3">
      <c r="A3165" s="1">
        <v>42403</v>
      </c>
      <c r="B3165">
        <v>1.440922</v>
      </c>
      <c r="C3165">
        <f t="shared" si="51"/>
        <v>-1.2967903226588679E-3</v>
      </c>
      <c r="D3165">
        <f>(C3165-meanrtn)/stdevrtns</f>
        <v>-0.2069058402958367</v>
      </c>
    </row>
    <row r="3166" spans="1:4" x14ac:dyDescent="0.3">
      <c r="A3166" s="1">
        <v>42404</v>
      </c>
      <c r="B3166">
        <v>1.4585760000000001</v>
      </c>
      <c r="C3166">
        <f t="shared" si="51"/>
        <v>1.2251877617247886E-2</v>
      </c>
      <c r="D3166">
        <f>(C3166-meanrtn)/stdevrtns</f>
        <v>2.0386538494017259</v>
      </c>
    </row>
    <row r="3167" spans="1:4" x14ac:dyDescent="0.3">
      <c r="A3167" s="1">
        <v>42405</v>
      </c>
      <c r="B3167">
        <v>1.4581090000000001</v>
      </c>
      <c r="C3167">
        <f t="shared" si="51"/>
        <v>-3.201752942596033E-4</v>
      </c>
      <c r="D3167">
        <f>(C3167-meanrtn)/stdevrtns</f>
        <v>-4.504141570050469E-2</v>
      </c>
    </row>
    <row r="3168" spans="1:4" x14ac:dyDescent="0.3">
      <c r="A3168" s="1">
        <v>42408</v>
      </c>
      <c r="B3168">
        <v>1.4512100000000001</v>
      </c>
      <c r="C3168">
        <f t="shared" si="51"/>
        <v>-4.7314706925202354E-3</v>
      </c>
      <c r="D3168">
        <f>(C3168-meanrtn)/stdevrtns</f>
        <v>-0.77617064328349361</v>
      </c>
    </row>
    <row r="3169" spans="1:4" x14ac:dyDescent="0.3">
      <c r="A3169" s="1">
        <v>42409</v>
      </c>
      <c r="B3169">
        <v>1.4436059999999999</v>
      </c>
      <c r="C3169">
        <f t="shared" si="51"/>
        <v>-5.2397654371181051E-3</v>
      </c>
      <c r="D3169">
        <f>(C3169-meanrtn)/stdevrtns</f>
        <v>-0.86041554425948952</v>
      </c>
    </row>
    <row r="3170" spans="1:4" x14ac:dyDescent="0.3">
      <c r="A3170" s="1">
        <v>42410</v>
      </c>
      <c r="B3170">
        <v>1.4465920000000001</v>
      </c>
      <c r="C3170">
        <f t="shared" si="51"/>
        <v>2.068431414111714E-3</v>
      </c>
      <c r="D3170">
        <f>(C3170-meanrtn)/stdevrtns</f>
        <v>0.35084687107794643</v>
      </c>
    </row>
    <row r="3171" spans="1:4" x14ac:dyDescent="0.3">
      <c r="A3171" s="1">
        <v>42411</v>
      </c>
      <c r="B3171">
        <v>1.452644</v>
      </c>
      <c r="C3171">
        <f t="shared" si="51"/>
        <v>4.1836260673361568E-3</v>
      </c>
      <c r="D3171">
        <f>(C3171-meanrtn)/stdevrtns</f>
        <v>0.70141977390586185</v>
      </c>
    </row>
    <row r="3172" spans="1:4" x14ac:dyDescent="0.3">
      <c r="A3172" s="1">
        <v>42412</v>
      </c>
      <c r="B3172">
        <v>1.448226</v>
      </c>
      <c r="C3172">
        <f t="shared" si="51"/>
        <v>-3.0413508058409582E-3</v>
      </c>
      <c r="D3172">
        <f>(C3172-meanrtn)/stdevrtns</f>
        <v>-0.49604974098397819</v>
      </c>
    </row>
    <row r="3173" spans="1:4" x14ac:dyDescent="0.3">
      <c r="A3173" s="1">
        <v>42415</v>
      </c>
      <c r="B3173">
        <v>1.4518</v>
      </c>
      <c r="C3173">
        <f t="shared" si="51"/>
        <v>2.4678468692040925E-3</v>
      </c>
      <c r="D3173">
        <f>(C3173-meanrtn)/stdevrtns</f>
        <v>0.41704609076328958</v>
      </c>
    </row>
    <row r="3174" spans="1:4" x14ac:dyDescent="0.3">
      <c r="A3174" s="1">
        <v>42416</v>
      </c>
      <c r="B3174">
        <v>1.4459219999999999</v>
      </c>
      <c r="C3174">
        <f t="shared" si="51"/>
        <v>-4.0487670478027617E-3</v>
      </c>
      <c r="D3174">
        <f>(C3174-meanrtn)/stdevrtns</f>
        <v>-0.6630191665931795</v>
      </c>
    </row>
    <row r="3175" spans="1:4" x14ac:dyDescent="0.3">
      <c r="A3175" s="1">
        <v>42417</v>
      </c>
      <c r="B3175">
        <v>1.4303900000000001</v>
      </c>
      <c r="C3175">
        <f t="shared" si="51"/>
        <v>-1.0741934903819072E-2</v>
      </c>
      <c r="D3175">
        <f>(C3175-meanrtn)/stdevrtns</f>
        <v>-1.7723465189582066</v>
      </c>
    </row>
    <row r="3176" spans="1:4" x14ac:dyDescent="0.3">
      <c r="A3176" s="1">
        <v>42418</v>
      </c>
      <c r="B3176">
        <v>1.4281630000000001</v>
      </c>
      <c r="C3176">
        <f t="shared" si="51"/>
        <v>-1.5569180433308251E-3</v>
      </c>
      <c r="D3176">
        <f>(C3176-meanrtn)/stdevrtns</f>
        <v>-0.25001947525277068</v>
      </c>
    </row>
    <row r="3177" spans="1:4" x14ac:dyDescent="0.3">
      <c r="A3177" s="1">
        <v>42419</v>
      </c>
      <c r="B3177">
        <v>1.433322</v>
      </c>
      <c r="C3177">
        <f t="shared" si="51"/>
        <v>3.612332765937721E-3</v>
      </c>
      <c r="D3177">
        <f>(C3177-meanrtn)/stdevrtns</f>
        <v>0.6067334760126244</v>
      </c>
    </row>
    <row r="3178" spans="1:4" x14ac:dyDescent="0.3">
      <c r="A3178" s="1">
        <v>42422</v>
      </c>
      <c r="B3178">
        <v>1.4265950000000001</v>
      </c>
      <c r="C3178">
        <f t="shared" si="51"/>
        <v>-4.6932929237114389E-3</v>
      </c>
      <c r="D3178">
        <f>(C3178-meanrtn)/stdevrtns</f>
        <v>-0.76984305011641097</v>
      </c>
    </row>
    <row r="3179" spans="1:4" x14ac:dyDescent="0.3">
      <c r="A3179" s="1">
        <v>42423</v>
      </c>
      <c r="B3179">
        <v>1.4148069999999999</v>
      </c>
      <c r="C3179">
        <f t="shared" si="51"/>
        <v>-8.2630319046401619E-3</v>
      </c>
      <c r="D3179">
        <f>(C3179-meanrtn)/stdevrtns</f>
        <v>-1.3614925018462587</v>
      </c>
    </row>
    <row r="3180" spans="1:4" x14ac:dyDescent="0.3">
      <c r="A3180" s="1">
        <v>42424</v>
      </c>
      <c r="B3180">
        <v>1.4013450000000001</v>
      </c>
      <c r="C3180">
        <f t="shared" si="51"/>
        <v>-9.5150787351206655E-3</v>
      </c>
      <c r="D3180">
        <f>(C3180-meanrtn)/stdevrtns</f>
        <v>-1.5690070637656179</v>
      </c>
    </row>
    <row r="3181" spans="1:4" x14ac:dyDescent="0.3">
      <c r="A3181" s="1">
        <v>42425</v>
      </c>
      <c r="B3181">
        <v>1.392952</v>
      </c>
      <c r="C3181">
        <f t="shared" si="51"/>
        <v>-5.9892460457632449E-3</v>
      </c>
      <c r="D3181">
        <f>(C3181-meanrtn)/stdevrtns</f>
        <v>-0.98463465203069256</v>
      </c>
    </row>
    <row r="3182" spans="1:4" x14ac:dyDescent="0.3">
      <c r="A3182" s="1">
        <v>42426</v>
      </c>
      <c r="B3182">
        <v>1.3966479999999999</v>
      </c>
      <c r="C3182">
        <f t="shared" si="51"/>
        <v>2.653357761071395E-3</v>
      </c>
      <c r="D3182">
        <f>(C3182-meanrtn)/stdevrtns</f>
        <v>0.44779271342942339</v>
      </c>
    </row>
    <row r="3183" spans="1:4" x14ac:dyDescent="0.3">
      <c r="A3183" s="1">
        <v>42429</v>
      </c>
      <c r="B3183">
        <v>1.3861939999999999</v>
      </c>
      <c r="C3183">
        <f t="shared" si="51"/>
        <v>-7.4850642395220303E-3</v>
      </c>
      <c r="D3183">
        <f>(C3183-meanrtn)/stdevrtns</f>
        <v>-1.2325519420490989</v>
      </c>
    </row>
    <row r="3184" spans="1:4" x14ac:dyDescent="0.3">
      <c r="A3184" s="1">
        <v>42430</v>
      </c>
      <c r="B3184">
        <v>1.3927959999999999</v>
      </c>
      <c r="C3184">
        <f t="shared" si="51"/>
        <v>4.762681125441314E-3</v>
      </c>
      <c r="D3184">
        <f>(C3184-meanrtn)/stdevrtns</f>
        <v>0.79739250734089284</v>
      </c>
    </row>
    <row r="3185" spans="1:4" x14ac:dyDescent="0.3">
      <c r="A3185" s="1">
        <v>42431</v>
      </c>
      <c r="B3185">
        <v>1.3963939999999999</v>
      </c>
      <c r="C3185">
        <f t="shared" si="51"/>
        <v>2.5832928871133967E-3</v>
      </c>
      <c r="D3185">
        <f>(C3185-meanrtn)/stdevrtns</f>
        <v>0.43618014329915977</v>
      </c>
    </row>
    <row r="3186" spans="1:4" x14ac:dyDescent="0.3">
      <c r="A3186" s="1">
        <v>42432</v>
      </c>
      <c r="B3186">
        <v>1.408094</v>
      </c>
      <c r="C3186">
        <f t="shared" si="51"/>
        <v>8.3787240563909932E-3</v>
      </c>
      <c r="D3186">
        <f>(C3186-meanrtn)/stdevrtns</f>
        <v>1.3967163875903568</v>
      </c>
    </row>
    <row r="3187" spans="1:4" x14ac:dyDescent="0.3">
      <c r="A3187" s="1">
        <v>42433</v>
      </c>
      <c r="B3187">
        <v>1.4174949999999999</v>
      </c>
      <c r="C3187">
        <f t="shared" si="51"/>
        <v>6.6764008652831367E-3</v>
      </c>
      <c r="D3187">
        <f>(C3187-meanrtn)/stdevrtns</f>
        <v>1.1145729064936143</v>
      </c>
    </row>
    <row r="3188" spans="1:4" x14ac:dyDescent="0.3">
      <c r="A3188" s="1">
        <v>42436</v>
      </c>
      <c r="B3188">
        <v>1.4215040000000001</v>
      </c>
      <c r="C3188">
        <f t="shared" si="51"/>
        <v>2.8282286710007102E-3</v>
      </c>
      <c r="D3188">
        <f>(C3188-meanrtn)/stdevrtns</f>
        <v>0.47677586276777129</v>
      </c>
    </row>
    <row r="3189" spans="1:4" x14ac:dyDescent="0.3">
      <c r="A3189" s="1">
        <v>42437</v>
      </c>
      <c r="B3189">
        <v>1.4261269999999999</v>
      </c>
      <c r="C3189">
        <f t="shared" si="51"/>
        <v>3.2521892305613078E-3</v>
      </c>
      <c r="D3189">
        <f>(C3189-meanrtn)/stdevrtns</f>
        <v>0.5470431943455687</v>
      </c>
    </row>
    <row r="3190" spans="1:4" x14ac:dyDescent="0.3">
      <c r="A3190" s="1">
        <v>42438</v>
      </c>
      <c r="B3190">
        <v>1.420858</v>
      </c>
      <c r="C3190">
        <f t="shared" si="51"/>
        <v>-3.6946218674774184E-3</v>
      </c>
      <c r="D3190">
        <f>(C3190-meanrtn)/stdevrtns</f>
        <v>-0.60432305382648499</v>
      </c>
    </row>
    <row r="3191" spans="1:4" x14ac:dyDescent="0.3">
      <c r="A3191" s="1">
        <v>42439</v>
      </c>
      <c r="B3191">
        <v>1.4206970000000001</v>
      </c>
      <c r="C3191">
        <f t="shared" si="51"/>
        <v>-1.1331181581822794E-4</v>
      </c>
      <c r="D3191">
        <f>(C3191-meanrtn)/stdevrtns</f>
        <v>-1.0755809874241424E-2</v>
      </c>
    </row>
    <row r="3192" spans="1:4" x14ac:dyDescent="0.3">
      <c r="A3192" s="1">
        <v>42440</v>
      </c>
      <c r="B3192">
        <v>1.428776</v>
      </c>
      <c r="C3192">
        <f t="shared" si="51"/>
        <v>5.6866453578771174E-3</v>
      </c>
      <c r="D3192">
        <f>(C3192-meanrtn)/stdevrtns</f>
        <v>0.95053057554676768</v>
      </c>
    </row>
    <row r="3193" spans="1:4" x14ac:dyDescent="0.3">
      <c r="A3193" s="1">
        <v>42443</v>
      </c>
      <c r="B3193">
        <v>1.4380010000000001</v>
      </c>
      <c r="C3193">
        <f t="shared" si="51"/>
        <v>6.4565754184001123E-3</v>
      </c>
      <c r="D3193">
        <f>(C3193-meanrtn)/stdevrtns</f>
        <v>1.0781389807025545</v>
      </c>
    </row>
    <row r="3194" spans="1:4" x14ac:dyDescent="0.3">
      <c r="A3194" s="1">
        <v>42444</v>
      </c>
      <c r="B3194">
        <v>1.428204</v>
      </c>
      <c r="C3194">
        <f t="shared" si="51"/>
        <v>-6.8129298936510166E-3</v>
      </c>
      <c r="D3194">
        <f>(C3194-meanrtn)/stdevrtns</f>
        <v>-1.1211522236529023</v>
      </c>
    </row>
    <row r="3195" spans="1:4" x14ac:dyDescent="0.3">
      <c r="A3195" s="1">
        <v>42445</v>
      </c>
      <c r="B3195">
        <v>1.415629</v>
      </c>
      <c r="C3195">
        <f t="shared" si="51"/>
        <v>-8.8047645854513797E-3</v>
      </c>
      <c r="D3195">
        <f>(C3195-meanrtn)/stdevrtns</f>
        <v>-1.4512794149226627</v>
      </c>
    </row>
    <row r="3196" spans="1:4" x14ac:dyDescent="0.3">
      <c r="A3196" s="1">
        <v>42446</v>
      </c>
      <c r="B3196">
        <v>1.4255169999999999</v>
      </c>
      <c r="C3196">
        <f t="shared" si="51"/>
        <v>6.9848809257226979E-3</v>
      </c>
      <c r="D3196">
        <f>(C3196-meanrtn)/stdevrtns</f>
        <v>1.1657004706106897</v>
      </c>
    </row>
    <row r="3197" spans="1:4" x14ac:dyDescent="0.3">
      <c r="A3197" s="1">
        <v>42447</v>
      </c>
      <c r="B3197">
        <v>1.4478070000000001</v>
      </c>
      <c r="C3197">
        <f t="shared" si="51"/>
        <v>1.5636432255806239E-2</v>
      </c>
      <c r="D3197">
        <f>(C3197-meanrtn)/stdevrtns</f>
        <v>2.5996108008625831</v>
      </c>
    </row>
    <row r="3198" spans="1:4" x14ac:dyDescent="0.3">
      <c r="A3198" s="1">
        <v>42450</v>
      </c>
      <c r="B3198">
        <v>1.446801</v>
      </c>
      <c r="C3198">
        <f t="shared" si="51"/>
        <v>-6.9484399509054892E-4</v>
      </c>
      <c r="D3198">
        <f>(C3198-meanrtn)/stdevrtns</f>
        <v>-0.1071391020050904</v>
      </c>
    </row>
    <row r="3199" spans="1:4" x14ac:dyDescent="0.3">
      <c r="A3199" s="1">
        <v>42451</v>
      </c>
      <c r="B3199">
        <v>1.437009</v>
      </c>
      <c r="C3199">
        <f t="shared" si="51"/>
        <v>-6.7680351340647562E-3</v>
      </c>
      <c r="D3199">
        <f>(C3199-meanrtn)/stdevrtns</f>
        <v>-1.1137113547163608</v>
      </c>
    </row>
    <row r="3200" spans="1:4" x14ac:dyDescent="0.3">
      <c r="A3200" s="1">
        <v>42452</v>
      </c>
      <c r="B3200">
        <v>1.4224950000000001</v>
      </c>
      <c r="C3200">
        <f t="shared" si="51"/>
        <v>-1.0100145510570856E-2</v>
      </c>
      <c r="D3200">
        <f>(C3200-meanrtn)/stdevrtns</f>
        <v>-1.6659761807710292</v>
      </c>
    </row>
    <row r="3201" spans="1:4" x14ac:dyDescent="0.3">
      <c r="A3201" s="1">
        <v>42453</v>
      </c>
      <c r="B3201">
        <v>1.4116919999999999</v>
      </c>
      <c r="C3201">
        <f t="shared" si="51"/>
        <v>-7.5944027922770323E-3</v>
      </c>
      <c r="D3201">
        <f>(C3201-meanrtn)/stdevrtns</f>
        <v>-1.2506737417481912</v>
      </c>
    </row>
    <row r="3202" spans="1:4" x14ac:dyDescent="0.3">
      <c r="A3202" s="1">
        <v>42454</v>
      </c>
      <c r="B3202">
        <v>1.413008</v>
      </c>
      <c r="C3202">
        <f t="shared" si="51"/>
        <v>9.3221467572253359E-4</v>
      </c>
      <c r="D3202">
        <f>(C3202-meanrtn)/stdevrtns</f>
        <v>0.16253001824761984</v>
      </c>
    </row>
    <row r="3203" spans="1:4" x14ac:dyDescent="0.3">
      <c r="A3203" s="1">
        <v>42457</v>
      </c>
      <c r="B3203">
        <v>1.413108</v>
      </c>
      <c r="C3203">
        <f t="shared" si="51"/>
        <v>7.0771007665907748E-5</v>
      </c>
      <c r="D3203">
        <f>(C3203-meanrtn)/stdevrtns</f>
        <v>1.9754124372809868E-2</v>
      </c>
    </row>
    <row r="3204" spans="1:4" x14ac:dyDescent="0.3">
      <c r="A3204" s="1">
        <v>42458</v>
      </c>
      <c r="B3204">
        <v>1.4263300000000001</v>
      </c>
      <c r="C3204">
        <f t="shared" ref="C3204:C3267" si="52">(B3204-B3203)/B3203</f>
        <v>9.3566804518834135E-3</v>
      </c>
      <c r="D3204">
        <f>(C3204-meanrtn)/stdevrtns</f>
        <v>1.5588031307107895</v>
      </c>
    </row>
    <row r="3205" spans="1:4" x14ac:dyDescent="0.3">
      <c r="A3205" s="1">
        <v>42459</v>
      </c>
      <c r="B3205">
        <v>1.438642</v>
      </c>
      <c r="C3205">
        <f t="shared" si="52"/>
        <v>8.6319435193818253E-3</v>
      </c>
      <c r="D3205">
        <f>(C3205-meanrtn)/stdevrtns</f>
        <v>1.4386850461522989</v>
      </c>
    </row>
    <row r="3206" spans="1:4" x14ac:dyDescent="0.3">
      <c r="A3206" s="1">
        <v>42460</v>
      </c>
      <c r="B3206">
        <v>1.4374009999999999</v>
      </c>
      <c r="C3206">
        <f t="shared" si="52"/>
        <v>-8.6261905324608041E-4</v>
      </c>
      <c r="D3206">
        <f>(C3206-meanrtn)/stdevrtns</f>
        <v>-0.13494618305554817</v>
      </c>
    </row>
    <row r="3207" spans="1:4" x14ac:dyDescent="0.3">
      <c r="A3207" s="1">
        <v>42461</v>
      </c>
      <c r="B3207">
        <v>1.4366989999999999</v>
      </c>
      <c r="C3207">
        <f t="shared" si="52"/>
        <v>-4.8838146070580193E-4</v>
      </c>
      <c r="D3207">
        <f>(C3207-meanrtn)/stdevrtns</f>
        <v>-7.2919948749322033E-2</v>
      </c>
    </row>
    <row r="3208" spans="1:4" x14ac:dyDescent="0.3">
      <c r="A3208" s="1">
        <v>42464</v>
      </c>
      <c r="B3208">
        <v>1.422455</v>
      </c>
      <c r="C3208">
        <f t="shared" si="52"/>
        <v>-9.9143940379995566E-3</v>
      </c>
      <c r="D3208">
        <f>(C3208-meanrtn)/stdevrtns</f>
        <v>-1.6351896841974818</v>
      </c>
    </row>
    <row r="3209" spans="1:4" x14ac:dyDescent="0.3">
      <c r="A3209" s="1">
        <v>42465</v>
      </c>
      <c r="B3209">
        <v>1.426493</v>
      </c>
      <c r="C3209">
        <f t="shared" si="52"/>
        <v>2.8387541257895582E-3</v>
      </c>
      <c r="D3209">
        <f>(C3209-meanrtn)/stdevrtns</f>
        <v>0.47852035433656631</v>
      </c>
    </row>
    <row r="3210" spans="1:4" x14ac:dyDescent="0.3">
      <c r="A3210" s="1">
        <v>42466</v>
      </c>
      <c r="B3210">
        <v>1.415629</v>
      </c>
      <c r="C3210">
        <f t="shared" si="52"/>
        <v>-7.6158803443129299E-3</v>
      </c>
      <c r="D3210">
        <f>(C3210-meanrtn)/stdevrtns</f>
        <v>-1.2542334367159258</v>
      </c>
    </row>
    <row r="3211" spans="1:4" x14ac:dyDescent="0.3">
      <c r="A3211" s="1">
        <v>42467</v>
      </c>
      <c r="B3211">
        <v>1.413807</v>
      </c>
      <c r="C3211">
        <f t="shared" si="52"/>
        <v>-1.2870603809331332E-3</v>
      </c>
      <c r="D3211">
        <f>(C3211-meanrtn)/stdevrtns</f>
        <v>-0.20529319726559009</v>
      </c>
    </row>
    <row r="3212" spans="1:4" x14ac:dyDescent="0.3">
      <c r="A3212" s="1">
        <v>42468</v>
      </c>
      <c r="B3212">
        <v>1.405797</v>
      </c>
      <c r="C3212">
        <f t="shared" si="52"/>
        <v>-5.6655540678466525E-3</v>
      </c>
      <c r="D3212">
        <f>(C3212-meanrtn)/stdevrtns</f>
        <v>-0.93098586082022794</v>
      </c>
    </row>
    <row r="3213" spans="1:4" x14ac:dyDescent="0.3">
      <c r="A3213" s="1">
        <v>42471</v>
      </c>
      <c r="B3213">
        <v>1.413008</v>
      </c>
      <c r="C3213">
        <f t="shared" si="52"/>
        <v>5.12947459697245E-3</v>
      </c>
      <c r="D3213">
        <f>(C3213-meanrtn)/stdevrtns</f>
        <v>0.85818495112708382</v>
      </c>
    </row>
    <row r="3214" spans="1:4" x14ac:dyDescent="0.3">
      <c r="A3214" s="1">
        <v>42472</v>
      </c>
      <c r="B3214">
        <v>1.4234059999999999</v>
      </c>
      <c r="C3214">
        <f t="shared" si="52"/>
        <v>7.3587693771018335E-3</v>
      </c>
      <c r="D3214">
        <f>(C3214-meanrtn)/stdevrtns</f>
        <v>1.2276688381715684</v>
      </c>
    </row>
    <row r="3215" spans="1:4" x14ac:dyDescent="0.3">
      <c r="A3215" s="1">
        <v>42473</v>
      </c>
      <c r="B3215">
        <v>1.4269000000000001</v>
      </c>
      <c r="C3215">
        <f t="shared" si="52"/>
        <v>2.454675616092744E-3</v>
      </c>
      <c r="D3215">
        <f>(C3215-meanrtn)/stdevrtns</f>
        <v>0.41486308390380849</v>
      </c>
    </row>
    <row r="3216" spans="1:4" x14ac:dyDescent="0.3">
      <c r="A3216" s="1">
        <v>42474</v>
      </c>
      <c r="B3216">
        <v>1.419205</v>
      </c>
      <c r="C3216">
        <f t="shared" si="52"/>
        <v>-5.3928095872170486E-3</v>
      </c>
      <c r="D3216">
        <f>(C3216-meanrtn)/stdevrtns</f>
        <v>-0.88578112084092986</v>
      </c>
    </row>
    <row r="3217" spans="1:4" x14ac:dyDescent="0.3">
      <c r="A3217" s="1">
        <v>42475</v>
      </c>
      <c r="B3217">
        <v>1.4146069999999999</v>
      </c>
      <c r="C3217">
        <f t="shared" si="52"/>
        <v>-3.2398420242319482E-3</v>
      </c>
      <c r="D3217">
        <f>(C3217-meanrtn)/stdevrtns</f>
        <v>-0.52894772628812092</v>
      </c>
    </row>
    <row r="3218" spans="1:4" x14ac:dyDescent="0.3">
      <c r="A3218" s="1">
        <v>42478</v>
      </c>
      <c r="B3218">
        <v>1.4174340000000001</v>
      </c>
      <c r="C3218">
        <f t="shared" si="52"/>
        <v>1.998434901000868E-3</v>
      </c>
      <c r="D3218">
        <f>(C3218-meanrtn)/stdevrtns</f>
        <v>0.33924563109197448</v>
      </c>
    </row>
    <row r="3219" spans="1:4" x14ac:dyDescent="0.3">
      <c r="A3219" s="1">
        <v>42479</v>
      </c>
      <c r="B3219">
        <v>1.4289799999999999</v>
      </c>
      <c r="C3219">
        <f t="shared" si="52"/>
        <v>8.1457055496057199E-3</v>
      </c>
      <c r="D3219">
        <f>(C3219-meanrtn)/stdevrtns</f>
        <v>1.3580958406767147</v>
      </c>
    </row>
    <row r="3220" spans="1:4" x14ac:dyDescent="0.3">
      <c r="A3220" s="1">
        <v>42480</v>
      </c>
      <c r="B3220">
        <v>1.438952</v>
      </c>
      <c r="C3220">
        <f t="shared" si="52"/>
        <v>6.9784041764056129E-3</v>
      </c>
      <c r="D3220">
        <f>(C3220-meanrtn)/stdevrtns</f>
        <v>1.1646270125223204</v>
      </c>
    </row>
    <row r="3221" spans="1:4" x14ac:dyDescent="0.3">
      <c r="A3221" s="1">
        <v>42481</v>
      </c>
      <c r="B3221">
        <v>1.433897</v>
      </c>
      <c r="C3221">
        <f t="shared" si="52"/>
        <v>-3.5129733305906186E-3</v>
      </c>
      <c r="D3221">
        <f>(C3221-meanrtn)/stdevrtns</f>
        <v>-0.57421657886269273</v>
      </c>
    </row>
    <row r="3222" spans="1:4" x14ac:dyDescent="0.3">
      <c r="A3222" s="1">
        <v>42482</v>
      </c>
      <c r="B3222">
        <v>1.4322950000000001</v>
      </c>
      <c r="C3222">
        <f t="shared" si="52"/>
        <v>-1.117235059421898E-3</v>
      </c>
      <c r="D3222">
        <f>(C3222-meanrtn)/stdevrtns</f>
        <v>-0.17714630504216297</v>
      </c>
    </row>
    <row r="3223" spans="1:4" x14ac:dyDescent="0.3">
      <c r="A3223" s="1">
        <v>42485</v>
      </c>
      <c r="B3223">
        <v>1.444669</v>
      </c>
      <c r="C3223">
        <f t="shared" si="52"/>
        <v>8.6392817122170253E-3</v>
      </c>
      <c r="D3223">
        <f>(C3223-meanrtn)/stdevrtns</f>
        <v>1.4399012801096915</v>
      </c>
    </row>
    <row r="3224" spans="1:4" x14ac:dyDescent="0.3">
      <c r="A3224" s="1">
        <v>42486</v>
      </c>
      <c r="B3224">
        <v>1.449065</v>
      </c>
      <c r="C3224">
        <f t="shared" si="52"/>
        <v>3.0429115596721924E-3</v>
      </c>
      <c r="D3224">
        <f>(C3224-meanrtn)/stdevrtns</f>
        <v>0.51235745964553991</v>
      </c>
    </row>
    <row r="3225" spans="1:4" x14ac:dyDescent="0.3">
      <c r="A3225" s="1">
        <v>42487</v>
      </c>
      <c r="B3225">
        <v>1.4577260000000001</v>
      </c>
      <c r="C3225">
        <f t="shared" si="52"/>
        <v>5.9769575553891849E-3</v>
      </c>
      <c r="D3225">
        <f>(C3225-meanrtn)/stdevrtns</f>
        <v>0.99864699341545315</v>
      </c>
    </row>
    <row r="3226" spans="1:4" x14ac:dyDescent="0.3">
      <c r="A3226" s="1">
        <v>42488</v>
      </c>
      <c r="B3226">
        <v>1.454207</v>
      </c>
      <c r="C3226">
        <f t="shared" si="52"/>
        <v>-2.4140339130948132E-3</v>
      </c>
      <c r="D3226">
        <f>(C3226-meanrtn)/stdevrtns</f>
        <v>-0.39207807873163963</v>
      </c>
    </row>
    <row r="3227" spans="1:4" x14ac:dyDescent="0.3">
      <c r="A3227" s="1">
        <v>42489</v>
      </c>
      <c r="B3227">
        <v>1.4611339999999999</v>
      </c>
      <c r="C3227">
        <f t="shared" si="52"/>
        <v>4.7634208884979271E-3</v>
      </c>
      <c r="D3227">
        <f>(C3227-meanrtn)/stdevrtns</f>
        <v>0.79751511585910484</v>
      </c>
    </row>
    <row r="3228" spans="1:4" x14ac:dyDescent="0.3">
      <c r="A3228" s="1">
        <v>42492</v>
      </c>
      <c r="B3228">
        <v>1.46028</v>
      </c>
      <c r="C3228">
        <f t="shared" si="52"/>
        <v>-5.8447753594120073E-4</v>
      </c>
      <c r="D3228">
        <f>(C3228-meanrtn)/stdevrtns</f>
        <v>-8.8846936837292015E-2</v>
      </c>
    </row>
    <row r="3229" spans="1:4" x14ac:dyDescent="0.3">
      <c r="A3229" s="1">
        <v>42493</v>
      </c>
      <c r="B3229">
        <v>1.4665980000000001</v>
      </c>
      <c r="C3229">
        <f t="shared" si="52"/>
        <v>4.3265675076013133E-3</v>
      </c>
      <c r="D3229">
        <f>(C3229-meanrtn)/stdevrtns</f>
        <v>0.72511092477548433</v>
      </c>
    </row>
    <row r="3230" spans="1:4" x14ac:dyDescent="0.3">
      <c r="A3230" s="1">
        <v>42494</v>
      </c>
      <c r="B3230">
        <v>1.4550959999999999</v>
      </c>
      <c r="C3230">
        <f t="shared" si="52"/>
        <v>-7.8426399054138379E-3</v>
      </c>
      <c r="D3230">
        <f>(C3230-meanrtn)/stdevrtns</f>
        <v>-1.2918166243709932</v>
      </c>
    </row>
    <row r="3231" spans="1:4" x14ac:dyDescent="0.3">
      <c r="A3231" s="1">
        <v>42495</v>
      </c>
      <c r="B3231">
        <v>1.4507049999999999</v>
      </c>
      <c r="C3231">
        <f t="shared" si="52"/>
        <v>-3.0176703117870121E-3</v>
      </c>
      <c r="D3231">
        <f>(C3231-meanrtn)/stdevrtns</f>
        <v>-0.4921249298427266</v>
      </c>
    </row>
    <row r="3232" spans="1:4" x14ac:dyDescent="0.3">
      <c r="A3232" s="1">
        <v>42496</v>
      </c>
      <c r="B3232">
        <v>1.4492750000000001</v>
      </c>
      <c r="C3232">
        <f t="shared" si="52"/>
        <v>-9.8572762898026852E-4</v>
      </c>
      <c r="D3232">
        <f>(C3232-meanrtn)/stdevrtns</f>
        <v>-0.15535022988516403</v>
      </c>
    </row>
    <row r="3233" spans="1:4" x14ac:dyDescent="0.3">
      <c r="A3233" s="1">
        <v>42499</v>
      </c>
      <c r="B3233">
        <v>1.443085</v>
      </c>
      <c r="C3233">
        <f t="shared" si="52"/>
        <v>-4.2711010677753628E-3</v>
      </c>
      <c r="D3233">
        <f>(C3233-meanrtn)/stdevrtns</f>
        <v>-0.69986886392972247</v>
      </c>
    </row>
    <row r="3234" spans="1:4" x14ac:dyDescent="0.3">
      <c r="A3234" s="1">
        <v>42500</v>
      </c>
      <c r="B3234">
        <v>1.4415450000000001</v>
      </c>
      <c r="C3234">
        <f t="shared" si="52"/>
        <v>-1.0671582062039831E-3</v>
      </c>
      <c r="D3234">
        <f>(C3234-meanrtn)/stdevrtns</f>
        <v>-0.16884655458168887</v>
      </c>
    </row>
    <row r="3235" spans="1:4" x14ac:dyDescent="0.3">
      <c r="A3235" s="1">
        <v>42501</v>
      </c>
      <c r="B3235">
        <v>1.445149</v>
      </c>
      <c r="C3235">
        <f t="shared" si="52"/>
        <v>2.5000953837722309E-3</v>
      </c>
      <c r="D3235">
        <f>(C3235-meanrtn)/stdevrtns</f>
        <v>0.4223909678160026</v>
      </c>
    </row>
    <row r="3236" spans="1:4" x14ac:dyDescent="0.3">
      <c r="A3236" s="1">
        <v>42502</v>
      </c>
      <c r="B3236">
        <v>1.443835</v>
      </c>
      <c r="C3236">
        <f t="shared" si="52"/>
        <v>-9.0924880410257855E-4</v>
      </c>
      <c r="D3236">
        <f>(C3236-meanrtn)/stdevrtns</f>
        <v>-0.14267460988897704</v>
      </c>
    </row>
    <row r="3237" spans="1:4" x14ac:dyDescent="0.3">
      <c r="A3237" s="1">
        <v>42503</v>
      </c>
      <c r="B3237">
        <v>1.444523</v>
      </c>
      <c r="C3237">
        <f t="shared" si="52"/>
        <v>4.7650874234245736E-4</v>
      </c>
      <c r="D3237">
        <f>(C3237-meanrtn)/stdevrtns</f>
        <v>8.7001200293480435E-2</v>
      </c>
    </row>
    <row r="3238" spans="1:4" x14ac:dyDescent="0.3">
      <c r="A3238" s="1">
        <v>42506</v>
      </c>
      <c r="B3238">
        <v>1.4349259999999999</v>
      </c>
      <c r="C3238">
        <f t="shared" si="52"/>
        <v>-6.6437156071589565E-3</v>
      </c>
      <c r="D3238">
        <f>(C3238-meanrtn)/stdevrtns</f>
        <v>-1.0931066045298377</v>
      </c>
    </row>
    <row r="3239" spans="1:4" x14ac:dyDescent="0.3">
      <c r="A3239" s="1">
        <v>42507</v>
      </c>
      <c r="B3239">
        <v>1.44469</v>
      </c>
      <c r="C3239">
        <f t="shared" si="52"/>
        <v>6.8045320804000393E-3</v>
      </c>
      <c r="D3239">
        <f>(C3239-meanrtn)/stdevrtns</f>
        <v>1.1358094068591598</v>
      </c>
    </row>
    <row r="3240" spans="1:4" x14ac:dyDescent="0.3">
      <c r="A3240" s="1">
        <v>42508</v>
      </c>
      <c r="B3240">
        <v>1.4455249999999999</v>
      </c>
      <c r="C3240">
        <f t="shared" si="52"/>
        <v>5.779786667035275E-4</v>
      </c>
      <c r="D3240">
        <f>(C3240-meanrtn)/stdevrtns</f>
        <v>0.10381885151000646</v>
      </c>
    </row>
    <row r="3241" spans="1:4" x14ac:dyDescent="0.3">
      <c r="A3241" s="1">
        <v>42509</v>
      </c>
      <c r="B3241">
        <v>1.4596199999999999</v>
      </c>
      <c r="C3241">
        <f t="shared" si="52"/>
        <v>9.7507825876411471E-3</v>
      </c>
      <c r="D3241">
        <f>(C3241-meanrtn)/stdevrtns</f>
        <v>1.6241217194906228</v>
      </c>
    </row>
    <row r="3242" spans="1:4" x14ac:dyDescent="0.3">
      <c r="A3242" s="1">
        <v>42510</v>
      </c>
      <c r="B3242">
        <v>1.46011</v>
      </c>
      <c r="C3242">
        <f t="shared" si="52"/>
        <v>3.3570381332134492E-4</v>
      </c>
      <c r="D3242">
        <f>(C3242-meanrtn)/stdevrtns</f>
        <v>6.3664155343900491E-2</v>
      </c>
    </row>
    <row r="3243" spans="1:4" x14ac:dyDescent="0.3">
      <c r="A3243" s="1">
        <v>42513</v>
      </c>
      <c r="B3243">
        <v>1.449065</v>
      </c>
      <c r="C3243">
        <f t="shared" si="52"/>
        <v>-7.5644985651765768E-3</v>
      </c>
      <c r="D3243">
        <f>(C3243-meanrtn)/stdevrtns</f>
        <v>-1.2457174074999693</v>
      </c>
    </row>
    <row r="3244" spans="1:4" x14ac:dyDescent="0.3">
      <c r="A3244" s="1">
        <v>42514</v>
      </c>
      <c r="B3244">
        <v>1.4481839999999999</v>
      </c>
      <c r="C3244">
        <f t="shared" si="52"/>
        <v>-6.0797824804279422E-4</v>
      </c>
      <c r="D3244">
        <f>(C3244-meanrtn)/stdevrtns</f>
        <v>-9.2741950871777917E-2</v>
      </c>
    </row>
    <row r="3245" spans="1:4" x14ac:dyDescent="0.3">
      <c r="A3245" s="1">
        <v>42515</v>
      </c>
      <c r="B3245">
        <v>1.4612620000000001</v>
      </c>
      <c r="C3245">
        <f t="shared" si="52"/>
        <v>9.0306204183999723E-3</v>
      </c>
      <c r="D3245">
        <f>(C3245-meanrtn)/stdevrtns</f>
        <v>1.5047618573649986</v>
      </c>
    </row>
    <row r="3246" spans="1:4" x14ac:dyDescent="0.3">
      <c r="A3246" s="1">
        <v>42516</v>
      </c>
      <c r="B3246">
        <v>1.469832</v>
      </c>
      <c r="C3246">
        <f t="shared" si="52"/>
        <v>5.8647935825334304E-3</v>
      </c>
      <c r="D3246">
        <f>(C3246-meanrtn)/stdevrtns</f>
        <v>0.98005690786620558</v>
      </c>
    </row>
    <row r="3247" spans="1:4" x14ac:dyDescent="0.3">
      <c r="A3247" s="1">
        <v>42517</v>
      </c>
      <c r="B3247">
        <v>1.466491</v>
      </c>
      <c r="C3247">
        <f t="shared" si="52"/>
        <v>-2.273048892662589E-3</v>
      </c>
      <c r="D3247">
        <f>(C3247-meanrtn)/stdevrtns</f>
        <v>-0.36871118538552011</v>
      </c>
    </row>
    <row r="3248" spans="1:4" x14ac:dyDescent="0.3">
      <c r="A3248" s="1">
        <v>42520</v>
      </c>
      <c r="B3248">
        <v>1.4626509999999999</v>
      </c>
      <c r="C3248">
        <f t="shared" si="52"/>
        <v>-2.6184954425223649E-3</v>
      </c>
      <c r="D3248">
        <f>(C3248-meanrtn)/stdevrtns</f>
        <v>-0.42596558491400621</v>
      </c>
    </row>
    <row r="3249" spans="1:4" x14ac:dyDescent="0.3">
      <c r="A3249" s="1">
        <v>42521</v>
      </c>
      <c r="B3249">
        <v>1.4635069999999999</v>
      </c>
      <c r="C3249">
        <f t="shared" si="52"/>
        <v>5.852387206517262E-4</v>
      </c>
      <c r="D3249">
        <f>(C3249-meanrtn)/stdevrtns</f>
        <v>0.10502213470828202</v>
      </c>
    </row>
    <row r="3250" spans="1:4" x14ac:dyDescent="0.3">
      <c r="A3250" s="1">
        <v>42522</v>
      </c>
      <c r="B3250">
        <v>1.4482470000000001</v>
      </c>
      <c r="C3250">
        <f t="shared" si="52"/>
        <v>-1.0427008548643656E-2</v>
      </c>
      <c r="D3250">
        <f>(C3250-meanrtn)/stdevrtns</f>
        <v>-1.7201505443028446</v>
      </c>
    </row>
    <row r="3251" spans="1:4" x14ac:dyDescent="0.3">
      <c r="A3251" s="1">
        <v>42523</v>
      </c>
      <c r="B3251">
        <v>1.44194</v>
      </c>
      <c r="C3251">
        <f t="shared" si="52"/>
        <v>-4.3549201206700668E-3</v>
      </c>
      <c r="D3251">
        <f>(C3251-meanrtn)/stdevrtns</f>
        <v>-0.71376105519485655</v>
      </c>
    </row>
    <row r="3252" spans="1:4" x14ac:dyDescent="0.3">
      <c r="A3252" s="1">
        <v>42524</v>
      </c>
      <c r="B3252">
        <v>1.4405490000000001</v>
      </c>
      <c r="C3252">
        <f t="shared" si="52"/>
        <v>-9.6467259386654098E-4</v>
      </c>
      <c r="D3252">
        <f>(C3252-meanrtn)/stdevrtns</f>
        <v>-0.15186056298017686</v>
      </c>
    </row>
    <row r="3253" spans="1:4" x14ac:dyDescent="0.3">
      <c r="A3253" s="1">
        <v>42527</v>
      </c>
      <c r="B3253">
        <v>1.438394</v>
      </c>
      <c r="C3253">
        <f t="shared" si="52"/>
        <v>-1.4959574440023414E-3</v>
      </c>
      <c r="D3253">
        <f>(C3253-meanrtn)/stdevrtns</f>
        <v>-0.23991584992819953</v>
      </c>
    </row>
    <row r="3254" spans="1:4" x14ac:dyDescent="0.3">
      <c r="A3254" s="1">
        <v>42528</v>
      </c>
      <c r="B3254">
        <v>1.4459219999999999</v>
      </c>
      <c r="C3254">
        <f t="shared" si="52"/>
        <v>5.2336147119634675E-3</v>
      </c>
      <c r="D3254">
        <f>(C3254-meanrtn)/stdevrtns</f>
        <v>0.87544516042157094</v>
      </c>
    </row>
    <row r="3255" spans="1:4" x14ac:dyDescent="0.3">
      <c r="A3255" s="1">
        <v>42529</v>
      </c>
      <c r="B3255">
        <v>1.4543550000000001</v>
      </c>
      <c r="C3255">
        <f t="shared" si="52"/>
        <v>5.8322648109650002E-3</v>
      </c>
      <c r="D3255">
        <f>(C3255-meanrtn)/stdevrtns</f>
        <v>0.97466558094658295</v>
      </c>
    </row>
    <row r="3256" spans="1:4" x14ac:dyDescent="0.3">
      <c r="A3256" s="1">
        <v>42530</v>
      </c>
      <c r="B3256">
        <v>1.4518420000000001</v>
      </c>
      <c r="C3256">
        <f t="shared" si="52"/>
        <v>-1.7279137487064625E-3</v>
      </c>
      <c r="D3256">
        <f>(C3256-meanrtn)/stdevrtns</f>
        <v>-0.27836034719723246</v>
      </c>
    </row>
    <row r="3257" spans="1:4" x14ac:dyDescent="0.3">
      <c r="A3257" s="1">
        <v>42531</v>
      </c>
      <c r="B3257">
        <v>1.446383</v>
      </c>
      <c r="C3257">
        <f t="shared" si="52"/>
        <v>-3.7600510248361062E-3</v>
      </c>
      <c r="D3257">
        <f>(C3257-meanrtn)/stdevrtns</f>
        <v>-0.6151672991019036</v>
      </c>
    </row>
    <row r="3258" spans="1:4" x14ac:dyDescent="0.3">
      <c r="A3258" s="1">
        <v>42534</v>
      </c>
      <c r="B3258">
        <v>1.418882</v>
      </c>
      <c r="C3258">
        <f t="shared" si="52"/>
        <v>-1.9013636083941805E-2</v>
      </c>
      <c r="D3258">
        <f>(C3258-meanrtn)/stdevrtns</f>
        <v>-3.1433003882014736</v>
      </c>
    </row>
    <row r="3259" spans="1:4" x14ac:dyDescent="0.3">
      <c r="A3259" s="1">
        <v>42535</v>
      </c>
      <c r="B3259">
        <v>1.420676</v>
      </c>
      <c r="C3259">
        <f t="shared" si="52"/>
        <v>1.2643757549958864E-3</v>
      </c>
      <c r="D3259">
        <f>(C3259-meanrtn)/stdevrtns</f>
        <v>0.21758248048309264</v>
      </c>
    </row>
    <row r="3260" spans="1:4" x14ac:dyDescent="0.3">
      <c r="A3260" s="1">
        <v>42536</v>
      </c>
      <c r="B3260">
        <v>1.4123699999999999</v>
      </c>
      <c r="C3260">
        <f t="shared" si="52"/>
        <v>-5.8465125053144742E-3</v>
      </c>
      <c r="D3260">
        <f>(C3260-meanrtn)/stdevrtns</f>
        <v>-0.96097795852981238</v>
      </c>
    </row>
    <row r="3261" spans="1:4" x14ac:dyDescent="0.3">
      <c r="A3261" s="1">
        <v>42537</v>
      </c>
      <c r="B3261">
        <v>1.4195869999999999</v>
      </c>
      <c r="C3261">
        <f t="shared" si="52"/>
        <v>5.1098508181284148E-3</v>
      </c>
      <c r="D3261">
        <f>(C3261-meanrtn)/stdevrtns</f>
        <v>0.85493250100230733</v>
      </c>
    </row>
    <row r="3262" spans="1:4" x14ac:dyDescent="0.3">
      <c r="A3262" s="1">
        <v>42538</v>
      </c>
      <c r="B3262">
        <v>1.4295720000000001</v>
      </c>
      <c r="C3262">
        <f t="shared" si="52"/>
        <v>7.0337358682490986E-3</v>
      </c>
      <c r="D3262">
        <f>(C3262-meanrtn)/stdevrtns</f>
        <v>1.1737977012806244</v>
      </c>
    </row>
    <row r="3263" spans="1:4" x14ac:dyDescent="0.3">
      <c r="A3263" s="1">
        <v>42541</v>
      </c>
      <c r="B3263">
        <v>1.4585980000000001</v>
      </c>
      <c r="C3263">
        <f t="shared" si="52"/>
        <v>2.0303979093043229E-2</v>
      </c>
      <c r="D3263">
        <f>(C3263-meanrtn)/stdevrtns</f>
        <v>3.3732112074828424</v>
      </c>
    </row>
    <row r="3264" spans="1:4" x14ac:dyDescent="0.3">
      <c r="A3264" s="1">
        <v>42542</v>
      </c>
      <c r="B3264">
        <v>1.4675020000000001</v>
      </c>
      <c r="C3264">
        <f t="shared" si="52"/>
        <v>6.1044921218869237E-3</v>
      </c>
      <c r="D3264">
        <f>(C3264-meanrtn)/stdevrtns</f>
        <v>1.0197846050862538</v>
      </c>
    </row>
    <row r="3265" spans="1:4" x14ac:dyDescent="0.3">
      <c r="A3265" s="1">
        <v>42543</v>
      </c>
      <c r="B3265">
        <v>1.4670289999999999</v>
      </c>
      <c r="C3265">
        <f t="shared" si="52"/>
        <v>-3.2231642614467831E-4</v>
      </c>
      <c r="D3265">
        <f>(C3265-meanrtn)/stdevrtns</f>
        <v>-4.5396287446773473E-2</v>
      </c>
    </row>
    <row r="3266" spans="1:4" x14ac:dyDescent="0.3">
      <c r="A3266" s="1">
        <v>42544</v>
      </c>
      <c r="B3266">
        <v>1.4789399999999999</v>
      </c>
      <c r="C3266">
        <f t="shared" si="52"/>
        <v>8.1191305693343527E-3</v>
      </c>
      <c r="D3266">
        <f>(C3266-meanrtn)/stdevrtns</f>
        <v>1.3536912966494661</v>
      </c>
    </row>
    <row r="3267" spans="1:4" x14ac:dyDescent="0.3">
      <c r="A3267" s="1">
        <v>42545</v>
      </c>
      <c r="B3267">
        <v>1.455795</v>
      </c>
      <c r="C3267">
        <f t="shared" si="52"/>
        <v>-1.5649722098259544E-2</v>
      </c>
      <c r="D3267">
        <f>(C3267-meanrtn)/stdevrtns</f>
        <v>-2.5857644238275519</v>
      </c>
    </row>
    <row r="3268" spans="1:4" x14ac:dyDescent="0.3">
      <c r="A3268" s="1">
        <v>42548</v>
      </c>
      <c r="B3268">
        <v>1.3450979999999999</v>
      </c>
      <c r="C3268">
        <f t="shared" ref="C3268:C3331" si="53">(B3268-B3267)/B3267</f>
        <v>-7.6038865362224803E-2</v>
      </c>
      <c r="D3268">
        <f>(C3268-meanrtn)/stdevrtns</f>
        <v>-12.59467647410434</v>
      </c>
    </row>
    <row r="3269" spans="1:4" x14ac:dyDescent="0.3">
      <c r="A3269" s="1">
        <v>42549</v>
      </c>
      <c r="B3269">
        <v>1.323504</v>
      </c>
      <c r="C3269">
        <f t="shared" si="53"/>
        <v>-1.605384886454362E-2</v>
      </c>
      <c r="D3269">
        <f>(C3269-meanrtn)/stdevrtns</f>
        <v>-2.6527444974348171</v>
      </c>
    </row>
    <row r="3270" spans="1:4" x14ac:dyDescent="0.3">
      <c r="A3270" s="1">
        <v>42550</v>
      </c>
      <c r="B3270">
        <v>1.3350960000000001</v>
      </c>
      <c r="C3270">
        <f t="shared" si="53"/>
        <v>8.7585681645087933E-3</v>
      </c>
      <c r="D3270">
        <f>(C3270-meanrtn)/stdevrtns</f>
        <v>1.4596718472223775</v>
      </c>
    </row>
    <row r="3271" spans="1:4" x14ac:dyDescent="0.3">
      <c r="A3271" s="1">
        <v>42551</v>
      </c>
      <c r="B3271">
        <v>1.346584</v>
      </c>
      <c r="C3271">
        <f t="shared" si="53"/>
        <v>8.6046246861648471E-3</v>
      </c>
      <c r="D3271">
        <f>(C3271-meanrtn)/stdevrtns</f>
        <v>1.4341572157475897</v>
      </c>
    </row>
    <row r="3272" spans="1:4" x14ac:dyDescent="0.3">
      <c r="A3272" s="1">
        <v>42552</v>
      </c>
      <c r="B3272">
        <v>1.3328709999999999</v>
      </c>
      <c r="C3272">
        <f t="shared" si="53"/>
        <v>-1.0183545920640738E-2</v>
      </c>
      <c r="D3272">
        <f>(C3272-meanrtn)/stdevrtns</f>
        <v>-1.6797989860673013</v>
      </c>
    </row>
    <row r="3273" spans="1:4" x14ac:dyDescent="0.3">
      <c r="A3273" s="1">
        <v>42555</v>
      </c>
      <c r="B3273">
        <v>1.328992</v>
      </c>
      <c r="C3273">
        <f t="shared" si="53"/>
        <v>-2.9102591323541182E-3</v>
      </c>
      <c r="D3273">
        <f>(C3273-meanrtn)/stdevrtns</f>
        <v>-0.4743225734910041</v>
      </c>
    </row>
    <row r="3274" spans="1:4" x14ac:dyDescent="0.3">
      <c r="A3274" s="1">
        <v>42556</v>
      </c>
      <c r="B3274">
        <v>1.3279860000000001</v>
      </c>
      <c r="C3274">
        <f t="shared" si="53"/>
        <v>-7.5696467698815374E-4</v>
      </c>
      <c r="D3274">
        <f>(C3274-meanrtn)/stdevrtns</f>
        <v>-0.11743499971138156</v>
      </c>
    </row>
    <row r="3275" spans="1:4" x14ac:dyDescent="0.3">
      <c r="A3275" s="1">
        <v>42557</v>
      </c>
      <c r="B3275">
        <v>1.29579</v>
      </c>
      <c r="C3275">
        <f t="shared" si="53"/>
        <v>-2.4244231490392301E-2</v>
      </c>
      <c r="D3275">
        <f>(C3275-meanrtn)/stdevrtns</f>
        <v>-4.0102206086938885</v>
      </c>
    </row>
    <row r="3276" spans="1:4" x14ac:dyDescent="0.3">
      <c r="A3276" s="1">
        <v>42558</v>
      </c>
      <c r="B3276">
        <v>1.292591</v>
      </c>
      <c r="C3276">
        <f t="shared" si="53"/>
        <v>-2.4687642287716002E-3</v>
      </c>
      <c r="D3276">
        <f>(C3276-meanrtn)/stdevrtns</f>
        <v>-0.40114909525026143</v>
      </c>
    </row>
    <row r="3277" spans="1:4" x14ac:dyDescent="0.3">
      <c r="A3277" s="1">
        <v>42559</v>
      </c>
      <c r="B3277">
        <v>1.2915730000000001</v>
      </c>
      <c r="C3277">
        <f t="shared" si="53"/>
        <v>-7.8756544026684647E-4</v>
      </c>
      <c r="D3277">
        <f>(C3277-meanrtn)/stdevrtns</f>
        <v>-0.12250677804393716</v>
      </c>
    </row>
    <row r="3278" spans="1:4" x14ac:dyDescent="0.3">
      <c r="A3278" s="1">
        <v>42562</v>
      </c>
      <c r="B3278">
        <v>1.294616</v>
      </c>
      <c r="C3278">
        <f t="shared" si="53"/>
        <v>2.3560418187743991E-3</v>
      </c>
      <c r="D3278">
        <f>(C3278-meanrtn)/stdevrtns</f>
        <v>0.39851549310873885</v>
      </c>
    </row>
    <row r="3279" spans="1:4" x14ac:dyDescent="0.3">
      <c r="A3279" s="1">
        <v>42563</v>
      </c>
      <c r="B3279">
        <v>1.298111</v>
      </c>
      <c r="C3279">
        <f t="shared" si="53"/>
        <v>2.6996422105087731E-3</v>
      </c>
      <c r="D3279">
        <f>(C3279-meanrtn)/stdevrtns</f>
        <v>0.45546390991732971</v>
      </c>
    </row>
    <row r="3280" spans="1:4" x14ac:dyDescent="0.3">
      <c r="A3280" s="1">
        <v>42564</v>
      </c>
      <c r="B3280">
        <v>1.3278270000000001</v>
      </c>
      <c r="C3280">
        <f t="shared" si="53"/>
        <v>2.2891724975753286E-2</v>
      </c>
      <c r="D3280">
        <f>(C3280-meanrtn)/stdevrtns</f>
        <v>3.8021048719499437</v>
      </c>
    </row>
    <row r="3281" spans="1:4" x14ac:dyDescent="0.3">
      <c r="A3281" s="1">
        <v>42565</v>
      </c>
      <c r="B3281">
        <v>1.311974</v>
      </c>
      <c r="C3281">
        <f t="shared" si="53"/>
        <v>-1.1939055313681763E-2</v>
      </c>
      <c r="D3281">
        <f>(C3281-meanrtn)/stdevrtns</f>
        <v>-1.970757561875861</v>
      </c>
    </row>
    <row r="3282" spans="1:4" x14ac:dyDescent="0.3">
      <c r="A3282" s="1">
        <v>42566</v>
      </c>
      <c r="B3282">
        <v>1.335791</v>
      </c>
      <c r="C3282">
        <f t="shared" si="53"/>
        <v>1.8153560969958227E-2</v>
      </c>
      <c r="D3282">
        <f>(C3282-meanrtn)/stdevrtns</f>
        <v>3.0168003577511451</v>
      </c>
    </row>
    <row r="3283" spans="1:4" x14ac:dyDescent="0.3">
      <c r="A3283" s="1">
        <v>42569</v>
      </c>
      <c r="B3283">
        <v>1.3229610000000001</v>
      </c>
      <c r="C3283">
        <f t="shared" si="53"/>
        <v>-9.6047959598469356E-3</v>
      </c>
      <c r="D3283">
        <f>(C3283-meanrtn)/stdevrtns</f>
        <v>-1.5838768195386888</v>
      </c>
    </row>
    <row r="3284" spans="1:4" x14ac:dyDescent="0.3">
      <c r="A3284" s="1">
        <v>42570</v>
      </c>
      <c r="B3284">
        <v>1.3268930000000001</v>
      </c>
      <c r="C3284">
        <f t="shared" si="53"/>
        <v>2.9721208712880018E-3</v>
      </c>
      <c r="D3284">
        <f>(C3284-meanrtn)/stdevrtns</f>
        <v>0.50062459284663785</v>
      </c>
    </row>
    <row r="3285" spans="1:4" x14ac:dyDescent="0.3">
      <c r="A3285" s="1">
        <v>42571</v>
      </c>
      <c r="B3285">
        <v>1.3108390000000001</v>
      </c>
      <c r="C3285">
        <f t="shared" si="53"/>
        <v>-1.2098940909327286E-2</v>
      </c>
      <c r="D3285">
        <f>(C3285-meanrtn)/stdevrtns</f>
        <v>-1.9972570413920252</v>
      </c>
    </row>
    <row r="3286" spans="1:4" x14ac:dyDescent="0.3">
      <c r="A3286" s="1">
        <v>42572</v>
      </c>
      <c r="B3286">
        <v>1.3264530000000001</v>
      </c>
      <c r="C3286">
        <f t="shared" si="53"/>
        <v>1.1911455182520519E-2</v>
      </c>
      <c r="D3286">
        <f>(C3286-meanrtn)/stdevrtns</f>
        <v>1.9822321480003013</v>
      </c>
    </row>
    <row r="3287" spans="1:4" x14ac:dyDescent="0.3">
      <c r="A3287" s="1">
        <v>42573</v>
      </c>
      <c r="B3287">
        <v>1.3246089999999999</v>
      </c>
      <c r="C3287">
        <f t="shared" si="53"/>
        <v>-1.3901736435442331E-3</v>
      </c>
      <c r="D3287">
        <f>(C3287-meanrtn)/stdevrtns</f>
        <v>-0.22238321578399203</v>
      </c>
    </row>
    <row r="3288" spans="1:4" x14ac:dyDescent="0.3">
      <c r="A3288" s="1">
        <v>42576</v>
      </c>
      <c r="B3288">
        <v>1.3129729999999999</v>
      </c>
      <c r="C3288">
        <f t="shared" si="53"/>
        <v>-8.7844790424947885E-3</v>
      </c>
      <c r="D3288">
        <f>(C3288-meanrtn)/stdevrtns</f>
        <v>-1.4479172838446119</v>
      </c>
    </row>
    <row r="3289" spans="1:4" x14ac:dyDescent="0.3">
      <c r="A3289" s="1">
        <v>42577</v>
      </c>
      <c r="B3289">
        <v>1.3107880000000001</v>
      </c>
      <c r="C3289">
        <f t="shared" si="53"/>
        <v>-1.664162172413204E-3</v>
      </c>
      <c r="D3289">
        <f>(C3289-meanrtn)/stdevrtns</f>
        <v>-0.26779414463667245</v>
      </c>
    </row>
    <row r="3290" spans="1:4" x14ac:dyDescent="0.3">
      <c r="A3290" s="1">
        <v>42578</v>
      </c>
      <c r="B3290">
        <v>1.315288</v>
      </c>
      <c r="C3290">
        <f t="shared" si="53"/>
        <v>3.4330494328601944E-3</v>
      </c>
      <c r="D3290">
        <f>(C3290-meanrtn)/stdevrtns</f>
        <v>0.57701901053312821</v>
      </c>
    </row>
    <row r="3291" spans="1:4" x14ac:dyDescent="0.3">
      <c r="A3291" s="1">
        <v>42579</v>
      </c>
      <c r="B3291">
        <v>1.3237840000000001</v>
      </c>
      <c r="C3291">
        <f t="shared" si="53"/>
        <v>6.4594218148421173E-3</v>
      </c>
      <c r="D3291">
        <f>(C3291-meanrtn)/stdevrtns</f>
        <v>1.0786107431768741</v>
      </c>
    </row>
    <row r="3292" spans="1:4" x14ac:dyDescent="0.3">
      <c r="A3292" s="1">
        <v>42580</v>
      </c>
      <c r="B3292">
        <v>1.3161879999999999</v>
      </c>
      <c r="C3292">
        <f t="shared" si="53"/>
        <v>-5.7380962453090212E-3</v>
      </c>
      <c r="D3292">
        <f>(C3292-meanrtn)/stdevrtns</f>
        <v>-0.94300901986692487</v>
      </c>
    </row>
    <row r="3293" spans="1:4" x14ac:dyDescent="0.3">
      <c r="A3293" s="1">
        <v>42583</v>
      </c>
      <c r="B3293">
        <v>1.3216330000000001</v>
      </c>
      <c r="C3293">
        <f t="shared" si="53"/>
        <v>4.1369470014922978E-3</v>
      </c>
      <c r="D3293">
        <f>(C3293-meanrtn)/stdevrtns</f>
        <v>0.69368317359381459</v>
      </c>
    </row>
    <row r="3294" spans="1:4" x14ac:dyDescent="0.3">
      <c r="A3294" s="1">
        <v>42584</v>
      </c>
      <c r="B3294">
        <v>1.3185480000000001</v>
      </c>
      <c r="C3294">
        <f t="shared" si="53"/>
        <v>-2.3342334823661368E-3</v>
      </c>
      <c r="D3294">
        <f>(C3294-meanrtn)/stdevrtns</f>
        <v>-0.37885193493214436</v>
      </c>
    </row>
    <row r="3295" spans="1:4" x14ac:dyDescent="0.3">
      <c r="A3295" s="1">
        <v>42585</v>
      </c>
      <c r="B3295">
        <v>1.3337779999999999</v>
      </c>
      <c r="C3295">
        <f t="shared" si="53"/>
        <v>1.1550584430752506E-2</v>
      </c>
      <c r="D3295">
        <f>(C3295-meanrtn)/stdevrtns</f>
        <v>1.9224213373025019</v>
      </c>
    </row>
    <row r="3296" spans="1:4" x14ac:dyDescent="0.3">
      <c r="A3296" s="1">
        <v>42586</v>
      </c>
      <c r="B3296">
        <v>1.3328</v>
      </c>
      <c r="C3296">
        <f t="shared" si="53"/>
        <v>-7.3325545930426458E-4</v>
      </c>
      <c r="D3296">
        <f>(C3296-meanrtn)/stdevrtns</f>
        <v>-0.11350542790835658</v>
      </c>
    </row>
    <row r="3297" spans="1:4" x14ac:dyDescent="0.3">
      <c r="A3297" s="1">
        <v>42587</v>
      </c>
      <c r="B3297">
        <v>1.3129219999999999</v>
      </c>
      <c r="C3297">
        <f t="shared" si="53"/>
        <v>-1.4914465786314572E-2</v>
      </c>
      <c r="D3297">
        <f>(C3297-meanrtn)/stdevrtns</f>
        <v>-2.4639028546295774</v>
      </c>
    </row>
    <row r="3298" spans="1:4" x14ac:dyDescent="0.3">
      <c r="A3298" s="1">
        <v>42590</v>
      </c>
      <c r="B3298">
        <v>1.308575</v>
      </c>
      <c r="C3298">
        <f t="shared" si="53"/>
        <v>-3.3109354554191938E-3</v>
      </c>
      <c r="D3298">
        <f>(C3298-meanrtn)/stdevrtns</f>
        <v>-0.5407307697566337</v>
      </c>
    </row>
    <row r="3299" spans="1:4" x14ac:dyDescent="0.3">
      <c r="A3299" s="1">
        <v>42591</v>
      </c>
      <c r="B3299">
        <v>1.303237</v>
      </c>
      <c r="C3299">
        <f t="shared" si="53"/>
        <v>-4.07924650860674E-3</v>
      </c>
      <c r="D3299">
        <f>(C3299-meanrtn)/stdevrtns</f>
        <v>-0.66807084022255048</v>
      </c>
    </row>
    <row r="3300" spans="1:4" x14ac:dyDescent="0.3">
      <c r="A3300" s="1">
        <v>42592</v>
      </c>
      <c r="B3300">
        <v>1.3007120000000001</v>
      </c>
      <c r="C3300">
        <f t="shared" si="53"/>
        <v>-1.9374833587443331E-3</v>
      </c>
      <c r="D3300">
        <f>(C3300-meanrtn)/stdevrtns</f>
        <v>-0.31309446796644508</v>
      </c>
    </row>
    <row r="3301" spans="1:4" x14ac:dyDescent="0.3">
      <c r="A3301" s="1">
        <v>42593</v>
      </c>
      <c r="B3301">
        <v>1.3020160000000001</v>
      </c>
      <c r="C3301">
        <f t="shared" si="53"/>
        <v>1.0025278462872426E-3</v>
      </c>
      <c r="D3301">
        <f>(C3301-meanrtn)/stdevrtns</f>
        <v>0.17418374112098639</v>
      </c>
    </row>
    <row r="3302" spans="1:4" x14ac:dyDescent="0.3">
      <c r="A3302" s="1">
        <v>42594</v>
      </c>
      <c r="B3302">
        <v>1.295488</v>
      </c>
      <c r="C3302">
        <f t="shared" si="53"/>
        <v>-5.0137632717263758E-3</v>
      </c>
      <c r="D3302">
        <f>(C3302-meanrtn)/stdevrtns</f>
        <v>-0.82295788756298027</v>
      </c>
    </row>
    <row r="3303" spans="1:4" x14ac:dyDescent="0.3">
      <c r="A3303" s="1">
        <v>42597</v>
      </c>
      <c r="B3303">
        <v>1.2909889999999999</v>
      </c>
      <c r="C3303">
        <f t="shared" si="53"/>
        <v>-3.4728225965813893E-3</v>
      </c>
      <c r="D3303">
        <f>(C3303-meanrtn)/stdevrtns</f>
        <v>-0.5675619859386658</v>
      </c>
    </row>
    <row r="3304" spans="1:4" x14ac:dyDescent="0.3">
      <c r="A3304" s="1">
        <v>42598</v>
      </c>
      <c r="B3304">
        <v>1.288311</v>
      </c>
      <c r="C3304">
        <f t="shared" si="53"/>
        <v>-2.0743786352943041E-3</v>
      </c>
      <c r="D3304">
        <f>(C3304-meanrtn)/stdevrtns</f>
        <v>-0.33578352611548778</v>
      </c>
    </row>
    <row r="3305" spans="1:4" x14ac:dyDescent="0.3">
      <c r="A3305" s="1">
        <v>42599</v>
      </c>
      <c r="B3305">
        <v>1.3033729999999999</v>
      </c>
      <c r="C3305">
        <f t="shared" si="53"/>
        <v>1.1691276407637527E-2</v>
      </c>
      <c r="D3305">
        <f>(C3305-meanrtn)/stdevrtns</f>
        <v>1.9457396615361564</v>
      </c>
    </row>
    <row r="3306" spans="1:4" x14ac:dyDescent="0.3">
      <c r="A3306" s="1">
        <v>42600</v>
      </c>
      <c r="B3306">
        <v>1.3044610000000001</v>
      </c>
      <c r="C3306">
        <f t="shared" si="53"/>
        <v>8.3475720304180005E-4</v>
      </c>
      <c r="D3306">
        <f>(C3306-meanrtn)/stdevrtns</f>
        <v>0.146377391798856</v>
      </c>
    </row>
    <row r="3307" spans="1:4" x14ac:dyDescent="0.3">
      <c r="A3307" s="1">
        <v>42601</v>
      </c>
      <c r="B3307">
        <v>1.316656</v>
      </c>
      <c r="C3307">
        <f t="shared" si="53"/>
        <v>9.3486888454311443E-3</v>
      </c>
      <c r="D3307">
        <f>(C3307-meanrtn)/stdevrtns</f>
        <v>1.5574785998133802</v>
      </c>
    </row>
    <row r="3308" spans="1:4" x14ac:dyDescent="0.3">
      <c r="A3308" s="1">
        <v>42604</v>
      </c>
      <c r="B3308">
        <v>1.3056019999999999</v>
      </c>
      <c r="C3308">
        <f t="shared" si="53"/>
        <v>-8.3955110522415267E-3</v>
      </c>
      <c r="D3308">
        <f>(C3308-meanrtn)/stdevrtns</f>
        <v>-1.3834496296538479</v>
      </c>
    </row>
    <row r="3309" spans="1:4" x14ac:dyDescent="0.3">
      <c r="A3309" s="1">
        <v>42605</v>
      </c>
      <c r="B3309">
        <v>1.313715</v>
      </c>
      <c r="C3309">
        <f t="shared" si="53"/>
        <v>6.2139917065078308E-3</v>
      </c>
      <c r="D3309">
        <f>(C3309-meanrtn)/stdevrtns</f>
        <v>1.0379330942479881</v>
      </c>
    </row>
    <row r="3310" spans="1:4" x14ac:dyDescent="0.3">
      <c r="A3310" s="1">
        <v>42606</v>
      </c>
      <c r="B3310">
        <v>1.319609</v>
      </c>
      <c r="C3310">
        <f t="shared" si="53"/>
        <v>4.4865134370849586E-3</v>
      </c>
      <c r="D3310">
        <f>(C3310-meanrtn)/stdevrtns</f>
        <v>0.75162040403741059</v>
      </c>
    </row>
    <row r="3311" spans="1:4" x14ac:dyDescent="0.3">
      <c r="A3311" s="1">
        <v>42607</v>
      </c>
      <c r="B3311">
        <v>1.3234520000000001</v>
      </c>
      <c r="C3311">
        <f t="shared" si="53"/>
        <v>2.9122262730854674E-3</v>
      </c>
      <c r="D3311">
        <f>(C3311-meanrtn)/stdevrtns</f>
        <v>0.49069764682133227</v>
      </c>
    </row>
    <row r="3312" spans="1:4" x14ac:dyDescent="0.3">
      <c r="A3312" s="1">
        <v>42608</v>
      </c>
      <c r="B3312">
        <v>1.3194349999999999</v>
      </c>
      <c r="C3312">
        <f t="shared" si="53"/>
        <v>-3.0352441947272429E-3</v>
      </c>
      <c r="D3312">
        <f>(C3312-meanrtn)/stdevrtns</f>
        <v>-0.49503762969610549</v>
      </c>
    </row>
    <row r="3313" spans="1:4" x14ac:dyDescent="0.3">
      <c r="A3313" s="1">
        <v>42611</v>
      </c>
      <c r="B3313">
        <v>1.312853</v>
      </c>
      <c r="C3313">
        <f t="shared" si="53"/>
        <v>-4.988498865044406E-3</v>
      </c>
      <c r="D3313">
        <f>(C3313-meanrtn)/stdevrtns</f>
        <v>-0.81877055833764334</v>
      </c>
    </row>
    <row r="3314" spans="1:4" x14ac:dyDescent="0.3">
      <c r="A3314" s="1">
        <v>42612</v>
      </c>
      <c r="B3314">
        <v>1.3107880000000001</v>
      </c>
      <c r="C3314">
        <f t="shared" si="53"/>
        <v>-1.572910295364358E-3</v>
      </c>
      <c r="D3314">
        <f>(C3314-meanrtn)/stdevrtns</f>
        <v>-0.25267003519514036</v>
      </c>
    </row>
    <row r="3315" spans="1:4" x14ac:dyDescent="0.3">
      <c r="A3315" s="1">
        <v>42613</v>
      </c>
      <c r="B3315">
        <v>1.309072</v>
      </c>
      <c r="C3315">
        <f t="shared" si="53"/>
        <v>-1.3091361837307411E-3</v>
      </c>
      <c r="D3315">
        <f>(C3315-meanrtn)/stdevrtns</f>
        <v>-0.20895204646758497</v>
      </c>
    </row>
    <row r="3316" spans="1:4" x14ac:dyDescent="0.3">
      <c r="A3316" s="1">
        <v>42614</v>
      </c>
      <c r="B3316">
        <v>1.3133699999999999</v>
      </c>
      <c r="C3316">
        <f t="shared" si="53"/>
        <v>3.2832418690491531E-3</v>
      </c>
      <c r="D3316">
        <f>(C3316-meanrtn)/stdevrtns</f>
        <v>0.55218986659086511</v>
      </c>
    </row>
    <row r="3317" spans="1:4" x14ac:dyDescent="0.3">
      <c r="A3317" s="1">
        <v>42615</v>
      </c>
      <c r="B3317">
        <v>1.3274919999999999</v>
      </c>
      <c r="C3317">
        <f t="shared" si="53"/>
        <v>1.0752491681704295E-2</v>
      </c>
      <c r="D3317">
        <f>(C3317-meanrtn)/stdevrtns</f>
        <v>1.7901452409473861</v>
      </c>
    </row>
    <row r="3318" spans="1:4" x14ac:dyDescent="0.3">
      <c r="A3318" s="1">
        <v>42618</v>
      </c>
      <c r="B3318">
        <v>1.329434</v>
      </c>
      <c r="C3318">
        <f t="shared" si="53"/>
        <v>1.462909004348132E-3</v>
      </c>
      <c r="D3318">
        <f>(C3318-meanrtn)/stdevrtns</f>
        <v>0.25048743200950413</v>
      </c>
    </row>
    <row r="3319" spans="1:4" x14ac:dyDescent="0.3">
      <c r="A3319" s="1">
        <v>42619</v>
      </c>
      <c r="B3319">
        <v>1.3313809999999999</v>
      </c>
      <c r="C3319">
        <f t="shared" si="53"/>
        <v>1.4645330268369253E-3</v>
      </c>
      <c r="D3319">
        <f>(C3319-meanrtn)/stdevrtns</f>
        <v>0.25075659791217236</v>
      </c>
    </row>
    <row r="3320" spans="1:4" x14ac:dyDescent="0.3">
      <c r="A3320" s="1">
        <v>42620</v>
      </c>
      <c r="B3320">
        <v>1.3421019999999999</v>
      </c>
      <c r="C3320">
        <f t="shared" si="53"/>
        <v>8.0525409330612207E-3</v>
      </c>
      <c r="D3320">
        <f>(C3320-meanrtn)/stdevrtns</f>
        <v>1.3426547133019524</v>
      </c>
    </row>
    <row r="3321" spans="1:4" x14ac:dyDescent="0.3">
      <c r="A3321" s="1">
        <v>42621</v>
      </c>
      <c r="B3321">
        <v>1.3338669999999999</v>
      </c>
      <c r="C3321">
        <f t="shared" si="53"/>
        <v>-6.135897271593361E-3</v>
      </c>
      <c r="D3321">
        <f>(C3321-meanrtn)/stdevrtns</f>
        <v>-1.0089406637087017</v>
      </c>
    </row>
    <row r="3322" spans="1:4" x14ac:dyDescent="0.3">
      <c r="A3322" s="1">
        <v>42622</v>
      </c>
      <c r="B3322">
        <v>1.331026</v>
      </c>
      <c r="C3322">
        <f t="shared" si="53"/>
        <v>-2.1298975085221176E-3</v>
      </c>
      <c r="D3322">
        <f>(C3322-meanrtn)/stdevrtns</f>
        <v>-0.34498523836430572</v>
      </c>
    </row>
    <row r="3323" spans="1:4" x14ac:dyDescent="0.3">
      <c r="A3323" s="1">
        <v>42625</v>
      </c>
      <c r="B3323">
        <v>1.3273159999999999</v>
      </c>
      <c r="C3323">
        <f t="shared" si="53"/>
        <v>-2.7873234632532361E-3</v>
      </c>
      <c r="D3323">
        <f>(C3323-meanrtn)/stdevrtns</f>
        <v>-0.4539471842510166</v>
      </c>
    </row>
    <row r="3324" spans="1:4" x14ac:dyDescent="0.3">
      <c r="A3324" s="1">
        <v>42626</v>
      </c>
      <c r="B3324">
        <v>1.3338669999999999</v>
      </c>
      <c r="C3324">
        <f t="shared" si="53"/>
        <v>4.9355240199017974E-3</v>
      </c>
      <c r="D3324">
        <f>(C3324-meanrtn)/stdevrtns</f>
        <v>0.82603953287673182</v>
      </c>
    </row>
    <row r="3325" spans="1:4" x14ac:dyDescent="0.3">
      <c r="A3325" s="1">
        <v>42627</v>
      </c>
      <c r="B3325">
        <v>1.3194349999999999</v>
      </c>
      <c r="C3325">
        <f t="shared" si="53"/>
        <v>-1.081966942731172E-2</v>
      </c>
      <c r="D3325">
        <f>(C3325-meanrtn)/stdevrtns</f>
        <v>-1.7852302587640063</v>
      </c>
    </row>
    <row r="3326" spans="1:4" x14ac:dyDescent="0.3">
      <c r="A3326" s="1">
        <v>42628</v>
      </c>
      <c r="B3326">
        <v>1.3264359999999999</v>
      </c>
      <c r="C3326">
        <f t="shared" si="53"/>
        <v>5.3060590328436307E-3</v>
      </c>
      <c r="D3326">
        <f>(C3326-meanrtn)/stdevrtns</f>
        <v>0.88745210069330438</v>
      </c>
    </row>
    <row r="3327" spans="1:4" x14ac:dyDescent="0.3">
      <c r="A3327" s="1">
        <v>42629</v>
      </c>
      <c r="B3327">
        <v>1.324767</v>
      </c>
      <c r="C3327">
        <f t="shared" si="53"/>
        <v>-1.2582589736707392E-3</v>
      </c>
      <c r="D3327">
        <f>(C3327-meanrtn)/stdevrtns</f>
        <v>-0.20051964465939645</v>
      </c>
    </row>
    <row r="3328" spans="1:4" x14ac:dyDescent="0.3">
      <c r="A3328" s="1">
        <v>42632</v>
      </c>
      <c r="B3328">
        <v>1.3016259999999999</v>
      </c>
      <c r="C3328">
        <f t="shared" si="53"/>
        <v>-1.7467977387721823E-2</v>
      </c>
      <c r="D3328">
        <f>(C3328-meanrtn)/stdevrtns</f>
        <v>-2.8871225205574631</v>
      </c>
    </row>
    <row r="3329" spans="1:4" x14ac:dyDescent="0.3">
      <c r="A3329" s="1">
        <v>42633</v>
      </c>
      <c r="B3329">
        <v>1.3044610000000001</v>
      </c>
      <c r="C3329">
        <f t="shared" si="53"/>
        <v>2.1780449991012341E-3</v>
      </c>
      <c r="D3329">
        <f>(C3329-meanrtn)/stdevrtns</f>
        <v>0.3690142546899326</v>
      </c>
    </row>
    <row r="3330" spans="1:4" x14ac:dyDescent="0.3">
      <c r="A3330" s="1">
        <v>42634</v>
      </c>
      <c r="B3330">
        <v>1.2985329999999999</v>
      </c>
      <c r="C3330">
        <f t="shared" si="53"/>
        <v>-4.5444056970658031E-3</v>
      </c>
      <c r="D3330">
        <f>(C3330-meanrtn)/stdevrtns</f>
        <v>-0.74516644309133651</v>
      </c>
    </row>
    <row r="3331" spans="1:4" x14ac:dyDescent="0.3">
      <c r="A3331" s="1">
        <v>42635</v>
      </c>
      <c r="B3331">
        <v>1.3036110000000001</v>
      </c>
      <c r="C3331">
        <f t="shared" si="53"/>
        <v>3.9105667703478756E-3</v>
      </c>
      <c r="D3331">
        <f>(C3331-meanrtn)/stdevrtns</f>
        <v>0.65616285618275627</v>
      </c>
    </row>
    <row r="3332" spans="1:4" x14ac:dyDescent="0.3">
      <c r="A3332" s="1">
        <v>42636</v>
      </c>
      <c r="B3332">
        <v>1.308729</v>
      </c>
      <c r="C3332">
        <f t="shared" ref="C3332:C3395" si="54">(B3332-B3331)/B3331</f>
        <v>3.9260178074594001E-3</v>
      </c>
      <c r="D3332">
        <f>(C3332-meanrtn)/stdevrtns</f>
        <v>0.65872371502552596</v>
      </c>
    </row>
    <row r="3333" spans="1:4" x14ac:dyDescent="0.3">
      <c r="A3333" s="1">
        <v>42639</v>
      </c>
      <c r="B3333">
        <v>1.297858</v>
      </c>
      <c r="C3333">
        <f t="shared" si="54"/>
        <v>-8.3065325212477708E-3</v>
      </c>
      <c r="D3333">
        <f>(C3333-meanrtn)/stdevrtns</f>
        <v>-1.3687023051689393</v>
      </c>
    </row>
    <row r="3334" spans="1:4" x14ac:dyDescent="0.3">
      <c r="A3334" s="1">
        <v>42640</v>
      </c>
      <c r="B3334">
        <v>1.29695</v>
      </c>
      <c r="C3334">
        <f t="shared" si="54"/>
        <v>-6.9961428754140203E-4</v>
      </c>
      <c r="D3334">
        <f>(C3334-meanrtn)/stdevrtns</f>
        <v>-0.1079297314959906</v>
      </c>
    </row>
    <row r="3335" spans="1:4" x14ac:dyDescent="0.3">
      <c r="A3335" s="1">
        <v>42641</v>
      </c>
      <c r="B3335">
        <v>1.3012360000000001</v>
      </c>
      <c r="C3335">
        <f t="shared" si="54"/>
        <v>3.3046763560661643E-3</v>
      </c>
      <c r="D3335">
        <f>(C3335-meanrtn)/stdevrtns</f>
        <v>0.55574242395135476</v>
      </c>
    </row>
    <row r="3336" spans="1:4" x14ac:dyDescent="0.3">
      <c r="A3336" s="1">
        <v>42642</v>
      </c>
      <c r="B3336">
        <v>1.3039510000000001</v>
      </c>
      <c r="C3336">
        <f t="shared" si="54"/>
        <v>2.0864777795880402E-3</v>
      </c>
      <c r="D3336">
        <f>(C3336-meanrtn)/stdevrtns</f>
        <v>0.35383788030770447</v>
      </c>
    </row>
    <row r="3337" spans="1:4" x14ac:dyDescent="0.3">
      <c r="A3337" s="1">
        <v>42643</v>
      </c>
      <c r="B3337">
        <v>1.2963439999999999</v>
      </c>
      <c r="C3337">
        <f t="shared" si="54"/>
        <v>-5.8338081722397088E-3</v>
      </c>
      <c r="D3337">
        <f>(C3337-meanrtn)/stdevrtns</f>
        <v>-0.95887233911661851</v>
      </c>
    </row>
    <row r="3338" spans="1:4" x14ac:dyDescent="0.3">
      <c r="A3338" s="1">
        <v>42646</v>
      </c>
      <c r="B3338">
        <v>1.2931589999999999</v>
      </c>
      <c r="C3338">
        <f t="shared" si="54"/>
        <v>-2.4569095857272403E-3</v>
      </c>
      <c r="D3338">
        <f>(C3338-meanrtn)/stdevrtns</f>
        <v>-0.39918430368003188</v>
      </c>
    </row>
    <row r="3339" spans="1:4" x14ac:dyDescent="0.3">
      <c r="A3339" s="1">
        <v>42647</v>
      </c>
      <c r="B3339">
        <v>1.2848520000000001</v>
      </c>
      <c r="C3339">
        <f t="shared" si="54"/>
        <v>-6.4238040333786045E-3</v>
      </c>
      <c r="D3339">
        <f>(C3339-meanrtn)/stdevrtns</f>
        <v>-1.0566584040447862</v>
      </c>
    </row>
    <row r="3340" spans="1:4" x14ac:dyDescent="0.3">
      <c r="A3340" s="1">
        <v>42648</v>
      </c>
      <c r="B3340">
        <v>1.273237</v>
      </c>
      <c r="C3340">
        <f t="shared" si="54"/>
        <v>-9.0399516831511737E-3</v>
      </c>
      <c r="D3340">
        <f>(C3340-meanrtn)/stdevrtns</f>
        <v>-1.490259384649137</v>
      </c>
    </row>
    <row r="3341" spans="1:4" x14ac:dyDescent="0.3">
      <c r="A3341" s="1">
        <v>42649</v>
      </c>
      <c r="B3341">
        <v>1.2755099999999999</v>
      </c>
      <c r="C3341">
        <f t="shared" si="54"/>
        <v>1.7852135933843971E-3</v>
      </c>
      <c r="D3341">
        <f>(C3341-meanrtn)/stdevrtns</f>
        <v>0.30390627703209144</v>
      </c>
    </row>
    <row r="3342" spans="1:4" x14ac:dyDescent="0.3">
      <c r="A3342" s="1">
        <v>42650</v>
      </c>
      <c r="B3342">
        <v>1.2402329999999999</v>
      </c>
      <c r="C3342">
        <f t="shared" si="54"/>
        <v>-2.7657172425147591E-2</v>
      </c>
      <c r="D3342">
        <f>(C3342-meanrtn)/stdevrtns</f>
        <v>-4.5758823121467778</v>
      </c>
    </row>
    <row r="3343" spans="1:4" x14ac:dyDescent="0.3">
      <c r="A3343" s="1">
        <v>42653</v>
      </c>
      <c r="B3343">
        <v>1.2434719999999999</v>
      </c>
      <c r="C3343">
        <f t="shared" si="54"/>
        <v>2.6116060449931523E-3</v>
      </c>
      <c r="D3343">
        <f>(C3343-meanrtn)/stdevrtns</f>
        <v>0.44087277332779562</v>
      </c>
    </row>
    <row r="3344" spans="1:4" x14ac:dyDescent="0.3">
      <c r="A3344" s="1">
        <v>42654</v>
      </c>
      <c r="B3344">
        <v>1.234111</v>
      </c>
      <c r="C3344">
        <f t="shared" si="54"/>
        <v>-7.5281148268718182E-3</v>
      </c>
      <c r="D3344">
        <f>(C3344-meanrtn)/stdevrtns</f>
        <v>-1.2396871574074844</v>
      </c>
    </row>
    <row r="3345" spans="1:4" x14ac:dyDescent="0.3">
      <c r="A3345" s="1">
        <v>42655</v>
      </c>
      <c r="B3345">
        <v>1.2278979999999999</v>
      </c>
      <c r="C3345">
        <f t="shared" si="54"/>
        <v>-5.0343931785714769E-3</v>
      </c>
      <c r="D3345">
        <f>(C3345-meanrtn)/stdevrtns</f>
        <v>-0.82637709359999034</v>
      </c>
    </row>
    <row r="3346" spans="1:4" x14ac:dyDescent="0.3">
      <c r="A3346" s="1">
        <v>42656</v>
      </c>
      <c r="B3346">
        <v>1.218769</v>
      </c>
      <c r="C3346">
        <f t="shared" si="54"/>
        <v>-7.4346566245730049E-3</v>
      </c>
      <c r="D3346">
        <f>(C3346-meanrtn)/stdevrtns</f>
        <v>-1.2241973710547118</v>
      </c>
    </row>
    <row r="3347" spans="1:4" x14ac:dyDescent="0.3">
      <c r="A3347" s="1">
        <v>42657</v>
      </c>
      <c r="B3347">
        <v>1.2221949999999999</v>
      </c>
      <c r="C3347">
        <f t="shared" si="54"/>
        <v>2.8110330997916169E-3</v>
      </c>
      <c r="D3347">
        <f>(C3347-meanrtn)/stdevrtns</f>
        <v>0.47392586439747175</v>
      </c>
    </row>
    <row r="3348" spans="1:4" x14ac:dyDescent="0.3">
      <c r="A3348" s="1">
        <v>42660</v>
      </c>
      <c r="B3348">
        <v>1.218324</v>
      </c>
      <c r="C3348">
        <f t="shared" si="54"/>
        <v>-3.1672523615298362E-3</v>
      </c>
      <c r="D3348">
        <f>(C3348-meanrtn)/stdevrtns</f>
        <v>-0.51691669702564369</v>
      </c>
    </row>
    <row r="3349" spans="1:4" x14ac:dyDescent="0.3">
      <c r="A3349" s="1">
        <v>42661</v>
      </c>
      <c r="B3349">
        <v>1.2218960000000001</v>
      </c>
      <c r="C3349">
        <f t="shared" si="54"/>
        <v>2.9318966055007787E-3</v>
      </c>
      <c r="D3349">
        <f>(C3349-meanrtn)/stdevrtns</f>
        <v>0.49395781274691908</v>
      </c>
    </row>
    <row r="3350" spans="1:4" x14ac:dyDescent="0.3">
      <c r="A3350" s="1">
        <v>42662</v>
      </c>
      <c r="B3350">
        <v>1.2304660000000001</v>
      </c>
      <c r="C3350">
        <f t="shared" si="54"/>
        <v>7.0136901994932183E-3</v>
      </c>
      <c r="D3350">
        <f>(C3350-meanrtn)/stdevrtns</f>
        <v>1.1704753270139523</v>
      </c>
    </row>
    <row r="3351" spans="1:4" x14ac:dyDescent="0.3">
      <c r="A3351" s="1">
        <v>42663</v>
      </c>
      <c r="B3351">
        <v>1.2289540000000001</v>
      </c>
      <c r="C3351">
        <f t="shared" si="54"/>
        <v>-1.2288027462765796E-3</v>
      </c>
      <c r="D3351">
        <f>(C3351-meanrtn)/stdevrtns</f>
        <v>-0.19563756199708082</v>
      </c>
    </row>
    <row r="3352" spans="1:4" x14ac:dyDescent="0.3">
      <c r="A3352" s="1">
        <v>42664</v>
      </c>
      <c r="B3352">
        <v>1.2256400000000001</v>
      </c>
      <c r="C3352">
        <f t="shared" si="54"/>
        <v>-2.6966021510976316E-3</v>
      </c>
      <c r="D3352">
        <f>(C3352-meanrtn)/stdevrtns</f>
        <v>-0.43891101077059275</v>
      </c>
    </row>
    <row r="3353" spans="1:4" x14ac:dyDescent="0.3">
      <c r="A3353" s="1">
        <v>42667</v>
      </c>
      <c r="B3353">
        <v>1.221911</v>
      </c>
      <c r="C3353">
        <f t="shared" si="54"/>
        <v>-3.042492085767512E-3</v>
      </c>
      <c r="D3353">
        <f>(C3353-meanrtn)/stdevrtns</f>
        <v>-0.4962388970109099</v>
      </c>
    </row>
    <row r="3354" spans="1:4" x14ac:dyDescent="0.3">
      <c r="A3354" s="1">
        <v>42668</v>
      </c>
      <c r="B3354">
        <v>1.2217469999999999</v>
      </c>
      <c r="C3354">
        <f t="shared" si="54"/>
        <v>-1.342159944546313E-4</v>
      </c>
      <c r="D3354">
        <f>(C3354-meanrtn)/stdevrtns</f>
        <v>-1.4220473788092382E-2</v>
      </c>
    </row>
    <row r="3355" spans="1:4" x14ac:dyDescent="0.3">
      <c r="A3355" s="1">
        <v>42669</v>
      </c>
      <c r="B3355">
        <v>1.2175819999999999</v>
      </c>
      <c r="C3355">
        <f t="shared" si="54"/>
        <v>-3.4090527744287274E-3</v>
      </c>
      <c r="D3355">
        <f>(C3355-meanrtn)/stdevrtns</f>
        <v>-0.55699275930470149</v>
      </c>
    </row>
    <row r="3356" spans="1:4" x14ac:dyDescent="0.3">
      <c r="A3356" s="1">
        <v>42670</v>
      </c>
      <c r="B3356">
        <v>1.223541</v>
      </c>
      <c r="C3356">
        <f t="shared" si="54"/>
        <v>4.8941262272274456E-3</v>
      </c>
      <c r="D3356">
        <f>(C3356-meanrtn)/stdevrtns</f>
        <v>0.8191782521305877</v>
      </c>
    </row>
    <row r="3357" spans="1:4" x14ac:dyDescent="0.3">
      <c r="A3357" s="1">
        <v>42671</v>
      </c>
      <c r="B3357">
        <v>1.2171369999999999</v>
      </c>
      <c r="C3357">
        <f t="shared" si="54"/>
        <v>-5.2339888896245209E-3</v>
      </c>
      <c r="D3357">
        <f>(C3357-meanrtn)/stdevrtns</f>
        <v>-0.85945813780043767</v>
      </c>
    </row>
    <row r="3358" spans="1:4" x14ac:dyDescent="0.3">
      <c r="A3358" s="1">
        <v>42674</v>
      </c>
      <c r="B3358">
        <v>1.221598</v>
      </c>
      <c r="C3358">
        <f t="shared" si="54"/>
        <v>3.6651584825702025E-3</v>
      </c>
      <c r="D3358">
        <f>(C3358-meanrtn)/stdevrtns</f>
        <v>0.61548882379850445</v>
      </c>
    </row>
    <row r="3359" spans="1:4" x14ac:dyDescent="0.3">
      <c r="A3359" s="1">
        <v>42675</v>
      </c>
      <c r="B3359">
        <v>1.2236910000000001</v>
      </c>
      <c r="C3359">
        <f t="shared" si="54"/>
        <v>1.7133295896032267E-3</v>
      </c>
      <c r="D3359">
        <f>(C3359-meanrtn)/stdevrtns</f>
        <v>0.29199220385965718</v>
      </c>
    </row>
    <row r="3360" spans="1:4" x14ac:dyDescent="0.3">
      <c r="A3360" s="1">
        <v>42676</v>
      </c>
      <c r="B3360">
        <v>1.2238549999999999</v>
      </c>
      <c r="C3360">
        <f t="shared" si="54"/>
        <v>1.3402076177714058E-4</v>
      </c>
      <c r="D3360">
        <f>(C3360-meanrtn)/stdevrtns</f>
        <v>3.0237154796570083E-2</v>
      </c>
    </row>
    <row r="3361" spans="1:4" x14ac:dyDescent="0.3">
      <c r="A3361" s="1">
        <v>42677</v>
      </c>
      <c r="B3361">
        <v>1.2304660000000001</v>
      </c>
      <c r="C3361">
        <f t="shared" si="54"/>
        <v>5.4017837080374267E-3</v>
      </c>
      <c r="D3361">
        <f>(C3361-meanrtn)/stdevrtns</f>
        <v>0.90331753284338623</v>
      </c>
    </row>
    <row r="3362" spans="1:4" x14ac:dyDescent="0.3">
      <c r="A3362" s="1">
        <v>42678</v>
      </c>
      <c r="B3362">
        <v>1.246883</v>
      </c>
      <c r="C3362">
        <f t="shared" si="54"/>
        <v>1.3342099659803605E-2</v>
      </c>
      <c r="D3362">
        <f>(C3362-meanrtn)/stdevrtns</f>
        <v>2.2193475295805696</v>
      </c>
    </row>
    <row r="3363" spans="1:4" x14ac:dyDescent="0.3">
      <c r="A3363" s="1">
        <v>42681</v>
      </c>
      <c r="B3363">
        <v>1.248907</v>
      </c>
      <c r="C3363">
        <f t="shared" si="54"/>
        <v>1.6232477305408975E-3</v>
      </c>
      <c r="D3363">
        <f>(C3363-meanrtn)/stdevrtns</f>
        <v>0.27706201349846543</v>
      </c>
    </row>
    <row r="3364" spans="1:4" x14ac:dyDescent="0.3">
      <c r="A3364" s="1">
        <v>42682</v>
      </c>
      <c r="B3364">
        <v>1.2399260000000001</v>
      </c>
      <c r="C3364">
        <f t="shared" si="54"/>
        <v>-7.1910878872485347E-3</v>
      </c>
      <c r="D3364">
        <f>(C3364-meanrtn)/stdevrtns</f>
        <v>-1.1838282262330748</v>
      </c>
    </row>
    <row r="3365" spans="1:4" x14ac:dyDescent="0.3">
      <c r="A3365" s="1">
        <v>42683</v>
      </c>
      <c r="B3365">
        <v>1.23885</v>
      </c>
      <c r="C3365">
        <f t="shared" si="54"/>
        <v>-8.6779372317386427E-4</v>
      </c>
      <c r="D3365">
        <f>(C3365-meanrtn)/stdevrtns</f>
        <v>-0.13580383417290234</v>
      </c>
    </row>
    <row r="3366" spans="1:4" x14ac:dyDescent="0.3">
      <c r="A3366" s="1">
        <v>42684</v>
      </c>
      <c r="B3366">
        <v>1.2420819999999999</v>
      </c>
      <c r="C3366">
        <f t="shared" si="54"/>
        <v>2.6088711304838373E-3</v>
      </c>
      <c r="D3366">
        <f>(C3366-meanrtn)/stdevrtns</f>
        <v>0.44041948789751373</v>
      </c>
    </row>
    <row r="3367" spans="1:4" x14ac:dyDescent="0.3">
      <c r="A3367" s="1">
        <v>42685</v>
      </c>
      <c r="B3367">
        <v>1.2553350000000001</v>
      </c>
      <c r="C3367">
        <f t="shared" si="54"/>
        <v>1.0669987971808771E-2</v>
      </c>
      <c r="D3367">
        <f>(C3367-meanrtn)/stdevrtns</f>
        <v>1.7764710549673608</v>
      </c>
    </row>
    <row r="3368" spans="1:4" x14ac:dyDescent="0.3">
      <c r="A3368" s="1">
        <v>42688</v>
      </c>
      <c r="B3368">
        <v>1.257387</v>
      </c>
      <c r="C3368">
        <f t="shared" si="54"/>
        <v>1.6346234272126108E-3</v>
      </c>
      <c r="D3368">
        <f>(C3368-meanrtn)/stdevrtns</f>
        <v>0.27894742437439257</v>
      </c>
    </row>
    <row r="3369" spans="1:4" x14ac:dyDescent="0.3">
      <c r="A3369" s="1">
        <v>42689</v>
      </c>
      <c r="B3369">
        <v>1.252035</v>
      </c>
      <c r="C3369">
        <f t="shared" si="54"/>
        <v>-4.2564461060914608E-3</v>
      </c>
      <c r="D3369">
        <f>(C3369-meanrtn)/stdevrtns</f>
        <v>-0.69743994683193877</v>
      </c>
    </row>
    <row r="3370" spans="1:4" x14ac:dyDescent="0.3">
      <c r="A3370" s="1">
        <v>42690</v>
      </c>
      <c r="B3370">
        <v>1.2456400000000001</v>
      </c>
      <c r="C3370">
        <f t="shared" si="54"/>
        <v>-5.1076846893257201E-3</v>
      </c>
      <c r="D3370">
        <f>(C3370-meanrtn)/stdevrtns</f>
        <v>-0.83852444733813924</v>
      </c>
    </row>
    <row r="3371" spans="1:4" x14ac:dyDescent="0.3">
      <c r="A3371" s="1">
        <v>42691</v>
      </c>
      <c r="B3371">
        <v>1.244245</v>
      </c>
      <c r="C3371">
        <f t="shared" si="54"/>
        <v>-1.1199062329405247E-3</v>
      </c>
      <c r="D3371">
        <f>(C3371-meanrtn)/stdevrtns</f>
        <v>-0.17758902602434512</v>
      </c>
    </row>
    <row r="3372" spans="1:4" x14ac:dyDescent="0.3">
      <c r="A3372" s="1">
        <v>42692</v>
      </c>
      <c r="B3372">
        <v>1.2410030000000001</v>
      </c>
      <c r="C3372">
        <f t="shared" si="54"/>
        <v>-2.6055961647424479E-3</v>
      </c>
      <c r="D3372">
        <f>(C3372-meanrtn)/stdevrtns</f>
        <v>-0.42382765531551964</v>
      </c>
    </row>
    <row r="3373" spans="1:4" x14ac:dyDescent="0.3">
      <c r="A3373" s="1">
        <v>42695</v>
      </c>
      <c r="B3373">
        <v>1.2324379999999999</v>
      </c>
      <c r="C3373">
        <f t="shared" si="54"/>
        <v>-6.9016754995758715E-3</v>
      </c>
      <c r="D3373">
        <f>(C3373-meanrtn)/stdevrtns</f>
        <v>-1.1358609430773163</v>
      </c>
    </row>
    <row r="3374" spans="1:4" x14ac:dyDescent="0.3">
      <c r="A3374" s="1">
        <v>42696</v>
      </c>
      <c r="B3374">
        <v>1.2493749999999999</v>
      </c>
      <c r="C3374">
        <f t="shared" si="54"/>
        <v>1.3742679144914373E-2</v>
      </c>
      <c r="D3374">
        <f>(C3374-meanrtn)/stdevrtns</f>
        <v>2.2857396758988839</v>
      </c>
    </row>
    <row r="3375" spans="1:4" x14ac:dyDescent="0.3">
      <c r="A3375" s="1">
        <v>42697</v>
      </c>
      <c r="B3375">
        <v>1.2423900000000001</v>
      </c>
      <c r="C3375">
        <f t="shared" si="54"/>
        <v>-5.5907953976986873E-3</v>
      </c>
      <c r="D3375">
        <f>(C3375-meanrtn)/stdevrtns</f>
        <v>-0.91859533970890883</v>
      </c>
    </row>
    <row r="3376" spans="1:4" x14ac:dyDescent="0.3">
      <c r="A3376" s="1">
        <v>42698</v>
      </c>
      <c r="B3376">
        <v>1.243317</v>
      </c>
      <c r="C3376">
        <f t="shared" si="54"/>
        <v>7.4614251563510654E-4</v>
      </c>
      <c r="D3376">
        <f>(C3376-meanrtn)/stdevrtns</f>
        <v>0.13169037084312721</v>
      </c>
    </row>
    <row r="3377" spans="1:4" x14ac:dyDescent="0.3">
      <c r="A3377" s="1">
        <v>42699</v>
      </c>
      <c r="B3377">
        <v>1.2452829999999999</v>
      </c>
      <c r="C3377">
        <f t="shared" si="54"/>
        <v>1.5812540164736042E-3</v>
      </c>
      <c r="D3377">
        <f>(C3377-meanrtn)/stdevrtns</f>
        <v>0.27010196458823665</v>
      </c>
    </row>
    <row r="3378" spans="1:4" x14ac:dyDescent="0.3">
      <c r="A3378" s="1">
        <v>42702</v>
      </c>
      <c r="B3378">
        <v>1.2481279999999999</v>
      </c>
      <c r="C3378">
        <f t="shared" si="54"/>
        <v>2.2846212467366746E-3</v>
      </c>
      <c r="D3378">
        <f>(C3378-meanrtn)/stdevrtns</f>
        <v>0.38667822923199502</v>
      </c>
    </row>
    <row r="3379" spans="1:4" x14ac:dyDescent="0.3">
      <c r="A3379" s="1">
        <v>42703</v>
      </c>
      <c r="B3379">
        <v>1.2411570000000001</v>
      </c>
      <c r="C3379">
        <f t="shared" si="54"/>
        <v>-5.5851643421186278E-3</v>
      </c>
      <c r="D3379">
        <f>(C3379-meanrtn)/stdevrtns</f>
        <v>-0.91766204711681687</v>
      </c>
    </row>
    <row r="3380" spans="1:4" x14ac:dyDescent="0.3">
      <c r="A3380" s="1">
        <v>42704</v>
      </c>
      <c r="B3380">
        <v>1.2492190000000001</v>
      </c>
      <c r="C3380">
        <f t="shared" si="54"/>
        <v>6.4955521340168999E-3</v>
      </c>
      <c r="D3380">
        <f>(C3380-meanrtn)/stdevrtns</f>
        <v>1.0845989915179399</v>
      </c>
    </row>
    <row r="3381" spans="1:4" x14ac:dyDescent="0.3">
      <c r="A3381" s="1">
        <v>42705</v>
      </c>
      <c r="B3381">
        <v>1.2517210000000001</v>
      </c>
      <c r="C3381">
        <f t="shared" si="54"/>
        <v>2.0028513815431915E-3</v>
      </c>
      <c r="D3381">
        <f>(C3381-meanrtn)/stdevrtns</f>
        <v>0.33997761970666063</v>
      </c>
    </row>
    <row r="3382" spans="1:4" x14ac:dyDescent="0.3">
      <c r="A3382" s="1">
        <v>42706</v>
      </c>
      <c r="B3382">
        <v>1.2589699999999999</v>
      </c>
      <c r="C3382">
        <f t="shared" si="54"/>
        <v>5.7912266391630714E-3</v>
      </c>
      <c r="D3382">
        <f>(C3382-meanrtn)/stdevrtns</f>
        <v>0.96786390385581444</v>
      </c>
    </row>
    <row r="3383" spans="1:4" x14ac:dyDescent="0.3">
      <c r="A3383" s="1">
        <v>42709</v>
      </c>
      <c r="B3383">
        <v>1.266785</v>
      </c>
      <c r="C3383">
        <f t="shared" si="54"/>
        <v>6.2074553007618353E-3</v>
      </c>
      <c r="D3383">
        <f>(C3383-meanrtn)/stdevrtns</f>
        <v>1.036849748687833</v>
      </c>
    </row>
    <row r="3384" spans="1:4" x14ac:dyDescent="0.3">
      <c r="A3384" s="1">
        <v>42710</v>
      </c>
      <c r="B3384">
        <v>1.272848</v>
      </c>
      <c r="C3384">
        <f t="shared" si="54"/>
        <v>4.7861318218955307E-3</v>
      </c>
      <c r="D3384">
        <f>(C3384-meanrtn)/stdevrtns</f>
        <v>0.80127923176919003</v>
      </c>
    </row>
    <row r="3385" spans="1:4" x14ac:dyDescent="0.3">
      <c r="A3385" s="1">
        <v>42711</v>
      </c>
      <c r="B3385">
        <v>1.2671060000000001</v>
      </c>
      <c r="C3385">
        <f t="shared" si="54"/>
        <v>-4.5111435143865676E-3</v>
      </c>
      <c r="D3385">
        <f>(C3385-meanrtn)/stdevrtns</f>
        <v>-0.73965356042662478</v>
      </c>
    </row>
    <row r="3386" spans="1:4" x14ac:dyDescent="0.3">
      <c r="A3386" s="1">
        <v>42712</v>
      </c>
      <c r="B3386">
        <v>1.262786</v>
      </c>
      <c r="C3386">
        <f t="shared" si="54"/>
        <v>-3.4093438118043017E-3</v>
      </c>
      <c r="D3386">
        <f>(C3386-meanrtn)/stdevrtns</f>
        <v>-0.55704099591376766</v>
      </c>
    </row>
    <row r="3387" spans="1:4" x14ac:dyDescent="0.3">
      <c r="A3387" s="1">
        <v>42713</v>
      </c>
      <c r="B3387">
        <v>1.2584949999999999</v>
      </c>
      <c r="C3387">
        <f t="shared" si="54"/>
        <v>-3.3980421068970077E-3</v>
      </c>
      <c r="D3387">
        <f>(C3387-meanrtn)/stdevrtns</f>
        <v>-0.55516784845180023</v>
      </c>
    </row>
    <row r="3388" spans="1:4" x14ac:dyDescent="0.3">
      <c r="A3388" s="1">
        <v>42716</v>
      </c>
      <c r="B3388">
        <v>1.259763</v>
      </c>
      <c r="C3388">
        <f t="shared" si="54"/>
        <v>1.007552672040848E-3</v>
      </c>
      <c r="D3388">
        <f>(C3388-meanrtn)/stdevrtns</f>
        <v>0.17501655702658664</v>
      </c>
    </row>
    <row r="3389" spans="1:4" x14ac:dyDescent="0.3">
      <c r="A3389" s="1">
        <v>42717</v>
      </c>
      <c r="B3389">
        <v>1.2675879999999999</v>
      </c>
      <c r="C3389">
        <f t="shared" si="54"/>
        <v>6.2114858112200244E-3</v>
      </c>
      <c r="D3389">
        <f>(C3389-meanrtn)/stdevrtns</f>
        <v>1.0375177665220554</v>
      </c>
    </row>
    <row r="3390" spans="1:4" x14ac:dyDescent="0.3">
      <c r="A3390" s="1">
        <v>42718</v>
      </c>
      <c r="B3390">
        <v>1.2663040000000001</v>
      </c>
      <c r="C3390">
        <f t="shared" si="54"/>
        <v>-1.0129474245573805E-3</v>
      </c>
      <c r="D3390">
        <f>(C3390-meanrtn)/stdevrtns</f>
        <v>-0.15986164576611087</v>
      </c>
    </row>
    <row r="3391" spans="1:4" x14ac:dyDescent="0.3">
      <c r="A3391" s="1">
        <v>42719</v>
      </c>
      <c r="B3391">
        <v>1.253824</v>
      </c>
      <c r="C3391">
        <f t="shared" si="54"/>
        <v>-9.8554533508541757E-3</v>
      </c>
      <c r="D3391">
        <f>(C3391-meanrtn)/stdevrtns</f>
        <v>-1.6254208396347702</v>
      </c>
    </row>
    <row r="3392" spans="1:4" x14ac:dyDescent="0.3">
      <c r="A3392" s="1">
        <v>42720</v>
      </c>
      <c r="B3392">
        <v>1.2423900000000001</v>
      </c>
      <c r="C3392">
        <f t="shared" si="54"/>
        <v>-9.119302230616055E-3</v>
      </c>
      <c r="D3392">
        <f>(C3392-meanrtn)/stdevrtns</f>
        <v>-1.5034109646814244</v>
      </c>
    </row>
    <row r="3393" spans="1:4" x14ac:dyDescent="0.3">
      <c r="A3393" s="1">
        <v>42723</v>
      </c>
      <c r="B3393">
        <v>1.248907</v>
      </c>
      <c r="C3393">
        <f t="shared" si="54"/>
        <v>5.245534815959468E-3</v>
      </c>
      <c r="D3393">
        <f>(C3393-meanrtn)/stdevrtns</f>
        <v>0.87742080150666835</v>
      </c>
    </row>
    <row r="3394" spans="1:4" x14ac:dyDescent="0.3">
      <c r="A3394" s="1">
        <v>42724</v>
      </c>
      <c r="B3394">
        <v>1.239004</v>
      </c>
      <c r="C3394">
        <f t="shared" si="54"/>
        <v>-7.9293334091329413E-3</v>
      </c>
      <c r="D3394">
        <f>(C3394-meanrtn)/stdevrtns</f>
        <v>-1.3061852278509603</v>
      </c>
    </row>
    <row r="3395" spans="1:4" x14ac:dyDescent="0.3">
      <c r="A3395" s="1">
        <v>42725</v>
      </c>
      <c r="B3395">
        <v>1.2365520000000001</v>
      </c>
      <c r="C3395">
        <f t="shared" si="54"/>
        <v>-1.9790089458951695E-3</v>
      </c>
      <c r="D3395">
        <f>(C3395-meanrtn)/stdevrtns</f>
        <v>-0.31997692940180761</v>
      </c>
    </row>
    <row r="3396" spans="1:4" x14ac:dyDescent="0.3">
      <c r="A3396" s="1">
        <v>42726</v>
      </c>
      <c r="B3396">
        <v>1.2354830000000001</v>
      </c>
      <c r="C3396">
        <f t="shared" ref="C3396:C3459" si="55">(B3396-B3395)/B3395</f>
        <v>-8.6450064372544505E-4</v>
      </c>
      <c r="D3396">
        <f>(C3396-meanrtn)/stdevrtns</f>
        <v>-0.13525803834285172</v>
      </c>
    </row>
    <row r="3397" spans="1:4" x14ac:dyDescent="0.3">
      <c r="A3397" s="1">
        <v>42727</v>
      </c>
      <c r="B3397">
        <v>1.2285010000000001</v>
      </c>
      <c r="C3397">
        <f t="shared" si="55"/>
        <v>-5.651231137943657E-3</v>
      </c>
      <c r="D3397">
        <f>(C3397-meanrtn)/stdevrtns</f>
        <v>-0.92861197475473534</v>
      </c>
    </row>
    <row r="3398" spans="1:4" x14ac:dyDescent="0.3">
      <c r="A3398" s="1">
        <v>42730</v>
      </c>
      <c r="B3398">
        <v>1.2289540000000001</v>
      </c>
      <c r="C3398">
        <f t="shared" si="55"/>
        <v>3.6874206858605462E-4</v>
      </c>
      <c r="D3398">
        <f>(C3398-meanrtn)/stdevrtns</f>
        <v>6.9139924221654894E-2</v>
      </c>
    </row>
    <row r="3399" spans="1:4" x14ac:dyDescent="0.3">
      <c r="A3399" s="1">
        <v>42731</v>
      </c>
      <c r="B3399">
        <v>1.2275959999999999</v>
      </c>
      <c r="C3399">
        <f t="shared" si="55"/>
        <v>-1.105004743871774E-3</v>
      </c>
      <c r="D3399">
        <f>(C3399-meanrtn)/stdevrtns</f>
        <v>-0.17511924941474247</v>
      </c>
    </row>
    <row r="3400" spans="1:4" x14ac:dyDescent="0.3">
      <c r="A3400" s="1">
        <v>42732</v>
      </c>
      <c r="B3400">
        <v>1.2275959999999999</v>
      </c>
      <c r="C3400">
        <f t="shared" si="55"/>
        <v>0</v>
      </c>
      <c r="D3400">
        <f>(C3400-meanrtn)/stdevrtns</f>
        <v>8.0245194611897972E-3</v>
      </c>
    </row>
    <row r="3401" spans="1:4" x14ac:dyDescent="0.3">
      <c r="A3401" s="1">
        <v>42733</v>
      </c>
      <c r="B3401">
        <v>1.222494</v>
      </c>
      <c r="C3401">
        <f t="shared" si="55"/>
        <v>-4.1560904401773385E-3</v>
      </c>
      <c r="D3401">
        <f>(C3401-meanrtn)/stdevrtns</f>
        <v>-0.68080697309540339</v>
      </c>
    </row>
    <row r="3402" spans="1:4" x14ac:dyDescent="0.3">
      <c r="A3402" s="1">
        <v>42734</v>
      </c>
      <c r="B3402">
        <v>1.2288030000000001</v>
      </c>
      <c r="C3402">
        <f t="shared" si="55"/>
        <v>5.1607615252100376E-3</v>
      </c>
      <c r="D3402">
        <f>(C3402-meanrtn)/stdevrtns</f>
        <v>0.86337045461542683</v>
      </c>
    </row>
    <row r="3403" spans="1:4" x14ac:dyDescent="0.3">
      <c r="A3403" s="1">
        <v>42737</v>
      </c>
      <c r="B3403">
        <v>1.2349030000000001</v>
      </c>
      <c r="C3403">
        <f t="shared" si="55"/>
        <v>4.9641805887518133E-3</v>
      </c>
      <c r="D3403">
        <f>(C3403-meanrtn)/stdevrtns</f>
        <v>0.83078907992741269</v>
      </c>
    </row>
    <row r="3404" spans="1:4" x14ac:dyDescent="0.3">
      <c r="A3404" s="1">
        <v>42738</v>
      </c>
      <c r="B3404">
        <v>1.228199</v>
      </c>
      <c r="C3404">
        <f t="shared" si="55"/>
        <v>-5.428766469917105E-3</v>
      </c>
      <c r="D3404">
        <f>(C3404-meanrtn)/stdevrtns</f>
        <v>-0.8917406237763148</v>
      </c>
    </row>
    <row r="3405" spans="1:4" x14ac:dyDescent="0.3">
      <c r="A3405" s="1">
        <v>42739</v>
      </c>
      <c r="B3405">
        <v>1.2245600000000001</v>
      </c>
      <c r="C3405">
        <f t="shared" si="55"/>
        <v>-2.9628749087077483E-3</v>
      </c>
      <c r="D3405">
        <f>(C3405-meanrtn)/stdevrtns</f>
        <v>-0.48304312572137093</v>
      </c>
    </row>
    <row r="3406" spans="1:4" x14ac:dyDescent="0.3">
      <c r="A3406" s="1">
        <v>42740</v>
      </c>
      <c r="B3406">
        <v>1.2326809999999999</v>
      </c>
      <c r="C3406">
        <f t="shared" si="55"/>
        <v>6.6317697785325518E-3</v>
      </c>
      <c r="D3406">
        <f>(C3406-meanrtn)/stdevrtns</f>
        <v>1.107175738760297</v>
      </c>
    </row>
    <row r="3407" spans="1:4" x14ac:dyDescent="0.3">
      <c r="A3407" s="1">
        <v>42741</v>
      </c>
      <c r="B3407">
        <v>1.242545</v>
      </c>
      <c r="C3407">
        <f t="shared" si="55"/>
        <v>8.002070284201749E-3</v>
      </c>
      <c r="D3407">
        <f>(C3407-meanrtn)/stdevrtns</f>
        <v>1.3342896950511258</v>
      </c>
    </row>
    <row r="3408" spans="1:4" x14ac:dyDescent="0.3">
      <c r="A3408" s="1">
        <v>42744</v>
      </c>
      <c r="B3408">
        <v>1.226091</v>
      </c>
      <c r="C3408">
        <f t="shared" si="55"/>
        <v>-1.3242176339689885E-2</v>
      </c>
      <c r="D3408">
        <f>(C3408-meanrtn)/stdevrtns</f>
        <v>-2.1867371740251942</v>
      </c>
    </row>
    <row r="3409" spans="1:4" x14ac:dyDescent="0.3">
      <c r="A3409" s="1">
        <v>42745</v>
      </c>
      <c r="B3409">
        <v>1.2173449999999999</v>
      </c>
      <c r="C3409">
        <f t="shared" si="55"/>
        <v>-7.1332388868364108E-3</v>
      </c>
      <c r="D3409">
        <f>(C3409-meanrtn)/stdevrtns</f>
        <v>-1.1742403181087537</v>
      </c>
    </row>
    <row r="3410" spans="1:4" x14ac:dyDescent="0.3">
      <c r="A3410" s="1">
        <v>42746</v>
      </c>
      <c r="B3410">
        <v>1.2174339999999999</v>
      </c>
      <c r="C3410">
        <f t="shared" si="55"/>
        <v>7.3109923645314808E-5</v>
      </c>
      <c r="D3410">
        <f>(C3410-meanrtn)/stdevrtns</f>
        <v>2.0141776905460405E-2</v>
      </c>
    </row>
    <row r="3411" spans="1:4" x14ac:dyDescent="0.3">
      <c r="A3411" s="1">
        <v>42747</v>
      </c>
      <c r="B3411">
        <v>1.221449</v>
      </c>
      <c r="C3411">
        <f t="shared" si="55"/>
        <v>3.2979200515182772E-3</v>
      </c>
      <c r="D3411">
        <f>(C3411-meanrtn)/stdevrtns</f>
        <v>0.55462263230753062</v>
      </c>
    </row>
    <row r="3412" spans="1:4" x14ac:dyDescent="0.3">
      <c r="A3412" s="1">
        <v>42748</v>
      </c>
      <c r="B3412">
        <v>1.216545</v>
      </c>
      <c r="C3412">
        <f t="shared" si="55"/>
        <v>-4.014903610384076E-3</v>
      </c>
      <c r="D3412">
        <f>(C3412-meanrtn)/stdevrtns</f>
        <v>-0.65740663181416858</v>
      </c>
    </row>
    <row r="3413" spans="1:4" x14ac:dyDescent="0.3">
      <c r="A3413" s="1">
        <v>42751</v>
      </c>
      <c r="B3413">
        <v>1.203935</v>
      </c>
      <c r="C3413">
        <f t="shared" si="55"/>
        <v>-1.0365420103654209E-2</v>
      </c>
      <c r="D3413">
        <f>(C3413-meanrtn)/stdevrtns</f>
        <v>-1.7099428596778414</v>
      </c>
    </row>
    <row r="3414" spans="1:4" x14ac:dyDescent="0.3">
      <c r="A3414" s="1">
        <v>42752</v>
      </c>
      <c r="B3414">
        <v>1.204021</v>
      </c>
      <c r="C3414">
        <f t="shared" si="55"/>
        <v>7.1432427830431458E-5</v>
      </c>
      <c r="D3414">
        <f>(C3414-meanrtn)/stdevrtns</f>
        <v>1.9863748320049199E-2</v>
      </c>
    </row>
    <row r="3415" spans="1:4" x14ac:dyDescent="0.3">
      <c r="A3415" s="1">
        <v>42753</v>
      </c>
      <c r="B3415">
        <v>1.238804</v>
      </c>
      <c r="C3415">
        <f t="shared" si="55"/>
        <v>2.888903100527317E-2</v>
      </c>
      <c r="D3415">
        <f>(C3415-meanrtn)/stdevrtns</f>
        <v>4.7960999072111505</v>
      </c>
    </row>
    <row r="3416" spans="1:4" x14ac:dyDescent="0.3">
      <c r="A3416" s="1">
        <v>42754</v>
      </c>
      <c r="B3416">
        <v>1.2259709999999999</v>
      </c>
      <c r="C3416">
        <f t="shared" si="55"/>
        <v>-1.0359185149547543E-2</v>
      </c>
      <c r="D3416">
        <f>(C3416-meanrtn)/stdevrtns</f>
        <v>-1.7089094767894908</v>
      </c>
    </row>
    <row r="3417" spans="1:4" x14ac:dyDescent="0.3">
      <c r="A3417" s="1">
        <v>42755</v>
      </c>
      <c r="B3417">
        <v>1.2338370000000001</v>
      </c>
      <c r="C3417">
        <f t="shared" si="55"/>
        <v>6.4161387178001362E-3</v>
      </c>
      <c r="D3417">
        <f>(C3417-meanrtn)/stdevrtns</f>
        <v>1.0714369916026356</v>
      </c>
    </row>
    <row r="3418" spans="1:4" x14ac:dyDescent="0.3">
      <c r="A3418" s="1">
        <v>42758</v>
      </c>
      <c r="B3418">
        <v>1.2386969999999999</v>
      </c>
      <c r="C3418">
        <f t="shared" si="55"/>
        <v>3.9389319658916571E-3</v>
      </c>
      <c r="D3418">
        <f>(C3418-meanrtn)/stdevrtns</f>
        <v>0.66086411094713737</v>
      </c>
    </row>
    <row r="3419" spans="1:4" x14ac:dyDescent="0.3">
      <c r="A3419" s="1">
        <v>42759</v>
      </c>
      <c r="B3419">
        <v>1.2517210000000001</v>
      </c>
      <c r="C3419">
        <f t="shared" si="55"/>
        <v>1.0514274273692555E-2</v>
      </c>
      <c r="D3419">
        <f>(C3419-meanrtn)/stdevrtns</f>
        <v>1.7506630268147485</v>
      </c>
    </row>
    <row r="3420" spans="1:4" x14ac:dyDescent="0.3">
      <c r="A3420" s="1">
        <v>42760</v>
      </c>
      <c r="B3420">
        <v>1.253306</v>
      </c>
      <c r="C3420">
        <f t="shared" si="55"/>
        <v>1.2662566178884491E-3</v>
      </c>
      <c r="D3420">
        <f>(C3420-meanrtn)/stdevrtns</f>
        <v>0.21789421517997351</v>
      </c>
    </row>
    <row r="3421" spans="1:4" x14ac:dyDescent="0.3">
      <c r="A3421" s="1">
        <v>42761</v>
      </c>
      <c r="B3421">
        <v>1.2634080000000001</v>
      </c>
      <c r="C3421">
        <f t="shared" si="55"/>
        <v>8.0602821657281259E-3</v>
      </c>
      <c r="D3421">
        <f>(C3421-meanrtn)/stdevrtns</f>
        <v>1.3439377471841372</v>
      </c>
    </row>
    <row r="3422" spans="1:4" x14ac:dyDescent="0.3">
      <c r="A3422" s="1">
        <v>42762</v>
      </c>
      <c r="B3422">
        <v>1.259541</v>
      </c>
      <c r="C3422">
        <f t="shared" si="55"/>
        <v>-3.0607689677444377E-3</v>
      </c>
      <c r="D3422">
        <f>(C3422-meanrtn)/stdevrtns</f>
        <v>-0.49926811210443645</v>
      </c>
    </row>
    <row r="3423" spans="1:4" x14ac:dyDescent="0.3">
      <c r="A3423" s="1">
        <v>42765</v>
      </c>
      <c r="B3423">
        <v>1.2591920000000001</v>
      </c>
      <c r="C3423">
        <f t="shared" si="55"/>
        <v>-2.7708506511493687E-4</v>
      </c>
      <c r="D3423">
        <f>(C3423-meanrtn)/stdevrtns</f>
        <v>-3.7899630100896885E-2</v>
      </c>
    </row>
    <row r="3424" spans="1:4" x14ac:dyDescent="0.3">
      <c r="A3424" s="1">
        <v>42766</v>
      </c>
      <c r="B3424">
        <v>1.25</v>
      </c>
      <c r="C3424">
        <f t="shared" si="55"/>
        <v>-7.2999193133375115E-3</v>
      </c>
      <c r="D3424">
        <f>(C3424-meanrtn)/stdevrtns</f>
        <v>-1.2018659746288325</v>
      </c>
    </row>
    <row r="3425" spans="1:4" x14ac:dyDescent="0.3">
      <c r="A3425" s="1">
        <v>42767</v>
      </c>
      <c r="B3425">
        <v>1.2589699999999999</v>
      </c>
      <c r="C3425">
        <f t="shared" si="55"/>
        <v>7.1759999999999376E-3</v>
      </c>
      <c r="D3425">
        <f>(C3425-meanrtn)/stdevrtns</f>
        <v>1.1973765948638491</v>
      </c>
    </row>
    <row r="3426" spans="1:4" x14ac:dyDescent="0.3">
      <c r="A3426" s="1">
        <v>42768</v>
      </c>
      <c r="B3426">
        <v>1.266143</v>
      </c>
      <c r="C3426">
        <f t="shared" si="55"/>
        <v>5.6975146349794647E-3</v>
      </c>
      <c r="D3426">
        <f>(C3426-meanrtn)/stdevrtns</f>
        <v>0.9523320523137413</v>
      </c>
    </row>
    <row r="3427" spans="1:4" x14ac:dyDescent="0.3">
      <c r="A3427" s="1">
        <v>42769</v>
      </c>
      <c r="B3427">
        <v>1.252003</v>
      </c>
      <c r="C3427">
        <f t="shared" si="55"/>
        <v>-1.1167774887986618E-2</v>
      </c>
      <c r="D3427">
        <f>(C3427-meanrtn)/stdevrtns</f>
        <v>-1.8429253468510596</v>
      </c>
    </row>
    <row r="3428" spans="1:4" x14ac:dyDescent="0.3">
      <c r="A3428" s="1">
        <v>42772</v>
      </c>
      <c r="B3428">
        <v>1.248424</v>
      </c>
      <c r="C3428">
        <f t="shared" si="55"/>
        <v>-2.858619348356193E-3</v>
      </c>
      <c r="D3428">
        <f>(C3428-meanrtn)/stdevrtns</f>
        <v>-0.46576378248330091</v>
      </c>
    </row>
    <row r="3429" spans="1:4" x14ac:dyDescent="0.3">
      <c r="A3429" s="1">
        <v>42773</v>
      </c>
      <c r="B3429">
        <v>1.2468360000000001</v>
      </c>
      <c r="C3429">
        <f t="shared" si="55"/>
        <v>-1.2720037423182532E-3</v>
      </c>
      <c r="D3429">
        <f>(C3429-meanrtn)/stdevrtns</f>
        <v>-0.20279770613052941</v>
      </c>
    </row>
    <row r="3430" spans="1:4" x14ac:dyDescent="0.3">
      <c r="A3430" s="1">
        <v>42774</v>
      </c>
      <c r="B3430">
        <v>1.249625</v>
      </c>
      <c r="C3430">
        <f t="shared" si="55"/>
        <v>2.2368619449550146E-3</v>
      </c>
      <c r="D3430">
        <f>(C3430-meanrtn)/stdevrtns</f>
        <v>0.37876259033932508</v>
      </c>
    </row>
    <row r="3431" spans="1:4" x14ac:dyDescent="0.3">
      <c r="A3431" s="1">
        <v>42775</v>
      </c>
      <c r="B3431">
        <v>1.2528030000000001</v>
      </c>
      <c r="C3431">
        <f t="shared" si="55"/>
        <v>2.5431629488847658E-3</v>
      </c>
      <c r="D3431">
        <f>(C3431-meanrtn)/stdevrtns</f>
        <v>0.42952899707312814</v>
      </c>
    </row>
    <row r="3432" spans="1:4" x14ac:dyDescent="0.3">
      <c r="A3432" s="1">
        <v>42776</v>
      </c>
      <c r="B3432">
        <v>1.2498119999999999</v>
      </c>
      <c r="C3432">
        <f t="shared" si="55"/>
        <v>-2.3874463902147326E-3</v>
      </c>
      <c r="D3432">
        <f>(C3432-meanrtn)/stdevrtns</f>
        <v>-0.38767145588921492</v>
      </c>
    </row>
    <row r="3433" spans="1:4" x14ac:dyDescent="0.3">
      <c r="A3433" s="1">
        <v>42779</v>
      </c>
      <c r="B3433">
        <v>1.2484550000000001</v>
      </c>
      <c r="C3433">
        <f t="shared" si="55"/>
        <v>-1.0857632988000041E-3</v>
      </c>
      <c r="D3433">
        <f>(C3433-meanrtn)/stdevrtns</f>
        <v>-0.17193016738717054</v>
      </c>
    </row>
    <row r="3434" spans="1:4" x14ac:dyDescent="0.3">
      <c r="A3434" s="1">
        <v>42780</v>
      </c>
      <c r="B3434">
        <v>1.2523010000000001</v>
      </c>
      <c r="C3434">
        <f t="shared" si="55"/>
        <v>3.080607631031968E-3</v>
      </c>
      <c r="D3434">
        <f>(C3434-meanrtn)/stdevrtns</f>
        <v>0.51860521615421828</v>
      </c>
    </row>
    <row r="3435" spans="1:4" x14ac:dyDescent="0.3">
      <c r="A3435" s="1">
        <v>42781</v>
      </c>
      <c r="B3435">
        <v>1.2470380000000001</v>
      </c>
      <c r="C3435">
        <f t="shared" si="55"/>
        <v>-4.202663736593692E-3</v>
      </c>
      <c r="D3435">
        <f>(C3435-meanrtn)/stdevrtns</f>
        <v>-0.68852604315548327</v>
      </c>
    </row>
    <row r="3436" spans="1:4" x14ac:dyDescent="0.3">
      <c r="A3436" s="1">
        <v>42782</v>
      </c>
      <c r="B3436">
        <v>1.2469760000000001</v>
      </c>
      <c r="C3436">
        <f t="shared" si="55"/>
        <v>-4.9717811325722627E-5</v>
      </c>
      <c r="D3436">
        <f>(C3436-meanrtn)/stdevrtns</f>
        <v>-2.1572330424032458E-4</v>
      </c>
    </row>
    <row r="3437" spans="1:4" x14ac:dyDescent="0.3">
      <c r="A3437" s="1">
        <v>42783</v>
      </c>
      <c r="B3437">
        <v>1.248923</v>
      </c>
      <c r="C3437">
        <f t="shared" si="55"/>
        <v>1.5613772839252085E-3</v>
      </c>
      <c r="D3437">
        <f>(C3437-meanrtn)/stdevrtns</f>
        <v>0.26680758985180159</v>
      </c>
    </row>
    <row r="3438" spans="1:4" x14ac:dyDescent="0.3">
      <c r="A3438" s="1">
        <v>42786</v>
      </c>
      <c r="B3438">
        <v>1.2433940000000001</v>
      </c>
      <c r="C3438">
        <f t="shared" si="55"/>
        <v>-4.4270143155341803E-3</v>
      </c>
      <c r="D3438">
        <f>(C3438-meanrtn)/stdevrtns</f>
        <v>-0.72570996549113831</v>
      </c>
    </row>
    <row r="3439" spans="1:4" x14ac:dyDescent="0.3">
      <c r="A3439" s="1">
        <v>42787</v>
      </c>
      <c r="B3439">
        <v>1.2473339999999999</v>
      </c>
      <c r="C3439">
        <f t="shared" si="55"/>
        <v>3.1687461898640594E-3</v>
      </c>
      <c r="D3439">
        <f>(C3439-meanrtn)/stdevrtns</f>
        <v>0.53321332343821337</v>
      </c>
    </row>
    <row r="3440" spans="1:4" x14ac:dyDescent="0.3">
      <c r="A3440" s="1">
        <v>42788</v>
      </c>
      <c r="B3440">
        <v>1.248704</v>
      </c>
      <c r="C3440">
        <f t="shared" si="55"/>
        <v>1.0983425449800082E-3</v>
      </c>
      <c r="D3440">
        <f>(C3440-meanrtn)/stdevrtns</f>
        <v>0.19006409378881278</v>
      </c>
    </row>
    <row r="3441" spans="1:4" x14ac:dyDescent="0.3">
      <c r="A3441" s="1">
        <v>42789</v>
      </c>
      <c r="B3441">
        <v>1.245377</v>
      </c>
      <c r="C3441">
        <f t="shared" si="55"/>
        <v>-2.6643624109477346E-3</v>
      </c>
      <c r="D3441">
        <f>(C3441-meanrtn)/stdevrtns</f>
        <v>-0.4335675879922033</v>
      </c>
    </row>
    <row r="3442" spans="1:4" x14ac:dyDescent="0.3">
      <c r="A3442" s="1">
        <v>42790</v>
      </c>
      <c r="B3442">
        <v>1.255619</v>
      </c>
      <c r="C3442">
        <f t="shared" si="55"/>
        <v>8.2240156996637032E-3</v>
      </c>
      <c r="D3442">
        <f>(C3442-meanrtn)/stdevrtns</f>
        <v>1.3710749849766808</v>
      </c>
    </row>
    <row r="3443" spans="1:4" x14ac:dyDescent="0.3">
      <c r="A3443" s="1">
        <v>42793</v>
      </c>
      <c r="B3443">
        <v>1.2399560000000001</v>
      </c>
      <c r="C3443">
        <f t="shared" si="55"/>
        <v>-1.2474325412406137E-2</v>
      </c>
      <c r="D3443">
        <f>(C3443-meanrtn)/stdevrtns</f>
        <v>-2.0594733649442589</v>
      </c>
    </row>
    <row r="3444" spans="1:4" x14ac:dyDescent="0.3">
      <c r="A3444" s="1">
        <v>42794</v>
      </c>
      <c r="B3444">
        <v>1.2439359999999999</v>
      </c>
      <c r="C3444">
        <f t="shared" si="55"/>
        <v>3.209791315175597E-3</v>
      </c>
      <c r="D3444">
        <f>(C3444-meanrtn)/stdevrtns</f>
        <v>0.54001615300544292</v>
      </c>
    </row>
    <row r="3445" spans="1:4" x14ac:dyDescent="0.3">
      <c r="A3445" s="1">
        <v>42795</v>
      </c>
      <c r="B3445">
        <v>1.237808</v>
      </c>
      <c r="C3445">
        <f t="shared" si="55"/>
        <v>-4.9262984590846409E-3</v>
      </c>
      <c r="D3445">
        <f>(C3445-meanrtn)/stdevrtns</f>
        <v>-0.80846144714489876</v>
      </c>
    </row>
    <row r="3446" spans="1:4" x14ac:dyDescent="0.3">
      <c r="A3446" s="1">
        <v>42796</v>
      </c>
      <c r="B3446">
        <v>1.22722</v>
      </c>
      <c r="C3446">
        <f t="shared" si="55"/>
        <v>-8.5538306425552608E-3</v>
      </c>
      <c r="D3446">
        <f>(C3446-meanrtn)/stdevrtns</f>
        <v>-1.409689559045785</v>
      </c>
    </row>
    <row r="3447" spans="1:4" x14ac:dyDescent="0.3">
      <c r="A3447" s="1">
        <v>42797</v>
      </c>
      <c r="B3447">
        <v>1.227476</v>
      </c>
      <c r="C3447">
        <f t="shared" si="55"/>
        <v>2.0860155473349031E-4</v>
      </c>
      <c r="D3447">
        <f>(C3447-meanrtn)/stdevrtns</f>
        <v>4.2598194496655271E-2</v>
      </c>
    </row>
    <row r="3448" spans="1:4" x14ac:dyDescent="0.3">
      <c r="A3448" s="1">
        <v>42800</v>
      </c>
      <c r="B3448">
        <v>1.2300120000000001</v>
      </c>
      <c r="C3448">
        <f t="shared" si="55"/>
        <v>2.0660281748890357E-3</v>
      </c>
      <c r="D3448">
        <f>(C3448-meanrtn)/stdevrtns</f>
        <v>0.35044855759450422</v>
      </c>
    </row>
    <row r="3449" spans="1:4" x14ac:dyDescent="0.3">
      <c r="A3449" s="1">
        <v>42801</v>
      </c>
      <c r="B3449">
        <v>1.2242900000000001</v>
      </c>
      <c r="C3449">
        <f t="shared" si="55"/>
        <v>-4.6519871350848641E-3</v>
      </c>
      <c r="D3449">
        <f>(C3449-meanrtn)/stdevrtns</f>
        <v>-0.76299701814467735</v>
      </c>
    </row>
    <row r="3450" spans="1:4" x14ac:dyDescent="0.3">
      <c r="A3450" s="1">
        <v>42802</v>
      </c>
      <c r="B3450">
        <v>1.22045</v>
      </c>
      <c r="C3450">
        <f t="shared" si="55"/>
        <v>-3.1365117741712057E-3</v>
      </c>
      <c r="D3450">
        <f>(C3450-meanrtn)/stdevrtns</f>
        <v>-0.51182174421431648</v>
      </c>
    </row>
    <row r="3451" spans="1:4" x14ac:dyDescent="0.3">
      <c r="A3451" s="1">
        <v>42803</v>
      </c>
      <c r="B3451">
        <v>1.21773</v>
      </c>
      <c r="C3451">
        <f t="shared" si="55"/>
        <v>-2.2286861403581102E-3</v>
      </c>
      <c r="D3451">
        <f>(C3451-meanrtn)/stdevrtns</f>
        <v>-0.36135849147193227</v>
      </c>
    </row>
    <row r="3452" spans="1:4" x14ac:dyDescent="0.3">
      <c r="A3452" s="1">
        <v>42804</v>
      </c>
      <c r="B3452">
        <v>1.215732</v>
      </c>
      <c r="C3452">
        <f t="shared" si="55"/>
        <v>-1.6407578034539219E-3</v>
      </c>
      <c r="D3452">
        <f>(C3452-meanrtn)/stdevrtns</f>
        <v>-0.26391509853923489</v>
      </c>
    </row>
    <row r="3453" spans="1:4" x14ac:dyDescent="0.3">
      <c r="A3453" s="1">
        <v>42807</v>
      </c>
      <c r="B3453">
        <v>1.2171369999999999</v>
      </c>
      <c r="C3453">
        <f t="shared" si="55"/>
        <v>1.1556823378835784E-3</v>
      </c>
      <c r="D3453">
        <f>(C3453-meanrtn)/stdevrtns</f>
        <v>0.19956760573042659</v>
      </c>
    </row>
    <row r="3454" spans="1:4" x14ac:dyDescent="0.3">
      <c r="A3454" s="1">
        <v>42808</v>
      </c>
      <c r="B3454">
        <v>1.220599</v>
      </c>
      <c r="C3454">
        <f t="shared" si="55"/>
        <v>2.8443798849267388E-3</v>
      </c>
      <c r="D3454">
        <f>(C3454-meanrtn)/stdevrtns</f>
        <v>0.47945276909486084</v>
      </c>
    </row>
    <row r="3455" spans="1:4" x14ac:dyDescent="0.3">
      <c r="A3455" s="1">
        <v>42809</v>
      </c>
      <c r="B3455">
        <v>1.215746</v>
      </c>
      <c r="C3455">
        <f t="shared" si="55"/>
        <v>-3.9759167425174003E-3</v>
      </c>
      <c r="D3455">
        <f>(C3455-meanrtn)/stdevrtns</f>
        <v>-0.65094493836229006</v>
      </c>
    </row>
    <row r="3456" spans="1:4" x14ac:dyDescent="0.3">
      <c r="A3456" s="1">
        <v>42810</v>
      </c>
      <c r="B3456">
        <v>1.228426</v>
      </c>
      <c r="C3456">
        <f t="shared" si="55"/>
        <v>1.0429810174164689E-2</v>
      </c>
      <c r="D3456">
        <f>(C3456-meanrtn)/stdevrtns</f>
        <v>1.7366639253556508</v>
      </c>
    </row>
    <row r="3457" spans="1:4" x14ac:dyDescent="0.3">
      <c r="A3457" s="1">
        <v>42811</v>
      </c>
      <c r="B3457">
        <v>1.235117</v>
      </c>
      <c r="C3457">
        <f t="shared" si="55"/>
        <v>5.4468075407065643E-3</v>
      </c>
      <c r="D3457">
        <f>(C3457-meanrtn)/stdevrtns</f>
        <v>0.91077979438569689</v>
      </c>
    </row>
    <row r="3458" spans="1:4" x14ac:dyDescent="0.3">
      <c r="A3458" s="1">
        <v>42814</v>
      </c>
      <c r="B3458">
        <v>1.238451</v>
      </c>
      <c r="C3458">
        <f t="shared" si="55"/>
        <v>2.6993394148084335E-3</v>
      </c>
      <c r="D3458">
        <f>(C3458-meanrtn)/stdevrtns</f>
        <v>0.45541372448050949</v>
      </c>
    </row>
    <row r="3459" spans="1:4" x14ac:dyDescent="0.3">
      <c r="A3459" s="1">
        <v>42815</v>
      </c>
      <c r="B3459">
        <v>1.2367049999999999</v>
      </c>
      <c r="C3459">
        <f t="shared" si="55"/>
        <v>-1.409825661249436E-3</v>
      </c>
      <c r="D3459">
        <f>(C3459-meanrtn)/stdevrtns</f>
        <v>-0.22564034622484114</v>
      </c>
    </row>
    <row r="3460" spans="1:4" x14ac:dyDescent="0.3">
      <c r="A3460" s="1">
        <v>42816</v>
      </c>
      <c r="B3460">
        <v>1.2482059999999999</v>
      </c>
      <c r="C3460">
        <f t="shared" ref="C3460:C3523" si="56">(B3460-B3459)/B3459</f>
        <v>9.2997117340028416E-3</v>
      </c>
      <c r="D3460">
        <f>(C3460-meanrtn)/stdevrtns</f>
        <v>1.5493611208383971</v>
      </c>
    </row>
    <row r="3461" spans="1:4" x14ac:dyDescent="0.3">
      <c r="A3461" s="1">
        <v>42817</v>
      </c>
      <c r="B3461">
        <v>1.2475050000000001</v>
      </c>
      <c r="C3461">
        <f t="shared" si="56"/>
        <v>-5.61606016955407E-4</v>
      </c>
      <c r="D3461">
        <f>(C3461-meanrtn)/stdevrtns</f>
        <v>-8.5056205430747239E-2</v>
      </c>
    </row>
    <row r="3462" spans="1:4" x14ac:dyDescent="0.3">
      <c r="A3462" s="1">
        <v>42818</v>
      </c>
      <c r="B3462">
        <v>1.251878</v>
      </c>
      <c r="C3462">
        <f t="shared" si="56"/>
        <v>3.5053967719567937E-3</v>
      </c>
      <c r="D3462">
        <f>(C3462-meanrtn)/stdevrtns</f>
        <v>0.58900987701924878</v>
      </c>
    </row>
    <row r="3463" spans="1:4" x14ac:dyDescent="0.3">
      <c r="A3463" s="1">
        <v>42821</v>
      </c>
      <c r="B3463">
        <v>1.251455</v>
      </c>
      <c r="C3463">
        <f t="shared" si="56"/>
        <v>-3.3789235053260957E-4</v>
      </c>
      <c r="D3463">
        <f>(C3463-meanrtn)/stdevrtns</f>
        <v>-4.79778451386772E-2</v>
      </c>
    </row>
    <row r="3464" spans="1:4" x14ac:dyDescent="0.3">
      <c r="A3464" s="1">
        <v>42822</v>
      </c>
      <c r="B3464">
        <v>1.255792</v>
      </c>
      <c r="C3464">
        <f t="shared" si="56"/>
        <v>3.4655660810816494E-3</v>
      </c>
      <c r="D3464">
        <f>(C3464-meanrtn)/stdevrtns</f>
        <v>0.58240832812612231</v>
      </c>
    </row>
    <row r="3465" spans="1:4" x14ac:dyDescent="0.3">
      <c r="A3465" s="1">
        <v>42823</v>
      </c>
      <c r="B3465">
        <v>1.242143</v>
      </c>
      <c r="C3465">
        <f t="shared" si="56"/>
        <v>-1.0868838151541037E-2</v>
      </c>
      <c r="D3465">
        <f>(C3465-meanrtn)/stdevrtns</f>
        <v>-1.7933794956936384</v>
      </c>
    </row>
    <row r="3466" spans="1:4" x14ac:dyDescent="0.3">
      <c r="A3466" s="1">
        <v>42824</v>
      </c>
      <c r="B3466">
        <v>1.2440439999999999</v>
      </c>
      <c r="C3466">
        <f t="shared" si="56"/>
        <v>1.5304196054720999E-3</v>
      </c>
      <c r="D3466">
        <f>(C3466-meanrtn)/stdevrtns</f>
        <v>0.26167665630695019</v>
      </c>
    </row>
    <row r="3467" spans="1:4" x14ac:dyDescent="0.3">
      <c r="A3467" s="1">
        <v>42825</v>
      </c>
      <c r="B3467">
        <v>1.2478469999999999</v>
      </c>
      <c r="C3467">
        <f t="shared" si="56"/>
        <v>3.0569658307905518E-3</v>
      </c>
      <c r="D3467">
        <f>(C3467-meanrtn)/stdevrtns</f>
        <v>0.51468681813535211</v>
      </c>
    </row>
    <row r="3468" spans="1:4" x14ac:dyDescent="0.3">
      <c r="A3468" s="1">
        <v>42828</v>
      </c>
      <c r="B3468">
        <v>1.254076</v>
      </c>
      <c r="C3468">
        <f t="shared" si="56"/>
        <v>4.9917978726558947E-3</v>
      </c>
      <c r="D3468">
        <f>(C3468-meanrtn)/stdevrtns</f>
        <v>0.83536637562533689</v>
      </c>
    </row>
    <row r="3469" spans="1:4" x14ac:dyDescent="0.3">
      <c r="A3469" s="1">
        <v>42829</v>
      </c>
      <c r="B3469">
        <v>1.2492190000000001</v>
      </c>
      <c r="C3469">
        <f t="shared" si="56"/>
        <v>-3.8729710161105779E-3</v>
      </c>
      <c r="D3469">
        <f>(C3469-meanrtn)/stdevrtns</f>
        <v>-0.63388268733723585</v>
      </c>
    </row>
    <row r="3470" spans="1:4" x14ac:dyDescent="0.3">
      <c r="A3470" s="1">
        <v>42830</v>
      </c>
      <c r="B3470">
        <v>1.2439979999999999</v>
      </c>
      <c r="C3470">
        <f t="shared" si="56"/>
        <v>-4.1794112961779659E-3</v>
      </c>
      <c r="D3470">
        <f>(C3470-meanrtn)/stdevrtns</f>
        <v>-0.68467217773371336</v>
      </c>
    </row>
    <row r="3471" spans="1:4" x14ac:dyDescent="0.3">
      <c r="A3471" s="1">
        <v>42831</v>
      </c>
      <c r="B3471">
        <v>1.248907</v>
      </c>
      <c r="C3471">
        <f t="shared" si="56"/>
        <v>3.9461478233888255E-3</v>
      </c>
      <c r="D3471">
        <f>(C3471-meanrtn)/stdevrtns</f>
        <v>0.66206006901431502</v>
      </c>
    </row>
    <row r="3472" spans="1:4" x14ac:dyDescent="0.3">
      <c r="A3472" s="1">
        <v>42832</v>
      </c>
      <c r="B3472">
        <v>1.2468669999999999</v>
      </c>
      <c r="C3472">
        <f t="shared" si="56"/>
        <v>-1.6334282696790407E-3</v>
      </c>
      <c r="D3472">
        <f>(C3472-meanrtn)/stdevrtns</f>
        <v>-0.26270029973671416</v>
      </c>
    </row>
    <row r="3473" spans="1:4" x14ac:dyDescent="0.3">
      <c r="A3473" s="1">
        <v>42835</v>
      </c>
      <c r="B3473">
        <v>1.237517</v>
      </c>
      <c r="C3473">
        <f t="shared" si="56"/>
        <v>-7.4987949797371894E-3</v>
      </c>
      <c r="D3473">
        <f>(C3473-meanrtn)/stdevrtns</f>
        <v>-1.2348276784442653</v>
      </c>
    </row>
    <row r="3474" spans="1:4" x14ac:dyDescent="0.3">
      <c r="A3474" s="1">
        <v>42836</v>
      </c>
      <c r="B3474">
        <v>1.242545</v>
      </c>
      <c r="C3474">
        <f t="shared" si="56"/>
        <v>4.0629744884312967E-3</v>
      </c>
      <c r="D3474">
        <f>(C3474-meanrtn)/stdevrtns</f>
        <v>0.681422950359164</v>
      </c>
    </row>
    <row r="3475" spans="1:4" x14ac:dyDescent="0.3">
      <c r="A3475" s="1">
        <v>42837</v>
      </c>
      <c r="B3475">
        <v>1.2492350000000001</v>
      </c>
      <c r="C3475">
        <f t="shared" si="56"/>
        <v>5.3841108370321277E-3</v>
      </c>
      <c r="D3475">
        <f>(C3475-meanrtn)/stdevrtns</f>
        <v>0.90038842668278485</v>
      </c>
    </row>
    <row r="3476" spans="1:4" x14ac:dyDescent="0.3">
      <c r="A3476" s="1">
        <v>42838</v>
      </c>
      <c r="B3476">
        <v>1.2549889999999999</v>
      </c>
      <c r="C3476">
        <f t="shared" si="56"/>
        <v>4.6060188835565881E-3</v>
      </c>
      <c r="D3476">
        <f>(C3476-meanrtn)/stdevrtns</f>
        <v>0.77142726730147904</v>
      </c>
    </row>
    <row r="3477" spans="1:4" x14ac:dyDescent="0.3">
      <c r="A3477" s="1">
        <v>42839</v>
      </c>
      <c r="B3477">
        <v>1.2507820000000001</v>
      </c>
      <c r="C3477">
        <f t="shared" si="56"/>
        <v>-3.3522206170730181E-3</v>
      </c>
      <c r="D3477">
        <f>(C3477-meanrtn)/stdevrtns</f>
        <v>-0.5475733830086279</v>
      </c>
    </row>
    <row r="3478" spans="1:4" x14ac:dyDescent="0.3">
      <c r="A3478" s="1">
        <v>42842</v>
      </c>
      <c r="B3478">
        <v>1.2535099999999999</v>
      </c>
      <c r="C3478">
        <f t="shared" si="56"/>
        <v>2.1810355441634448E-3</v>
      </c>
      <c r="D3478">
        <f>(C3478-meanrtn)/stdevrtns</f>
        <v>0.36950990839343395</v>
      </c>
    </row>
    <row r="3479" spans="1:4" x14ac:dyDescent="0.3">
      <c r="A3479" s="1">
        <v>42843</v>
      </c>
      <c r="B3479">
        <v>1.2557769999999999</v>
      </c>
      <c r="C3479">
        <f t="shared" si="56"/>
        <v>1.8085216711474334E-3</v>
      </c>
      <c r="D3479">
        <f>(C3479-meanrtn)/stdevrtns</f>
        <v>0.30776936380203485</v>
      </c>
    </row>
    <row r="3480" spans="1:4" x14ac:dyDescent="0.3">
      <c r="A3480" s="1">
        <v>42844</v>
      </c>
      <c r="B3480">
        <v>1.284456</v>
      </c>
      <c r="C3480">
        <f t="shared" si="56"/>
        <v>2.2837653500581808E-2</v>
      </c>
      <c r="D3480">
        <f>(C3480-meanrtn)/stdevrtns</f>
        <v>3.793143051825183</v>
      </c>
    </row>
    <row r="3481" spans="1:4" x14ac:dyDescent="0.3">
      <c r="A3481" s="1">
        <v>42845</v>
      </c>
      <c r="B3481">
        <v>1.278233</v>
      </c>
      <c r="C3481">
        <f t="shared" si="56"/>
        <v>-4.8448526068624303E-3</v>
      </c>
      <c r="D3481">
        <f>(C3481-meanrtn)/stdevrtns</f>
        <v>-0.79496259076621623</v>
      </c>
    </row>
    <row r="3482" spans="1:4" x14ac:dyDescent="0.3">
      <c r="A3482" s="1">
        <v>42846</v>
      </c>
      <c r="B3482">
        <v>1.280197</v>
      </c>
      <c r="C3482">
        <f t="shared" si="56"/>
        <v>1.5364960848296648E-3</v>
      </c>
      <c r="D3482">
        <f>(C3482-meanrtn)/stdevrtns</f>
        <v>0.26268377354985173</v>
      </c>
    </row>
    <row r="3483" spans="1:4" x14ac:dyDescent="0.3">
      <c r="A3483" s="1">
        <v>42849</v>
      </c>
      <c r="B3483">
        <v>1.282627</v>
      </c>
      <c r="C3483">
        <f t="shared" si="56"/>
        <v>1.8981453635650858E-3</v>
      </c>
      <c r="D3483">
        <f>(C3483-meanrtn)/stdevrtns</f>
        <v>0.32262361750635277</v>
      </c>
    </row>
    <row r="3484" spans="1:4" x14ac:dyDescent="0.3">
      <c r="A3484" s="1">
        <v>42850</v>
      </c>
      <c r="B3484">
        <v>1.2776609999999999</v>
      </c>
      <c r="C3484">
        <f t="shared" si="56"/>
        <v>-3.8717413558267727E-3</v>
      </c>
      <c r="D3484">
        <f>(C3484-meanrtn)/stdevrtns</f>
        <v>-0.63367888312728826</v>
      </c>
    </row>
    <row r="3485" spans="1:4" x14ac:dyDescent="0.3">
      <c r="A3485" s="1">
        <v>42851</v>
      </c>
      <c r="B3485">
        <v>1.283236</v>
      </c>
      <c r="C3485">
        <f t="shared" si="56"/>
        <v>4.363442258940445E-3</v>
      </c>
      <c r="D3485">
        <f>(C3485-meanrtn)/stdevrtns</f>
        <v>0.73122255549387249</v>
      </c>
    </row>
    <row r="3486" spans="1:4" x14ac:dyDescent="0.3">
      <c r="A3486" s="1">
        <v>42852</v>
      </c>
      <c r="B3486">
        <v>1.2848349999999999</v>
      </c>
      <c r="C3486">
        <f t="shared" si="56"/>
        <v>1.2460685329899613E-3</v>
      </c>
      <c r="D3486">
        <f>(C3486-meanrtn)/stdevrtns</f>
        <v>0.2145482368253997</v>
      </c>
    </row>
    <row r="3487" spans="1:4" x14ac:dyDescent="0.3">
      <c r="A3487" s="1">
        <v>42853</v>
      </c>
      <c r="B3487">
        <v>1.289358</v>
      </c>
      <c r="C3487">
        <f t="shared" si="56"/>
        <v>3.5202963804691302E-3</v>
      </c>
      <c r="D3487">
        <f>(C3487-meanrtn)/stdevrtns</f>
        <v>0.59147934194495033</v>
      </c>
    </row>
    <row r="3488" spans="1:4" x14ac:dyDescent="0.3">
      <c r="A3488" s="1">
        <v>42856</v>
      </c>
      <c r="B3488">
        <v>1.2931589999999999</v>
      </c>
      <c r="C3488">
        <f t="shared" si="56"/>
        <v>2.9479787615231327E-3</v>
      </c>
      <c r="D3488">
        <f>(C3488-meanrtn)/stdevrtns</f>
        <v>0.49662327339939066</v>
      </c>
    </row>
    <row r="3489" spans="1:4" x14ac:dyDescent="0.3">
      <c r="A3489" s="1">
        <v>42857</v>
      </c>
      <c r="B3489">
        <v>1.2897400000000001</v>
      </c>
      <c r="C3489">
        <f t="shared" si="56"/>
        <v>-2.6439130841604467E-3</v>
      </c>
      <c r="D3489">
        <f>(C3489-meanrtn)/stdevrtns</f>
        <v>-0.43017831134016199</v>
      </c>
    </row>
    <row r="3490" spans="1:4" x14ac:dyDescent="0.3">
      <c r="A3490" s="1">
        <v>42858</v>
      </c>
      <c r="B3490">
        <v>1.294163</v>
      </c>
      <c r="C3490">
        <f t="shared" si="56"/>
        <v>3.4293733620728547E-3</v>
      </c>
      <c r="D3490">
        <f>(C3490-meanrtn)/stdevrtns</f>
        <v>0.57640973762060732</v>
      </c>
    </row>
    <row r="3491" spans="1:4" x14ac:dyDescent="0.3">
      <c r="A3491" s="1">
        <v>42859</v>
      </c>
      <c r="B3491">
        <v>1.287167</v>
      </c>
      <c r="C3491">
        <f t="shared" si="56"/>
        <v>-5.4058105509120586E-3</v>
      </c>
      <c r="D3491">
        <f>(C3491-meanrtn)/stdevrtns</f>
        <v>-0.88793590388899213</v>
      </c>
    </row>
    <row r="3492" spans="1:4" x14ac:dyDescent="0.3">
      <c r="A3492" s="1">
        <v>42860</v>
      </c>
      <c r="B3492">
        <v>1.2924910000000001</v>
      </c>
      <c r="C3492">
        <f t="shared" si="56"/>
        <v>4.13621542503817E-3</v>
      </c>
      <c r="D3492">
        <f>(C3492-meanrtn)/stdevrtns</f>
        <v>0.69356192192519239</v>
      </c>
    </row>
    <row r="3493" spans="1:4" x14ac:dyDescent="0.3">
      <c r="A3493" s="1">
        <v>42863</v>
      </c>
      <c r="B3493">
        <v>1.2965629999999999</v>
      </c>
      <c r="C3493">
        <f t="shared" si="56"/>
        <v>3.1505054967499607E-3</v>
      </c>
      <c r="D3493">
        <f>(C3493-meanrtn)/stdevrtns</f>
        <v>0.53019010629606778</v>
      </c>
    </row>
    <row r="3494" spans="1:4" x14ac:dyDescent="0.3">
      <c r="A3494" s="1">
        <v>42864</v>
      </c>
      <c r="B3494">
        <v>1.2943309999999999</v>
      </c>
      <c r="C3494">
        <f t="shared" si="56"/>
        <v>-1.7214743903690079E-3</v>
      </c>
      <c r="D3494">
        <f>(C3494-meanrtn)/stdevrtns</f>
        <v>-0.27729308629939065</v>
      </c>
    </row>
    <row r="3495" spans="1:4" x14ac:dyDescent="0.3">
      <c r="A3495" s="1">
        <v>42865</v>
      </c>
      <c r="B3495">
        <v>1.2948500000000001</v>
      </c>
      <c r="C3495">
        <f t="shared" si="56"/>
        <v>4.0097934763221949E-4</v>
      </c>
      <c r="D3495">
        <f>(C3495-meanrtn)/stdevrtns</f>
        <v>7.4482939096082321E-2</v>
      </c>
    </row>
    <row r="3496" spans="1:4" x14ac:dyDescent="0.3">
      <c r="A3496" s="1">
        <v>42866</v>
      </c>
      <c r="B3496">
        <v>1.293059</v>
      </c>
      <c r="C3496">
        <f t="shared" si="56"/>
        <v>-1.3831717959609977E-3</v>
      </c>
      <c r="D3496">
        <f>(C3496-meanrtn)/stdevrtns</f>
        <v>-0.22122272777468682</v>
      </c>
    </row>
    <row r="3497" spans="1:4" x14ac:dyDescent="0.3">
      <c r="A3497" s="1">
        <v>42867</v>
      </c>
      <c r="B3497">
        <v>1.289158</v>
      </c>
      <c r="C3497">
        <f t="shared" si="56"/>
        <v>-3.0168770334531776E-3</v>
      </c>
      <c r="D3497">
        <f>(C3497-meanrtn)/stdevrtns</f>
        <v>-0.49199345168878039</v>
      </c>
    </row>
    <row r="3498" spans="1:4" x14ac:dyDescent="0.3">
      <c r="A3498" s="1">
        <v>42870</v>
      </c>
      <c r="B3498">
        <v>1.2886599999999999</v>
      </c>
      <c r="C3498">
        <f t="shared" si="56"/>
        <v>-3.8629865385011726E-4</v>
      </c>
      <c r="D3498">
        <f>(C3498-meanrtn)/stdevrtns</f>
        <v>-5.6000718231381891E-2</v>
      </c>
    </row>
    <row r="3499" spans="1:4" x14ac:dyDescent="0.3">
      <c r="A3499" s="1">
        <v>42871</v>
      </c>
      <c r="B3499">
        <v>1.290306</v>
      </c>
      <c r="C3499">
        <f t="shared" si="56"/>
        <v>1.2772957956327009E-3</v>
      </c>
      <c r="D3499">
        <f>(C3499-meanrtn)/stdevrtns</f>
        <v>0.21972385132279193</v>
      </c>
    </row>
    <row r="3500" spans="1:4" x14ac:dyDescent="0.3">
      <c r="A3500" s="1">
        <v>42872</v>
      </c>
      <c r="B3500">
        <v>1.2916890000000001</v>
      </c>
      <c r="C3500">
        <f t="shared" si="56"/>
        <v>1.0718387731283388E-3</v>
      </c>
      <c r="D3500">
        <f>(C3500-meanrtn)/stdevrtns</f>
        <v>0.18567135186325792</v>
      </c>
    </row>
    <row r="3501" spans="1:4" x14ac:dyDescent="0.3">
      <c r="A3501" s="1">
        <v>42873</v>
      </c>
      <c r="B3501">
        <v>1.2970170000000001</v>
      </c>
      <c r="C3501">
        <f t="shared" si="56"/>
        <v>4.1248319061322029E-3</v>
      </c>
      <c r="D3501">
        <f>(C3501-meanrtn)/stdevrtns</f>
        <v>0.69167521459015935</v>
      </c>
    </row>
    <row r="3502" spans="1:4" x14ac:dyDescent="0.3">
      <c r="A3502" s="1">
        <v>42874</v>
      </c>
      <c r="B3502">
        <v>1.2958400000000001</v>
      </c>
      <c r="C3502">
        <f t="shared" si="56"/>
        <v>-9.0746690290102868E-4</v>
      </c>
      <c r="D3502">
        <f>(C3502-meanrtn)/stdevrtns</f>
        <v>-0.14237927712807599</v>
      </c>
    </row>
    <row r="3503" spans="1:4" x14ac:dyDescent="0.3">
      <c r="A3503" s="1">
        <v>42877</v>
      </c>
      <c r="B3503">
        <v>1.3012189999999999</v>
      </c>
      <c r="C3503">
        <f t="shared" si="56"/>
        <v>4.1509754290651622E-3</v>
      </c>
      <c r="D3503">
        <f>(C3503-meanrtn)/stdevrtns</f>
        <v>0.69600824876778644</v>
      </c>
    </row>
    <row r="3504" spans="1:4" x14ac:dyDescent="0.3">
      <c r="A3504" s="1">
        <v>42878</v>
      </c>
      <c r="B3504">
        <v>1.299528</v>
      </c>
      <c r="C3504">
        <f t="shared" si="56"/>
        <v>-1.2995506521191952E-3</v>
      </c>
      <c r="D3504">
        <f>(C3504-meanrtn)/stdevrtns</f>
        <v>-0.20736333800659973</v>
      </c>
    </row>
    <row r="3505" spans="1:4" x14ac:dyDescent="0.3">
      <c r="A3505" s="1">
        <v>42879</v>
      </c>
      <c r="B3505">
        <v>1.2956559999999999</v>
      </c>
      <c r="C3505">
        <f t="shared" si="56"/>
        <v>-2.9795433418903614E-3</v>
      </c>
      <c r="D3505">
        <f>(C3505-meanrtn)/stdevrtns</f>
        <v>-0.48580575610033577</v>
      </c>
    </row>
    <row r="3506" spans="1:4" x14ac:dyDescent="0.3">
      <c r="A3506" s="1">
        <v>42880</v>
      </c>
      <c r="B3506">
        <v>1.298027</v>
      </c>
      <c r="C3506">
        <f t="shared" si="56"/>
        <v>1.829961039041322E-3</v>
      </c>
      <c r="D3506">
        <f>(C3506-meanrtn)/stdevrtns</f>
        <v>0.31132273012030659</v>
      </c>
    </row>
    <row r="3507" spans="1:4" x14ac:dyDescent="0.3">
      <c r="A3507" s="1">
        <v>42881</v>
      </c>
      <c r="B3507">
        <v>1.293326</v>
      </c>
      <c r="C3507">
        <f t="shared" si="56"/>
        <v>-3.6216503971027306E-3</v>
      </c>
      <c r="D3507">
        <f>(C3507-meanrtn)/stdevrtns</f>
        <v>-0.59222874366270029</v>
      </c>
    </row>
    <row r="3508" spans="1:4" x14ac:dyDescent="0.3">
      <c r="A3508" s="1">
        <v>42884</v>
      </c>
      <c r="B3508">
        <v>1.2814270000000001</v>
      </c>
      <c r="C3508">
        <f t="shared" si="56"/>
        <v>-9.2003098986642821E-3</v>
      </c>
      <c r="D3508">
        <f>(C3508-meanrtn)/stdevrtns</f>
        <v>-1.5168371963030367</v>
      </c>
    </row>
    <row r="3509" spans="1:4" x14ac:dyDescent="0.3">
      <c r="A3509" s="1">
        <v>42885</v>
      </c>
      <c r="B3509">
        <v>1.2814110000000001</v>
      </c>
      <c r="C3509">
        <f t="shared" si="56"/>
        <v>-1.2486079971793946E-5</v>
      </c>
      <c r="D3509">
        <f>(C3509-meanrtn)/stdevrtns</f>
        <v>5.9550733731049549E-3</v>
      </c>
    </row>
    <row r="3510" spans="1:4" x14ac:dyDescent="0.3">
      <c r="A3510" s="1">
        <v>42886</v>
      </c>
      <c r="B3510">
        <v>1.280902</v>
      </c>
      <c r="C3510">
        <f t="shared" si="56"/>
        <v>-3.97218378802814E-4</v>
      </c>
      <c r="D3510">
        <f>(C3510-meanrtn)/stdevrtns</f>
        <v>-5.7810556237975569E-2</v>
      </c>
    </row>
    <row r="3511" spans="1:4" x14ac:dyDescent="0.3">
      <c r="A3511" s="1">
        <v>42887</v>
      </c>
      <c r="B3511">
        <v>1.2875479999999999</v>
      </c>
      <c r="C3511">
        <f t="shared" si="56"/>
        <v>5.1885312069150724E-3</v>
      </c>
      <c r="D3511">
        <f>(C3511-meanrtn)/stdevrtns</f>
        <v>0.86797300876385974</v>
      </c>
    </row>
    <row r="3512" spans="1:4" x14ac:dyDescent="0.3">
      <c r="A3512" s="1">
        <v>42888</v>
      </c>
      <c r="B3512">
        <v>1.288826</v>
      </c>
      <c r="C3512">
        <f t="shared" si="56"/>
        <v>9.9258435413678752E-4</v>
      </c>
      <c r="D3512">
        <f>(C3512-meanrtn)/stdevrtns</f>
        <v>0.17253570418872693</v>
      </c>
    </row>
    <row r="3513" spans="1:4" x14ac:dyDescent="0.3">
      <c r="A3513" s="1">
        <v>42891</v>
      </c>
      <c r="B3513">
        <v>1.2870010000000001</v>
      </c>
      <c r="C3513">
        <f t="shared" si="56"/>
        <v>-1.4160173677439511E-3</v>
      </c>
      <c r="D3513">
        <f>(C3513-meanrtn)/stdevrtns</f>
        <v>-0.22666656124289236</v>
      </c>
    </row>
    <row r="3514" spans="1:4" x14ac:dyDescent="0.3">
      <c r="A3514" s="1">
        <v>42892</v>
      </c>
      <c r="B3514">
        <v>1.2907390000000001</v>
      </c>
      <c r="C3514">
        <f t="shared" si="56"/>
        <v>2.9044266476871573E-3</v>
      </c>
      <c r="D3514">
        <f>(C3514-meanrtn)/stdevrtns</f>
        <v>0.48940493491290926</v>
      </c>
    </row>
    <row r="3515" spans="1:4" x14ac:dyDescent="0.3">
      <c r="A3515" s="1">
        <v>42893</v>
      </c>
      <c r="B3515">
        <v>1.290672</v>
      </c>
      <c r="C3515">
        <f t="shared" si="56"/>
        <v>-5.1908247910723429E-5</v>
      </c>
      <c r="D3515">
        <f>(C3515-meanrtn)/stdevrtns</f>
        <v>-5.7876682408545274E-4</v>
      </c>
    </row>
    <row r="3516" spans="1:4" x14ac:dyDescent="0.3">
      <c r="A3516" s="1">
        <v>42894</v>
      </c>
      <c r="B3516">
        <v>1.2962100000000001</v>
      </c>
      <c r="C3516">
        <f t="shared" si="56"/>
        <v>4.2907880545948488E-3</v>
      </c>
      <c r="D3516">
        <f>(C3516-meanrtn)/stdevrtns</f>
        <v>0.71918082908289638</v>
      </c>
    </row>
    <row r="3517" spans="1:4" x14ac:dyDescent="0.3">
      <c r="A3517" s="1">
        <v>42895</v>
      </c>
      <c r="B3517">
        <v>1.272297</v>
      </c>
      <c r="C3517">
        <f t="shared" si="56"/>
        <v>-1.8448399564885375E-2</v>
      </c>
      <c r="D3517">
        <f>(C3517-meanrtn)/stdevrtns</f>
        <v>-3.0496179429627412</v>
      </c>
    </row>
    <row r="3518" spans="1:4" x14ac:dyDescent="0.3">
      <c r="A3518" s="1">
        <v>42898</v>
      </c>
      <c r="B3518">
        <v>1.2739180000000001</v>
      </c>
      <c r="C3518">
        <f t="shared" si="56"/>
        <v>1.2740735850199243E-3</v>
      </c>
      <c r="D3518">
        <f>(C3518-meanrtn)/stdevrtns</f>
        <v>0.2191898013116868</v>
      </c>
    </row>
    <row r="3519" spans="1:4" x14ac:dyDescent="0.3">
      <c r="A3519" s="1">
        <v>42899</v>
      </c>
      <c r="B3519">
        <v>1.2669779999999999</v>
      </c>
      <c r="C3519">
        <f t="shared" si="56"/>
        <v>-5.4477603739017484E-3</v>
      </c>
      <c r="D3519">
        <f>(C3519-meanrtn)/stdevrtns</f>
        <v>-0.89488867828079288</v>
      </c>
    </row>
    <row r="3520" spans="1:4" x14ac:dyDescent="0.3">
      <c r="A3520" s="1">
        <v>42900</v>
      </c>
      <c r="B3520">
        <v>1.275055</v>
      </c>
      <c r="C3520">
        <f t="shared" si="56"/>
        <v>6.375012036515324E-3</v>
      </c>
      <c r="D3520">
        <f>(C3520-meanrtn)/stdevrtns</f>
        <v>1.0646206449275359</v>
      </c>
    </row>
    <row r="3521" spans="1:4" x14ac:dyDescent="0.3">
      <c r="A3521" s="1">
        <v>42901</v>
      </c>
      <c r="B3521">
        <v>1.2754449999999999</v>
      </c>
      <c r="C3521">
        <f t="shared" si="56"/>
        <v>3.0586915858522997E-4</v>
      </c>
      <c r="D3521">
        <f>(C3521-meanrtn)/stdevrtns</f>
        <v>5.871935203713901E-2</v>
      </c>
    </row>
    <row r="3522" spans="1:4" x14ac:dyDescent="0.3">
      <c r="A3522" s="1">
        <v>42902</v>
      </c>
      <c r="B3522">
        <v>1.275836</v>
      </c>
      <c r="C3522">
        <f t="shared" si="56"/>
        <v>3.0655967133042211E-4</v>
      </c>
      <c r="D3522">
        <f>(C3522-meanrtn)/stdevrtns</f>
        <v>5.8833797796139321E-2</v>
      </c>
    </row>
    <row r="3523" spans="1:4" x14ac:dyDescent="0.3">
      <c r="A3523" s="1">
        <v>42905</v>
      </c>
      <c r="B3523">
        <v>1.277955</v>
      </c>
      <c r="C3523">
        <f t="shared" si="56"/>
        <v>1.6608717734881144E-3</v>
      </c>
      <c r="D3523">
        <f>(C3523-meanrtn)/stdevrtns</f>
        <v>0.28329783199962366</v>
      </c>
    </row>
    <row r="3524" spans="1:4" x14ac:dyDescent="0.3">
      <c r="A3524" s="1">
        <v>42906</v>
      </c>
      <c r="B3524">
        <v>1.273237</v>
      </c>
      <c r="C3524">
        <f t="shared" ref="C3524:C3587" si="57">(B3524-B3523)/B3523</f>
        <v>-3.6918357845151044E-3</v>
      </c>
      <c r="D3524">
        <f>(C3524-meanrtn)/stdevrtns</f>
        <v>-0.60386128772371583</v>
      </c>
    </row>
    <row r="3525" spans="1:4" x14ac:dyDescent="0.3">
      <c r="A3525" s="1">
        <v>42907</v>
      </c>
      <c r="B3525">
        <v>1.2632479999999999</v>
      </c>
      <c r="C3525">
        <f t="shared" si="57"/>
        <v>-7.8453579341473938E-3</v>
      </c>
      <c r="D3525">
        <f>(C3525-meanrtn)/stdevrtns</f>
        <v>-1.2922671111484818</v>
      </c>
    </row>
    <row r="3526" spans="1:4" x14ac:dyDescent="0.3">
      <c r="A3526" s="1">
        <v>42908</v>
      </c>
      <c r="B3526">
        <v>1.2675719999999999</v>
      </c>
      <c r="C3526">
        <f t="shared" si="57"/>
        <v>3.4229224981951246E-3</v>
      </c>
      <c r="D3526">
        <f>(C3526-meanrtn)/stdevrtns</f>
        <v>0.57534056979157744</v>
      </c>
    </row>
    <row r="3527" spans="1:4" x14ac:dyDescent="0.3">
      <c r="A3527" s="1">
        <v>42909</v>
      </c>
      <c r="B3527">
        <v>1.2678130000000001</v>
      </c>
      <c r="C3527">
        <f t="shared" si="57"/>
        <v>1.9012726693249597E-4</v>
      </c>
      <c r="D3527">
        <f>(C3527-meanrtn)/stdevrtns</f>
        <v>3.9536261311357221E-2</v>
      </c>
    </row>
    <row r="3528" spans="1:4" x14ac:dyDescent="0.3">
      <c r="A3528" s="1">
        <v>42912</v>
      </c>
      <c r="B3528">
        <v>1.27434</v>
      </c>
      <c r="C3528">
        <f t="shared" si="57"/>
        <v>5.1482355836388717E-3</v>
      </c>
      <c r="D3528">
        <f>(C3528-meanrtn)/stdevrtns</f>
        <v>0.86129440185566664</v>
      </c>
    </row>
    <row r="3529" spans="1:4" x14ac:dyDescent="0.3">
      <c r="A3529" s="1">
        <v>42913</v>
      </c>
      <c r="B3529">
        <v>1.272459</v>
      </c>
      <c r="C3529">
        <f t="shared" si="57"/>
        <v>-1.476058194830282E-3</v>
      </c>
      <c r="D3529">
        <f>(C3529-meanrtn)/stdevrtns</f>
        <v>-0.23661774328079935</v>
      </c>
    </row>
    <row r="3530" spans="1:4" x14ac:dyDescent="0.3">
      <c r="A3530" s="1">
        <v>42914</v>
      </c>
      <c r="B3530">
        <v>1.281296</v>
      </c>
      <c r="C3530">
        <f t="shared" si="57"/>
        <v>6.9448210119147126E-3</v>
      </c>
      <c r="D3530">
        <f>(C3530-meanrtn)/stdevrtns</f>
        <v>1.1590609302500459</v>
      </c>
    </row>
    <row r="3531" spans="1:4" x14ac:dyDescent="0.3">
      <c r="A3531" s="1">
        <v>42915</v>
      </c>
      <c r="B3531">
        <v>1.2941469999999999</v>
      </c>
      <c r="C3531">
        <f t="shared" si="57"/>
        <v>1.0029688690201129E-2</v>
      </c>
      <c r="D3531">
        <f>(C3531-meanrtn)/stdevrtns</f>
        <v>1.6703476882646173</v>
      </c>
    </row>
    <row r="3532" spans="1:4" x14ac:dyDescent="0.3">
      <c r="A3532" s="1">
        <v>42916</v>
      </c>
      <c r="B3532">
        <v>1.301118</v>
      </c>
      <c r="C3532">
        <f t="shared" si="57"/>
        <v>5.3865596412154574E-3</v>
      </c>
      <c r="D3532">
        <f>(C3532-meanrtn)/stdevrtns</f>
        <v>0.90079429211445949</v>
      </c>
    </row>
    <row r="3533" spans="1:4" x14ac:dyDescent="0.3">
      <c r="A3533" s="1">
        <v>42919</v>
      </c>
      <c r="B3533">
        <v>1.3016430000000001</v>
      </c>
      <c r="C3533">
        <f t="shared" si="57"/>
        <v>4.0349914458189705E-4</v>
      </c>
      <c r="D3533">
        <f>(C3533-meanrtn)/stdevrtns</f>
        <v>7.4900570887009355E-2</v>
      </c>
    </row>
    <row r="3534" spans="1:4" x14ac:dyDescent="0.3">
      <c r="A3534" s="1">
        <v>42920</v>
      </c>
      <c r="B3534">
        <v>1.294867</v>
      </c>
      <c r="C3534">
        <f t="shared" si="57"/>
        <v>-5.2057284524252151E-3</v>
      </c>
      <c r="D3534">
        <f>(C3534-meanrtn)/stdevrtns</f>
        <v>-0.85477424571086391</v>
      </c>
    </row>
    <row r="3535" spans="1:4" x14ac:dyDescent="0.3">
      <c r="A3535" s="1">
        <v>42921</v>
      </c>
      <c r="B3535">
        <v>1.2934939999999999</v>
      </c>
      <c r="C3535">
        <f t="shared" si="57"/>
        <v>-1.060340560073018E-3</v>
      </c>
      <c r="D3535">
        <f>(C3535-meanrtn)/stdevrtns</f>
        <v>-0.16771659616819609</v>
      </c>
    </row>
    <row r="3536" spans="1:4" x14ac:dyDescent="0.3">
      <c r="A3536" s="1">
        <v>42922</v>
      </c>
      <c r="B3536">
        <v>1.2931760000000001</v>
      </c>
      <c r="C3536">
        <f t="shared" si="57"/>
        <v>-2.4584574802806848E-4</v>
      </c>
      <c r="D3536">
        <f>(C3536-meanrtn)/stdevrtns</f>
        <v>-3.2722017696851589E-2</v>
      </c>
    </row>
    <row r="3537" spans="1:4" x14ac:dyDescent="0.3">
      <c r="A3537" s="1">
        <v>42923</v>
      </c>
      <c r="B3537">
        <v>1.297353</v>
      </c>
      <c r="C3537">
        <f t="shared" si="57"/>
        <v>3.2300321069984868E-3</v>
      </c>
      <c r="D3537">
        <f>(C3537-meanrtn)/stdevrtns</f>
        <v>0.54337086701914794</v>
      </c>
    </row>
    <row r="3538" spans="1:4" x14ac:dyDescent="0.3">
      <c r="A3538" s="1">
        <v>42926</v>
      </c>
      <c r="B3538">
        <v>1.2891250000000001</v>
      </c>
      <c r="C3538">
        <f t="shared" si="57"/>
        <v>-6.3421443508435271E-3</v>
      </c>
      <c r="D3538">
        <f>(C3538-meanrtn)/stdevrtns</f>
        <v>-1.0431241073753579</v>
      </c>
    </row>
    <row r="3539" spans="1:4" x14ac:dyDescent="0.3">
      <c r="A3539" s="1">
        <v>42928</v>
      </c>
      <c r="B3539">
        <v>1.2859590000000001</v>
      </c>
      <c r="C3539">
        <f t="shared" si="57"/>
        <v>-2.4559294094831782E-3</v>
      </c>
      <c r="D3539">
        <f>(C3539-meanrtn)/stdevrtns</f>
        <v>-0.39902184901864174</v>
      </c>
    </row>
    <row r="3540" spans="1:4" x14ac:dyDescent="0.3">
      <c r="A3540" s="1">
        <v>42929</v>
      </c>
      <c r="B3540">
        <v>1.289374</v>
      </c>
      <c r="C3540">
        <f t="shared" si="57"/>
        <v>2.6556056608336236E-3</v>
      </c>
      <c r="D3540">
        <f>(C3540-meanrtn)/stdevrtns</f>
        <v>0.44816528091095958</v>
      </c>
    </row>
    <row r="3541" spans="1:4" x14ac:dyDescent="0.3">
      <c r="A3541" s="1">
        <v>42930</v>
      </c>
      <c r="B3541">
        <v>1.294716</v>
      </c>
      <c r="C3541">
        <f t="shared" si="57"/>
        <v>4.1430957968750402E-3</v>
      </c>
      <c r="D3541">
        <f>(C3541-meanrtn)/stdevrtns</f>
        <v>0.69470227651322525</v>
      </c>
    </row>
    <row r="3542" spans="1:4" x14ac:dyDescent="0.3">
      <c r="A3542" s="1">
        <v>42933</v>
      </c>
      <c r="B3542">
        <v>1.311131</v>
      </c>
      <c r="C3542">
        <f t="shared" si="57"/>
        <v>1.2678456124740924E-2</v>
      </c>
      <c r="D3542">
        <f>(C3542-meanrtn)/stdevrtns</f>
        <v>2.1093550803394376</v>
      </c>
    </row>
    <row r="3543" spans="1:4" x14ac:dyDescent="0.3">
      <c r="A3543" s="1">
        <v>42934</v>
      </c>
      <c r="B3543">
        <v>1.3053129999999999</v>
      </c>
      <c r="C3543">
        <f t="shared" si="57"/>
        <v>-4.4373903141639555E-3</v>
      </c>
      <c r="D3543">
        <f>(C3543-meanrtn)/stdevrtns</f>
        <v>-0.72742968615790227</v>
      </c>
    </row>
    <row r="3544" spans="1:4" x14ac:dyDescent="0.3">
      <c r="A3544" s="1">
        <v>42935</v>
      </c>
      <c r="B3544">
        <v>1.303866</v>
      </c>
      <c r="C3544">
        <f t="shared" si="57"/>
        <v>-1.1085463792975142E-3</v>
      </c>
      <c r="D3544">
        <f>(C3544-meanrtn)/stdevrtns</f>
        <v>-0.17570624097604731</v>
      </c>
    </row>
    <row r="3545" spans="1:4" x14ac:dyDescent="0.3">
      <c r="A3545" s="1">
        <v>42936</v>
      </c>
      <c r="B3545">
        <v>1.3032710000000001</v>
      </c>
      <c r="C3545">
        <f t="shared" si="57"/>
        <v>-4.5633523690310292E-4</v>
      </c>
      <c r="D3545">
        <f>(C3545-meanrtn)/stdevrtns</f>
        <v>-6.7608599419812759E-2</v>
      </c>
    </row>
    <row r="3546" spans="1:4" x14ac:dyDescent="0.3">
      <c r="A3546" s="1">
        <v>42937</v>
      </c>
      <c r="B3546">
        <v>1.296546</v>
      </c>
      <c r="C3546">
        <f t="shared" si="57"/>
        <v>-5.1600933343871622E-3</v>
      </c>
      <c r="D3546">
        <f>(C3546-meanrtn)/stdevrtns</f>
        <v>-0.847210669575161</v>
      </c>
    </row>
    <row r="3547" spans="1:4" x14ac:dyDescent="0.3">
      <c r="A3547" s="1">
        <v>42940</v>
      </c>
      <c r="B3547">
        <v>1.300475</v>
      </c>
      <c r="C3547">
        <f t="shared" si="57"/>
        <v>3.0303591233940574E-3</v>
      </c>
      <c r="D3547">
        <f>(C3547-meanrtn)/stdevrtns</f>
        <v>0.51027701564627015</v>
      </c>
    </row>
    <row r="3548" spans="1:4" x14ac:dyDescent="0.3">
      <c r="A3548" s="1">
        <v>42941</v>
      </c>
      <c r="B3548">
        <v>1.3031010000000001</v>
      </c>
      <c r="C3548">
        <f t="shared" si="57"/>
        <v>2.0192621926603872E-3</v>
      </c>
      <c r="D3548">
        <f>(C3548-meanrtn)/stdevrtns</f>
        <v>0.34269755173861133</v>
      </c>
    </row>
    <row r="3549" spans="1:4" x14ac:dyDescent="0.3">
      <c r="A3549" s="1">
        <v>42942</v>
      </c>
      <c r="B3549">
        <v>1.302762</v>
      </c>
      <c r="C3549">
        <f t="shared" si="57"/>
        <v>-2.6014867611957111E-4</v>
      </c>
      <c r="D3549">
        <f>(C3549-meanrtn)/stdevrtns</f>
        <v>-3.5092588656991476E-2</v>
      </c>
    </row>
    <row r="3550" spans="1:4" x14ac:dyDescent="0.3">
      <c r="A3550" s="1">
        <v>42943</v>
      </c>
      <c r="B3550">
        <v>1.3114749999999999</v>
      </c>
      <c r="C3550">
        <f t="shared" si="57"/>
        <v>6.6880980562834735E-3</v>
      </c>
      <c r="D3550">
        <f>(C3550-meanrtn)/stdevrtns</f>
        <v>1.116511601921796</v>
      </c>
    </row>
    <row r="3551" spans="1:4" x14ac:dyDescent="0.3">
      <c r="A3551" s="1">
        <v>42944</v>
      </c>
      <c r="B3551">
        <v>1.3076680000000001</v>
      </c>
      <c r="C3551">
        <f t="shared" si="57"/>
        <v>-2.9028384071369214E-3</v>
      </c>
      <c r="D3551">
        <f>(C3551-meanrtn)/stdevrtns</f>
        <v>-0.47309266059550992</v>
      </c>
    </row>
    <row r="3552" spans="1:4" x14ac:dyDescent="0.3">
      <c r="A3552" s="1">
        <v>42947</v>
      </c>
      <c r="B3552">
        <v>1.314492</v>
      </c>
      <c r="C3552">
        <f t="shared" si="57"/>
        <v>5.2184499429518355E-3</v>
      </c>
      <c r="D3552">
        <f>(C3552-meanrtn)/stdevrtns</f>
        <v>0.87293174772689608</v>
      </c>
    </row>
    <row r="3553" spans="1:4" x14ac:dyDescent="0.3">
      <c r="A3553" s="1">
        <v>42948</v>
      </c>
      <c r="B3553">
        <v>1.3195399999999999</v>
      </c>
      <c r="C3553">
        <f t="shared" si="57"/>
        <v>3.8402668102962526E-3</v>
      </c>
      <c r="D3553">
        <f>(C3553-meanrtn)/stdevrtns</f>
        <v>0.64451132282320733</v>
      </c>
    </row>
    <row r="3554" spans="1:4" x14ac:dyDescent="0.3">
      <c r="A3554" s="1">
        <v>42949</v>
      </c>
      <c r="B3554">
        <v>1.3207949999999999</v>
      </c>
      <c r="C3554">
        <f t="shared" si="57"/>
        <v>9.5108901586917123E-4</v>
      </c>
      <c r="D3554">
        <f>(C3554-meanrtn)/stdevrtns</f>
        <v>0.16565825621100602</v>
      </c>
    </row>
    <row r="3555" spans="1:4" x14ac:dyDescent="0.3">
      <c r="A3555" s="1">
        <v>42950</v>
      </c>
      <c r="B3555">
        <v>1.3228390000000001</v>
      </c>
      <c r="C3555">
        <f t="shared" si="57"/>
        <v>1.5475527996397299E-3</v>
      </c>
      <c r="D3555">
        <f>(C3555-meanrtn)/stdevrtns</f>
        <v>0.26451631629044348</v>
      </c>
    </row>
    <row r="3556" spans="1:4" x14ac:dyDescent="0.3">
      <c r="A3556" s="1">
        <v>42951</v>
      </c>
      <c r="B3556">
        <v>1.314406</v>
      </c>
      <c r="C3556">
        <f t="shared" si="57"/>
        <v>-6.3749254444419425E-3</v>
      </c>
      <c r="D3556">
        <f>(C3556-meanrtn)/stdevrtns</f>
        <v>-1.0485572542127666</v>
      </c>
    </row>
    <row r="3557" spans="1:4" x14ac:dyDescent="0.3">
      <c r="A3557" s="1">
        <v>42954</v>
      </c>
      <c r="B3557">
        <v>1.3047</v>
      </c>
      <c r="C3557">
        <f t="shared" si="57"/>
        <v>-7.3843241738093049E-3</v>
      </c>
      <c r="D3557">
        <f>(C3557-meanrtn)/stdevrtns</f>
        <v>-1.2158552577916253</v>
      </c>
    </row>
    <row r="3558" spans="1:4" x14ac:dyDescent="0.3">
      <c r="A3558" s="1">
        <v>42955</v>
      </c>
      <c r="B3558">
        <v>1.3037810000000001</v>
      </c>
      <c r="C3558">
        <f t="shared" si="57"/>
        <v>-7.0437648501562981E-4</v>
      </c>
      <c r="D3558">
        <f>(C3558-meanrtn)/stdevrtns</f>
        <v>-0.10871901932339446</v>
      </c>
    </row>
    <row r="3559" spans="1:4" x14ac:dyDescent="0.3">
      <c r="A3559" s="1">
        <v>42956</v>
      </c>
      <c r="B3559">
        <v>1.2986169999999999</v>
      </c>
      <c r="C3559">
        <f t="shared" si="57"/>
        <v>-3.9607878930588555E-3</v>
      </c>
      <c r="D3559">
        <f>(C3559-meanrtn)/stdevrtns</f>
        <v>-0.6484374789835311</v>
      </c>
    </row>
    <row r="3560" spans="1:4" x14ac:dyDescent="0.3">
      <c r="A3560" s="1">
        <v>42957</v>
      </c>
      <c r="B3560">
        <v>1.3014060000000001</v>
      </c>
      <c r="C3560">
        <f t="shared" si="57"/>
        <v>2.1476694052212104E-3</v>
      </c>
      <c r="D3560">
        <f>(C3560-meanrtn)/stdevrtns</f>
        <v>0.36397979599110392</v>
      </c>
    </row>
    <row r="3561" spans="1:4" x14ac:dyDescent="0.3">
      <c r="A3561" s="1">
        <v>42958</v>
      </c>
      <c r="B3561">
        <v>1.2976730000000001</v>
      </c>
      <c r="C3561">
        <f t="shared" si="57"/>
        <v>-2.868436137531244E-3</v>
      </c>
      <c r="D3561">
        <f>(C3561-meanrtn)/stdevrtns</f>
        <v>-0.46739081963201012</v>
      </c>
    </row>
    <row r="3562" spans="1:4" x14ac:dyDescent="0.3">
      <c r="A3562" s="1">
        <v>42961</v>
      </c>
      <c r="B3562">
        <v>1.3005930000000001</v>
      </c>
      <c r="C3562">
        <f t="shared" si="57"/>
        <v>2.2501816713455807E-3</v>
      </c>
      <c r="D3562">
        <f>(C3562-meanrtn)/stdevrtns</f>
        <v>0.38097020519807862</v>
      </c>
    </row>
    <row r="3563" spans="1:4" x14ac:dyDescent="0.3">
      <c r="A3563" s="1">
        <v>42962</v>
      </c>
      <c r="B3563">
        <v>1.2965120000000001</v>
      </c>
      <c r="C3563">
        <f t="shared" si="57"/>
        <v>-3.1377994499432191E-3</v>
      </c>
      <c r="D3563">
        <f>(C3563-meanrtn)/stdevrtns</f>
        <v>-0.51203516392611825</v>
      </c>
    </row>
    <row r="3564" spans="1:4" x14ac:dyDescent="0.3">
      <c r="A3564" s="1">
        <v>42963</v>
      </c>
      <c r="B3564">
        <v>1.2867029999999999</v>
      </c>
      <c r="C3564">
        <f t="shared" si="57"/>
        <v>-7.5656839273374856E-3</v>
      </c>
      <c r="D3564">
        <f>(C3564-meanrtn)/stdevrtns</f>
        <v>-1.2459138697276979</v>
      </c>
    </row>
    <row r="3565" spans="1:4" x14ac:dyDescent="0.3">
      <c r="A3565" s="1">
        <v>42964</v>
      </c>
      <c r="B3565">
        <v>1.289158</v>
      </c>
      <c r="C3565">
        <f t="shared" si="57"/>
        <v>1.9079772099700521E-3</v>
      </c>
      <c r="D3565">
        <f>(C3565-meanrtn)/stdevrtns</f>
        <v>0.32425315024419937</v>
      </c>
    </row>
    <row r="3566" spans="1:4" x14ac:dyDescent="0.3">
      <c r="A3566" s="1">
        <v>42965</v>
      </c>
      <c r="B3566">
        <v>1.286505</v>
      </c>
      <c r="C3566">
        <f t="shared" si="57"/>
        <v>-2.0579323868757876E-3</v>
      </c>
      <c r="D3566">
        <f>(C3566-meanrtn)/stdevrtns</f>
        <v>-0.33305772069615242</v>
      </c>
    </row>
    <row r="3567" spans="1:4" x14ac:dyDescent="0.3">
      <c r="A3567" s="1">
        <v>42968</v>
      </c>
      <c r="B3567">
        <v>1.287366</v>
      </c>
      <c r="C3567">
        <f t="shared" si="57"/>
        <v>6.6925507479566782E-4</v>
      </c>
      <c r="D3567">
        <f>(C3567-meanrtn)/stdevrtns</f>
        <v>0.11894702673292844</v>
      </c>
    </row>
    <row r="3568" spans="1:4" x14ac:dyDescent="0.3">
      <c r="A3568" s="1">
        <v>42969</v>
      </c>
      <c r="B3568">
        <v>1.2898229999999999</v>
      </c>
      <c r="C3568">
        <f t="shared" si="57"/>
        <v>1.9085481518075912E-3</v>
      </c>
      <c r="D3568">
        <f>(C3568-meanrtn)/stdevrtns</f>
        <v>0.32434777829038264</v>
      </c>
    </row>
    <row r="3569" spans="1:4" x14ac:dyDescent="0.3">
      <c r="A3569" s="1">
        <v>42970</v>
      </c>
      <c r="B3569">
        <v>1.282397</v>
      </c>
      <c r="C3569">
        <f t="shared" si="57"/>
        <v>-5.7573791132581242E-3</v>
      </c>
      <c r="D3569">
        <f>(C3569-meanrtn)/stdevrtns</f>
        <v>-0.94620496733278059</v>
      </c>
    </row>
    <row r="3570" spans="1:4" x14ac:dyDescent="0.3">
      <c r="A3570" s="1">
        <v>42971</v>
      </c>
      <c r="B3570">
        <v>1.2803770000000001</v>
      </c>
      <c r="C3570">
        <f t="shared" si="57"/>
        <v>-1.5751752382451851E-3</v>
      </c>
      <c r="D3570">
        <f>(C3570-meanrtn)/stdevrtns</f>
        <v>-0.25304542740751224</v>
      </c>
    </row>
    <row r="3571" spans="1:4" x14ac:dyDescent="0.3">
      <c r="A3571" s="1">
        <v>42972</v>
      </c>
      <c r="B3571">
        <v>1.2803929999999999</v>
      </c>
      <c r="C3571">
        <f t="shared" si="57"/>
        <v>1.2496319443253007E-5</v>
      </c>
      <c r="D3571">
        <f>(C3571-meanrtn)/stdevrtns</f>
        <v>1.0095662641893212E-2</v>
      </c>
    </row>
    <row r="3572" spans="1:4" x14ac:dyDescent="0.3">
      <c r="A3572" s="1">
        <v>42975</v>
      </c>
      <c r="B3572">
        <v>1.2905219999999999</v>
      </c>
      <c r="C3572">
        <f t="shared" si="57"/>
        <v>7.9108523711079771E-3</v>
      </c>
      <c r="D3572">
        <f>(C3572-meanrtn)/stdevrtns</f>
        <v>1.3191712148041945</v>
      </c>
    </row>
    <row r="3573" spans="1:4" x14ac:dyDescent="0.3">
      <c r="A3573" s="1">
        <v>42976</v>
      </c>
      <c r="B3573">
        <v>1.292708</v>
      </c>
      <c r="C3573">
        <f t="shared" si="57"/>
        <v>1.6938882095772264E-3</v>
      </c>
      <c r="D3573">
        <f>(C3573-meanrtn)/stdevrtns</f>
        <v>0.28876998456163383</v>
      </c>
    </row>
    <row r="3574" spans="1:4" x14ac:dyDescent="0.3">
      <c r="A3574" s="1">
        <v>42977</v>
      </c>
      <c r="B3574">
        <v>1.2926580000000001</v>
      </c>
      <c r="C3574">
        <f t="shared" si="57"/>
        <v>-3.867849506608103E-5</v>
      </c>
      <c r="D3574">
        <f>(C3574-meanrtn)/stdevrtns</f>
        <v>1.6139357961542085E-3</v>
      </c>
    </row>
    <row r="3575" spans="1:4" x14ac:dyDescent="0.3">
      <c r="A3575" s="1">
        <v>42978</v>
      </c>
      <c r="B3575">
        <v>1.2920560000000001</v>
      </c>
      <c r="C3575">
        <f t="shared" si="57"/>
        <v>-4.6570709344621034E-4</v>
      </c>
      <c r="D3575">
        <f>(C3575-meanrtn)/stdevrtns</f>
        <v>-6.9161893320303411E-2</v>
      </c>
    </row>
    <row r="3576" spans="1:4" x14ac:dyDescent="0.3">
      <c r="A3576" s="1">
        <v>42979</v>
      </c>
      <c r="B3576">
        <v>1.294163</v>
      </c>
      <c r="C3576">
        <f t="shared" si="57"/>
        <v>1.6307342715794508E-3</v>
      </c>
      <c r="D3576">
        <f>(C3576-meanrtn)/stdevrtns</f>
        <v>0.27830283472502487</v>
      </c>
    </row>
    <row r="3577" spans="1:4" x14ac:dyDescent="0.3">
      <c r="A3577" s="1">
        <v>42982</v>
      </c>
      <c r="B3577">
        <v>1.2965120000000001</v>
      </c>
      <c r="C3577">
        <f t="shared" si="57"/>
        <v>1.8150727535868022E-3</v>
      </c>
      <c r="D3577">
        <f>(C3577-meanrtn)/stdevrtns</f>
        <v>0.30885514188110358</v>
      </c>
    </row>
    <row r="3578" spans="1:4" x14ac:dyDescent="0.3">
      <c r="A3578" s="1">
        <v>42983</v>
      </c>
      <c r="B3578">
        <v>1.2924070000000001</v>
      </c>
      <c r="C3578">
        <f t="shared" si="57"/>
        <v>-3.1661874321255992E-3</v>
      </c>
      <c r="D3578">
        <f>(C3578-meanrtn)/stdevrtns</f>
        <v>-0.51674019535380888</v>
      </c>
    </row>
    <row r="3579" spans="1:4" x14ac:dyDescent="0.3">
      <c r="A3579" s="1">
        <v>42984</v>
      </c>
      <c r="B3579">
        <v>1.3041210000000001</v>
      </c>
      <c r="C3579">
        <f t="shared" si="57"/>
        <v>9.0637082590855674E-3</v>
      </c>
      <c r="D3579">
        <f>(C3579-meanrtn)/stdevrtns</f>
        <v>1.5102458445430929</v>
      </c>
    </row>
    <row r="3580" spans="1:4" x14ac:dyDescent="0.3">
      <c r="A3580" s="1">
        <v>42985</v>
      </c>
      <c r="B3580">
        <v>1.304972</v>
      </c>
      <c r="C3580">
        <f t="shared" si="57"/>
        <v>6.5254681122375543E-4</v>
      </c>
      <c r="D3580">
        <f>(C3580-meanrtn)/stdevrtns</f>
        <v>0.11617779485505374</v>
      </c>
    </row>
    <row r="3581" spans="1:4" x14ac:dyDescent="0.3">
      <c r="A3581" s="1">
        <v>42986</v>
      </c>
      <c r="B3581">
        <v>1.3104789999999999</v>
      </c>
      <c r="C3581">
        <f t="shared" si="57"/>
        <v>4.2200139160073384E-3</v>
      </c>
      <c r="D3581">
        <f>(C3581-meanrtn)/stdevrtns</f>
        <v>0.70745070525152909</v>
      </c>
    </row>
    <row r="3582" spans="1:4" x14ac:dyDescent="0.3">
      <c r="A3582" s="1">
        <v>42989</v>
      </c>
      <c r="B3582">
        <v>1.319766</v>
      </c>
      <c r="C3582">
        <f t="shared" si="57"/>
        <v>7.0867217254149406E-3</v>
      </c>
      <c r="D3582">
        <f>(C3582-meanrtn)/stdevrtns</f>
        <v>1.1825795907994627</v>
      </c>
    </row>
    <row r="3583" spans="1:4" x14ac:dyDescent="0.3">
      <c r="A3583" s="1">
        <v>42990</v>
      </c>
      <c r="B3583">
        <v>1.3169679999999999</v>
      </c>
      <c r="C3583">
        <f t="shared" si="57"/>
        <v>-2.1200728007844407E-3</v>
      </c>
      <c r="D3583">
        <f>(C3583-meanrtn)/stdevrtns</f>
        <v>-0.34335688879100157</v>
      </c>
    </row>
    <row r="3584" spans="1:4" x14ac:dyDescent="0.3">
      <c r="A3584" s="1">
        <v>42991</v>
      </c>
      <c r="B3584">
        <v>1.328921</v>
      </c>
      <c r="C3584">
        <f t="shared" si="57"/>
        <v>9.0761506733649591E-3</v>
      </c>
      <c r="D3584">
        <f>(C3584-meanrtn)/stdevrtns</f>
        <v>1.5123080534681508</v>
      </c>
    </row>
    <row r="3585" spans="1:4" x14ac:dyDescent="0.3">
      <c r="A3585" s="1">
        <v>42992</v>
      </c>
      <c r="B3585">
        <v>1.320603</v>
      </c>
      <c r="C3585">
        <f t="shared" si="57"/>
        <v>-6.2592133016184165E-3</v>
      </c>
      <c r="D3585">
        <f>(C3585-meanrtn)/stdevrtns</f>
        <v>-1.0293790940655465</v>
      </c>
    </row>
    <row r="3586" spans="1:4" x14ac:dyDescent="0.3">
      <c r="A3586" s="1">
        <v>42993</v>
      </c>
      <c r="B3586">
        <v>1.3399080000000001</v>
      </c>
      <c r="C3586">
        <f t="shared" si="57"/>
        <v>1.4618322084684139E-2</v>
      </c>
      <c r="D3586">
        <f>(C3586-meanrtn)/stdevrtns</f>
        <v>2.430868960699172</v>
      </c>
    </row>
    <row r="3587" spans="1:4" x14ac:dyDescent="0.3">
      <c r="A3587" s="1">
        <v>42996</v>
      </c>
      <c r="B3587">
        <v>1.357515</v>
      </c>
      <c r="C3587">
        <f t="shared" si="57"/>
        <v>1.314045441925858E-2</v>
      </c>
      <c r="D3587">
        <f>(C3587-meanrtn)/stdevrtns</f>
        <v>2.185926795837914</v>
      </c>
    </row>
    <row r="3588" spans="1:4" x14ac:dyDescent="0.3">
      <c r="A3588" s="1">
        <v>42997</v>
      </c>
      <c r="B3588">
        <v>1.3516619999999999</v>
      </c>
      <c r="C3588">
        <f t="shared" ref="C3588:C3651" si="58">(B3588-B3587)/B3587</f>
        <v>-4.3115545684578862E-3</v>
      </c>
      <c r="D3588">
        <f>(C3588-meanrtn)/stdevrtns</f>
        <v>-0.70657363747961965</v>
      </c>
    </row>
    <row r="3589" spans="1:4" x14ac:dyDescent="0.3">
      <c r="A3589" s="1">
        <v>42998</v>
      </c>
      <c r="B3589">
        <v>1.351534</v>
      </c>
      <c r="C3589">
        <f t="shared" si="58"/>
        <v>-9.4698230770640871E-5</v>
      </c>
      <c r="D3589">
        <f>(C3589-meanrtn)/stdevrtns</f>
        <v>-7.6707895276650895E-3</v>
      </c>
    </row>
    <row r="3590" spans="1:4" x14ac:dyDescent="0.3">
      <c r="A3590" s="1">
        <v>42999</v>
      </c>
      <c r="B3590">
        <v>1.3489629999999999</v>
      </c>
      <c r="C3590">
        <f t="shared" si="58"/>
        <v>-1.9022828874450076E-3</v>
      </c>
      <c r="D3590">
        <f>(C3590-meanrtn)/stdevrtns</f>
        <v>-0.30726033285008431</v>
      </c>
    </row>
    <row r="3591" spans="1:4" x14ac:dyDescent="0.3">
      <c r="A3591" s="1">
        <v>43000</v>
      </c>
      <c r="B3591">
        <v>1.3579760000000001</v>
      </c>
      <c r="C3591">
        <f t="shared" si="58"/>
        <v>6.6814286233204028E-3</v>
      </c>
      <c r="D3591">
        <f>(C3591-meanrtn)/stdevrtns</f>
        <v>1.1154062083966585</v>
      </c>
    </row>
    <row r="3592" spans="1:4" x14ac:dyDescent="0.3">
      <c r="A3592" s="1">
        <v>43003</v>
      </c>
      <c r="B3592">
        <v>1.3507309999999999</v>
      </c>
      <c r="C3592">
        <f t="shared" si="58"/>
        <v>-5.3351458346835049E-3</v>
      </c>
      <c r="D3592">
        <f>(C3592-meanrtn)/stdevrtns</f>
        <v>-0.87622391574738534</v>
      </c>
    </row>
    <row r="3593" spans="1:4" x14ac:dyDescent="0.3">
      <c r="A3593" s="1">
        <v>43004</v>
      </c>
      <c r="B3593">
        <v>1.347782</v>
      </c>
      <c r="C3593">
        <f t="shared" si="58"/>
        <v>-2.1832622483676386E-3</v>
      </c>
      <c r="D3593">
        <f>(C3593-meanrtn)/stdevrtns</f>
        <v>-0.35382992399538066</v>
      </c>
    </row>
    <row r="3594" spans="1:4" x14ac:dyDescent="0.3">
      <c r="A3594" s="1">
        <v>43005</v>
      </c>
      <c r="B3594">
        <v>1.3448089999999999</v>
      </c>
      <c r="C3594">
        <f t="shared" si="58"/>
        <v>-2.2058463460708885E-3</v>
      </c>
      <c r="D3594">
        <f>(C3594-meanrtn)/stdevrtns</f>
        <v>-0.35757301812504305</v>
      </c>
    </row>
    <row r="3595" spans="1:4" x14ac:dyDescent="0.3">
      <c r="A3595" s="1">
        <v>43006</v>
      </c>
      <c r="B3595">
        <v>1.33989</v>
      </c>
      <c r="C3595">
        <f t="shared" si="58"/>
        <v>-3.6577685009543332E-3</v>
      </c>
      <c r="D3595">
        <f>(C3595-meanrtn)/stdevrtns</f>
        <v>-0.59821496743297797</v>
      </c>
    </row>
    <row r="3596" spans="1:4" x14ac:dyDescent="0.3">
      <c r="A3596" s="1">
        <v>43007</v>
      </c>
      <c r="B3596">
        <v>1.343021</v>
      </c>
      <c r="C3596">
        <f t="shared" si="58"/>
        <v>2.336758987678089E-3</v>
      </c>
      <c r="D3596">
        <f>(C3596-meanrtn)/stdevrtns</f>
        <v>0.39531955175087435</v>
      </c>
    </row>
    <row r="3597" spans="1:4" x14ac:dyDescent="0.3">
      <c r="A3597" s="1">
        <v>43010</v>
      </c>
      <c r="B3597">
        <v>1.339405</v>
      </c>
      <c r="C3597">
        <f t="shared" si="58"/>
        <v>-2.6924374227953723E-3</v>
      </c>
      <c r="D3597">
        <f>(C3597-meanrtn)/stdevrtns</f>
        <v>-0.43822074763656538</v>
      </c>
    </row>
    <row r="3598" spans="1:4" x14ac:dyDescent="0.3">
      <c r="A3598" s="1">
        <v>43011</v>
      </c>
      <c r="B3598">
        <v>1.327563</v>
      </c>
      <c r="C3598">
        <f t="shared" si="58"/>
        <v>-8.8412392069612319E-3</v>
      </c>
      <c r="D3598">
        <f>(C3598-meanrtn)/stdevrtns</f>
        <v>-1.4573247280208048</v>
      </c>
    </row>
    <row r="3599" spans="1:4" x14ac:dyDescent="0.3">
      <c r="A3599" s="1">
        <v>43012</v>
      </c>
      <c r="B3599">
        <v>1.3241179999999999</v>
      </c>
      <c r="C3599">
        <f t="shared" si="58"/>
        <v>-2.59498042654107E-3</v>
      </c>
      <c r="D3599">
        <f>(C3599-meanrtn)/stdevrtns</f>
        <v>-0.42206820015084012</v>
      </c>
    </row>
    <row r="3600" spans="1:4" x14ac:dyDescent="0.3">
      <c r="A3600" s="1">
        <v>43013</v>
      </c>
      <c r="B3600">
        <v>1.3232759999999999</v>
      </c>
      <c r="C3600">
        <f t="shared" si="58"/>
        <v>-6.3589498821102757E-4</v>
      </c>
      <c r="D3600">
        <f>(C3600-meanrtn)/stdevrtns</f>
        <v>-9.7368878527514455E-2</v>
      </c>
    </row>
    <row r="3601" spans="1:4" x14ac:dyDescent="0.3">
      <c r="A3601" s="1">
        <v>43014</v>
      </c>
      <c r="B3601">
        <v>1.311269</v>
      </c>
      <c r="C3601">
        <f t="shared" si="58"/>
        <v>-9.0736928652827373E-3</v>
      </c>
      <c r="D3601">
        <f>(C3601-meanrtn)/stdevrtns</f>
        <v>-1.4958516568055911</v>
      </c>
    </row>
    <row r="3602" spans="1:4" x14ac:dyDescent="0.3">
      <c r="A3602" s="1">
        <v>43017</v>
      </c>
      <c r="B3602">
        <v>1.3084039999999999</v>
      </c>
      <c r="C3602">
        <f t="shared" si="58"/>
        <v>-2.1849063769524921E-3</v>
      </c>
      <c r="D3602">
        <f>(C3602-meanrtn)/stdevrtns</f>
        <v>-0.35410242228755245</v>
      </c>
    </row>
    <row r="3603" spans="1:4" x14ac:dyDescent="0.3">
      <c r="A3603" s="1">
        <v>43018</v>
      </c>
      <c r="B3603">
        <v>1.314406</v>
      </c>
      <c r="C3603">
        <f t="shared" si="58"/>
        <v>4.5872681526501471E-3</v>
      </c>
      <c r="D3603">
        <f>(C3603-meanrtn)/stdevrtns</f>
        <v>0.76831951636517848</v>
      </c>
    </row>
    <row r="3604" spans="1:4" x14ac:dyDescent="0.3">
      <c r="A3604" s="1">
        <v>43019</v>
      </c>
      <c r="B3604">
        <v>1.3211090000000001</v>
      </c>
      <c r="C3604">
        <f t="shared" si="58"/>
        <v>5.0996419675504567E-3</v>
      </c>
      <c r="D3604">
        <f>(C3604-meanrtn)/stdevrtns</f>
        <v>0.85324048349640291</v>
      </c>
    </row>
    <row r="3605" spans="1:4" x14ac:dyDescent="0.3">
      <c r="A3605" s="1">
        <v>43020</v>
      </c>
      <c r="B3605">
        <v>1.323977</v>
      </c>
      <c r="C3605">
        <f t="shared" si="58"/>
        <v>2.1709033849590539E-3</v>
      </c>
      <c r="D3605">
        <f>(C3605-meanrtn)/stdevrtns</f>
        <v>0.36783060173539983</v>
      </c>
    </row>
    <row r="3606" spans="1:4" x14ac:dyDescent="0.3">
      <c r="A3606" s="1">
        <v>43021</v>
      </c>
      <c r="B3606">
        <v>1.3264359999999999</v>
      </c>
      <c r="C3606">
        <f t="shared" si="58"/>
        <v>1.8572830192669428E-3</v>
      </c>
      <c r="D3606">
        <f>(C3606-meanrtn)/stdevrtns</f>
        <v>0.31585108211103297</v>
      </c>
    </row>
    <row r="3607" spans="1:4" x14ac:dyDescent="0.3">
      <c r="A3607" s="1">
        <v>43024</v>
      </c>
      <c r="B3607">
        <v>1.328886</v>
      </c>
      <c r="C3607">
        <f t="shared" si="58"/>
        <v>1.8470548145557444E-3</v>
      </c>
      <c r="D3607">
        <f>(C3607-meanrtn)/stdevrtns</f>
        <v>0.31415585684613512</v>
      </c>
    </row>
    <row r="3608" spans="1:4" x14ac:dyDescent="0.3">
      <c r="A3608" s="1">
        <v>43025</v>
      </c>
      <c r="B3608">
        <v>1.3252930000000001</v>
      </c>
      <c r="C3608">
        <f t="shared" si="58"/>
        <v>-2.7037684195634218E-3</v>
      </c>
      <c r="D3608">
        <f>(C3608-meanrtn)/stdevrtns</f>
        <v>-0.44009874993902648</v>
      </c>
    </row>
    <row r="3609" spans="1:4" x14ac:dyDescent="0.3">
      <c r="A3609" s="1">
        <v>43026</v>
      </c>
      <c r="B3609">
        <v>1.3194870000000001</v>
      </c>
      <c r="C3609">
        <f t="shared" si="58"/>
        <v>-4.3809180309561562E-3</v>
      </c>
      <c r="D3609">
        <f>(C3609-meanrtn)/stdevrtns</f>
        <v>-0.71806995549514818</v>
      </c>
    </row>
    <row r="3610" spans="1:4" x14ac:dyDescent="0.3">
      <c r="A3610" s="1">
        <v>43027</v>
      </c>
      <c r="B3610">
        <v>1.3213010000000001</v>
      </c>
      <c r="C3610">
        <f t="shared" si="58"/>
        <v>1.374776712464755E-3</v>
      </c>
      <c r="D3610">
        <f>(C3610-meanrtn)/stdevrtns</f>
        <v>0.23588036341119195</v>
      </c>
    </row>
    <row r="3611" spans="1:4" x14ac:dyDescent="0.3">
      <c r="A3611" s="1">
        <v>43028</v>
      </c>
      <c r="B3611">
        <v>1.3150630000000001</v>
      </c>
      <c r="C3611">
        <f t="shared" si="58"/>
        <v>-4.7211044266219169E-3</v>
      </c>
      <c r="D3611">
        <f>(C3611-meanrtn)/stdevrtns</f>
        <v>-0.77445253572213069</v>
      </c>
    </row>
    <row r="3612" spans="1:4" x14ac:dyDescent="0.3">
      <c r="A3612" s="1">
        <v>43031</v>
      </c>
      <c r="B3612">
        <v>1.318983</v>
      </c>
      <c r="C3612">
        <f t="shared" si="58"/>
        <v>2.980845784574521E-3</v>
      </c>
      <c r="D3612">
        <f>(C3612-meanrtn)/stdevrtns</f>
        <v>0.50207066220631325</v>
      </c>
    </row>
    <row r="3613" spans="1:4" x14ac:dyDescent="0.3">
      <c r="A3613" s="1">
        <v>43032</v>
      </c>
      <c r="B3613">
        <v>1.3206549999999999</v>
      </c>
      <c r="C3613">
        <f t="shared" si="58"/>
        <v>1.2676433282308383E-3</v>
      </c>
      <c r="D3613">
        <f>(C3613-meanrtn)/stdevrtns</f>
        <v>0.21812404890679946</v>
      </c>
    </row>
    <row r="3614" spans="1:4" x14ac:dyDescent="0.3">
      <c r="A3614" s="1">
        <v>43033</v>
      </c>
      <c r="B3614">
        <v>1.3131980000000001</v>
      </c>
      <c r="C3614">
        <f t="shared" si="58"/>
        <v>-5.6464405919788479E-3</v>
      </c>
      <c r="D3614">
        <f>(C3614-meanrtn)/stdevrtns</f>
        <v>-0.92781798844125185</v>
      </c>
    </row>
    <row r="3615" spans="1:4" x14ac:dyDescent="0.3">
      <c r="A3615" s="1">
        <v>43034</v>
      </c>
      <c r="B3615">
        <v>1.3273509999999999</v>
      </c>
      <c r="C3615">
        <f t="shared" si="58"/>
        <v>1.0777506514630589E-2</v>
      </c>
      <c r="D3615">
        <f>(C3615-meanrtn)/stdevrtns</f>
        <v>1.7942912057546239</v>
      </c>
    </row>
    <row r="3616" spans="1:4" x14ac:dyDescent="0.3">
      <c r="A3616" s="1">
        <v>43035</v>
      </c>
      <c r="B3616">
        <v>1.3130250000000001</v>
      </c>
      <c r="C3616">
        <f t="shared" si="58"/>
        <v>-1.0792925156947816E-2</v>
      </c>
      <c r="D3616">
        <f>(C3616-meanrtn)/stdevrtns</f>
        <v>-1.7807976565535215</v>
      </c>
    </row>
    <row r="3617" spans="1:4" x14ac:dyDescent="0.3">
      <c r="A3617" s="1">
        <v>43038</v>
      </c>
      <c r="B3617">
        <v>1.3134049999999999</v>
      </c>
      <c r="C3617">
        <f t="shared" si="58"/>
        <v>2.8940804630515405E-4</v>
      </c>
      <c r="D3617">
        <f>(C3617-meanrtn)/stdevrtns</f>
        <v>5.5991083077587073E-2</v>
      </c>
    </row>
    <row r="3618" spans="1:4" x14ac:dyDescent="0.3">
      <c r="A3618" s="1">
        <v>43039</v>
      </c>
      <c r="B3618">
        <v>1.321248</v>
      </c>
      <c r="C3618">
        <f t="shared" si="58"/>
        <v>5.9715015551182193E-3</v>
      </c>
      <c r="D3618">
        <f>(C3618-meanrtn)/stdevrtns</f>
        <v>0.99774271453506425</v>
      </c>
    </row>
    <row r="3619" spans="1:4" x14ac:dyDescent="0.3">
      <c r="A3619" s="1">
        <v>43040</v>
      </c>
      <c r="B3619">
        <v>1.3292219999999999</v>
      </c>
      <c r="C3619">
        <f t="shared" si="58"/>
        <v>6.0352030807236234E-3</v>
      </c>
      <c r="D3619">
        <f>(C3619-meanrtn)/stdevrtns</f>
        <v>1.0083006216818178</v>
      </c>
    </row>
    <row r="3620" spans="1:4" x14ac:dyDescent="0.3">
      <c r="A3620" s="1">
        <v>43041</v>
      </c>
      <c r="B3620">
        <v>1.325539</v>
      </c>
      <c r="C3620">
        <f t="shared" si="58"/>
        <v>-2.7707937425049249E-3</v>
      </c>
      <c r="D3620">
        <f>(C3620-meanrtn)/stdevrtns</f>
        <v>-0.45120754410639141</v>
      </c>
    </row>
    <row r="3621" spans="1:4" x14ac:dyDescent="0.3">
      <c r="A3621" s="1">
        <v>43042</v>
      </c>
      <c r="B3621">
        <v>1.3053300000000001</v>
      </c>
      <c r="C3621">
        <f t="shared" si="58"/>
        <v>-1.5245873565394847E-2</v>
      </c>
      <c r="D3621">
        <f>(C3621-meanrtn)/stdevrtns</f>
        <v>-2.5188304646983783</v>
      </c>
    </row>
    <row r="3622" spans="1:4" x14ac:dyDescent="0.3">
      <c r="A3622" s="1">
        <v>43045</v>
      </c>
      <c r="B3622">
        <v>1.308044</v>
      </c>
      <c r="C3622">
        <f t="shared" si="58"/>
        <v>2.0791677200400534E-3</v>
      </c>
      <c r="D3622">
        <f>(C3622-meanrtn)/stdevrtns</f>
        <v>0.35262630916853011</v>
      </c>
    </row>
    <row r="3623" spans="1:4" x14ac:dyDescent="0.3">
      <c r="A3623" s="1">
        <v>43046</v>
      </c>
      <c r="B3623">
        <v>1.3175060000000001</v>
      </c>
      <c r="C3623">
        <f t="shared" si="58"/>
        <v>7.2337016186000483E-3</v>
      </c>
      <c r="D3623">
        <f>(C3623-meanrtn)/stdevrtns</f>
        <v>1.2069400758889515</v>
      </c>
    </row>
    <row r="3624" spans="1:4" x14ac:dyDescent="0.3">
      <c r="A3624" s="1">
        <v>43047</v>
      </c>
      <c r="B3624">
        <v>1.3172109999999999</v>
      </c>
      <c r="C3624">
        <f t="shared" si="58"/>
        <v>-2.239078987117753E-4</v>
      </c>
      <c r="D3624">
        <f>(C3624-meanrtn)/stdevrtns</f>
        <v>-2.9086032940134152E-2</v>
      </c>
    </row>
    <row r="3625" spans="1:4" x14ac:dyDescent="0.3">
      <c r="A3625" s="1">
        <v>43048</v>
      </c>
      <c r="B3625">
        <v>1.3113030000000001</v>
      </c>
      <c r="C3625">
        <f t="shared" si="58"/>
        <v>-4.4852343322366751E-3</v>
      </c>
      <c r="D3625">
        <f>(C3625-meanrtn)/stdevrtns</f>
        <v>-0.73535936595032037</v>
      </c>
    </row>
    <row r="3626" spans="1:4" x14ac:dyDescent="0.3">
      <c r="A3626" s="1">
        <v>43049</v>
      </c>
      <c r="B3626">
        <v>1.3144400000000001</v>
      </c>
      <c r="C3626">
        <f t="shared" si="58"/>
        <v>2.392276994714376E-3</v>
      </c>
      <c r="D3626">
        <f>(C3626-meanrtn)/stdevrtns</f>
        <v>0.40452112043688715</v>
      </c>
    </row>
    <row r="3627" spans="1:4" x14ac:dyDescent="0.3">
      <c r="A3627" s="1">
        <v>43052</v>
      </c>
      <c r="B3627">
        <v>1.3120259999999999</v>
      </c>
      <c r="C3627">
        <f t="shared" si="58"/>
        <v>-1.8365235385412329E-3</v>
      </c>
      <c r="D3627">
        <f>(C3627-meanrtn)/stdevrtns</f>
        <v>-0.29636136154353016</v>
      </c>
    </row>
    <row r="3628" spans="1:4" x14ac:dyDescent="0.3">
      <c r="A3628" s="1">
        <v>43053</v>
      </c>
      <c r="B3628">
        <v>1.3123359999999999</v>
      </c>
      <c r="C3628">
        <f t="shared" si="58"/>
        <v>2.3627580550997655E-4</v>
      </c>
      <c r="D3628">
        <f>(C3628-meanrtn)/stdevrtns</f>
        <v>4.7184931898582236E-2</v>
      </c>
    </row>
    <row r="3629" spans="1:4" x14ac:dyDescent="0.3">
      <c r="A3629" s="1">
        <v>43054</v>
      </c>
      <c r="B3629">
        <v>1.3157890000000001</v>
      </c>
      <c r="C3629">
        <f t="shared" si="58"/>
        <v>2.6311859158021653E-3</v>
      </c>
      <c r="D3629">
        <f>(C3629-meanrtn)/stdevrtns</f>
        <v>0.44411794612361721</v>
      </c>
    </row>
    <row r="3630" spans="1:4" x14ac:dyDescent="0.3">
      <c r="A3630" s="1">
        <v>43056</v>
      </c>
      <c r="B3630">
        <v>1.3200449999999999</v>
      </c>
      <c r="C3630">
        <f t="shared" si="58"/>
        <v>3.2345611644418789E-3</v>
      </c>
      <c r="D3630">
        <f>(C3630-meanrtn)/stdevrtns</f>
        <v>0.54412151415821097</v>
      </c>
    </row>
    <row r="3631" spans="1:4" x14ac:dyDescent="0.3">
      <c r="A3631" s="1">
        <v>43059</v>
      </c>
      <c r="B3631">
        <v>1.320271</v>
      </c>
      <c r="C3631">
        <f t="shared" si="58"/>
        <v>1.7120628463428102E-4</v>
      </c>
      <c r="D3631">
        <f>(C3631-meanrtn)/stdevrtns</f>
        <v>3.640029286583895E-2</v>
      </c>
    </row>
    <row r="3632" spans="1:4" x14ac:dyDescent="0.3">
      <c r="A3632" s="1">
        <v>43060</v>
      </c>
      <c r="B3632">
        <v>1.324503</v>
      </c>
      <c r="C3632">
        <f t="shared" si="58"/>
        <v>3.2054025272084397E-3</v>
      </c>
      <c r="D3632">
        <f>(C3632-meanrtn)/stdevrtns</f>
        <v>0.5392887541652478</v>
      </c>
    </row>
    <row r="3633" spans="1:4" x14ac:dyDescent="0.3">
      <c r="A3633" s="1">
        <v>43061</v>
      </c>
      <c r="B3633">
        <v>1.3245560000000001</v>
      </c>
      <c r="C3633">
        <f t="shared" si="58"/>
        <v>4.0015009403588187E-5</v>
      </c>
      <c r="D3633">
        <f>(C3633-meanrtn)/stdevrtns</f>
        <v>1.4656617354363565E-2</v>
      </c>
    </row>
    <row r="3634" spans="1:4" x14ac:dyDescent="0.3">
      <c r="A3634" s="1">
        <v>43062</v>
      </c>
      <c r="B3634">
        <v>1.331682</v>
      </c>
      <c r="C3634">
        <f t="shared" si="58"/>
        <v>5.3799159869420132E-3</v>
      </c>
      <c r="D3634">
        <f>(C3634-meanrtn)/stdevrtns</f>
        <v>0.89969317115593406</v>
      </c>
    </row>
    <row r="3635" spans="1:4" x14ac:dyDescent="0.3">
      <c r="A3635" s="1">
        <v>43063</v>
      </c>
      <c r="B3635">
        <v>1.3306720000000001</v>
      </c>
      <c r="C3635">
        <f t="shared" si="58"/>
        <v>-7.5843932710658798E-4</v>
      </c>
      <c r="D3635">
        <f>(C3635-meanrtn)/stdevrtns</f>
        <v>-0.11767940859918152</v>
      </c>
    </row>
    <row r="3636" spans="1:4" x14ac:dyDescent="0.3">
      <c r="A3636" s="1">
        <v>43066</v>
      </c>
      <c r="B3636">
        <v>1.3324450000000001</v>
      </c>
      <c r="C3636">
        <f t="shared" si="58"/>
        <v>1.3324094893407425E-3</v>
      </c>
      <c r="D3636">
        <f>(C3636-meanrtn)/stdevrtns</f>
        <v>0.2288584090143703</v>
      </c>
    </row>
    <row r="3637" spans="1:4" x14ac:dyDescent="0.3">
      <c r="A3637" s="1">
        <v>43067</v>
      </c>
      <c r="B3637">
        <v>1.3322320000000001</v>
      </c>
      <c r="C3637">
        <f t="shared" si="58"/>
        <v>-1.598565043960679E-4</v>
      </c>
      <c r="D3637">
        <f>(C3637-meanrtn)/stdevrtns</f>
        <v>-1.847013846384913E-2</v>
      </c>
    </row>
    <row r="3638" spans="1:4" x14ac:dyDescent="0.3">
      <c r="A3638" s="1">
        <v>43068</v>
      </c>
      <c r="B3638">
        <v>1.336541</v>
      </c>
      <c r="C3638">
        <f t="shared" si="58"/>
        <v>3.2344216322681757E-3</v>
      </c>
      <c r="D3638">
        <f>(C3638-meanrtn)/stdevrtns</f>
        <v>0.5440983880600534</v>
      </c>
    </row>
    <row r="3639" spans="1:4" x14ac:dyDescent="0.3">
      <c r="A3639" s="1">
        <v>43069</v>
      </c>
      <c r="B3639">
        <v>1.3417239999999999</v>
      </c>
      <c r="C3639">
        <f t="shared" si="58"/>
        <v>3.8779206922944661E-3</v>
      </c>
      <c r="D3639">
        <f>(C3639-meanrtn)/stdevrtns</f>
        <v>0.65075208685630981</v>
      </c>
    </row>
    <row r="3640" spans="1:4" x14ac:dyDescent="0.3">
      <c r="A3640" s="1">
        <v>43070</v>
      </c>
      <c r="B3640">
        <v>1.352997</v>
      </c>
      <c r="C3640">
        <f t="shared" si="58"/>
        <v>8.4018769881138659E-3</v>
      </c>
      <c r="D3640">
        <f>(C3640-meanrtn)/stdevrtns</f>
        <v>1.4005537604159219</v>
      </c>
    </row>
    <row r="3641" spans="1:4" x14ac:dyDescent="0.3">
      <c r="A3641" s="1">
        <v>43073</v>
      </c>
      <c r="B3641">
        <v>1.3493999999999999</v>
      </c>
      <c r="C3641">
        <f t="shared" si="58"/>
        <v>-2.6585424801385902E-3</v>
      </c>
      <c r="D3641">
        <f>(C3641-meanrtn)/stdevrtns</f>
        <v>-0.43260299117133427</v>
      </c>
    </row>
    <row r="3642" spans="1:4" x14ac:dyDescent="0.3">
      <c r="A3642" s="1">
        <v>43074</v>
      </c>
      <c r="B3642">
        <v>1.3475269999999999</v>
      </c>
      <c r="C3642">
        <f t="shared" si="58"/>
        <v>-1.3880243070994618E-3</v>
      </c>
      <c r="D3642">
        <f>(C3642-meanrtn)/stdevrtns</f>
        <v>-0.2220269842119007</v>
      </c>
    </row>
    <row r="3643" spans="1:4" x14ac:dyDescent="0.3">
      <c r="A3643" s="1">
        <v>43075</v>
      </c>
      <c r="B3643">
        <v>1.341526</v>
      </c>
      <c r="C3643">
        <f t="shared" si="58"/>
        <v>-4.4533430498980156E-3</v>
      </c>
      <c r="D3643">
        <f>(C3643-meanrtn)/stdevrtns</f>
        <v>-0.73007369665869026</v>
      </c>
    </row>
    <row r="3644" spans="1:4" x14ac:dyDescent="0.3">
      <c r="A3644" s="1">
        <v>43076</v>
      </c>
      <c r="B3644">
        <v>1.339226</v>
      </c>
      <c r="C3644">
        <f t="shared" si="58"/>
        <v>-1.7144654669383737E-3</v>
      </c>
      <c r="D3644">
        <f>(C3644-meanrtn)/stdevrtns</f>
        <v>-0.27613142553732772</v>
      </c>
    </row>
    <row r="3645" spans="1:4" x14ac:dyDescent="0.3">
      <c r="A3645" s="1">
        <v>43077</v>
      </c>
      <c r="B3645">
        <v>1.348436</v>
      </c>
      <c r="C3645">
        <f t="shared" si="58"/>
        <v>6.8771066272607763E-3</v>
      </c>
      <c r="D3645">
        <f>(C3645-meanrtn)/stdevrtns</f>
        <v>1.1478379308182212</v>
      </c>
    </row>
    <row r="3646" spans="1:4" x14ac:dyDescent="0.3">
      <c r="A3646" s="1">
        <v>43080</v>
      </c>
      <c r="B3646">
        <v>1.339208</v>
      </c>
      <c r="C3646">
        <f t="shared" si="58"/>
        <v>-6.8434838583366318E-3</v>
      </c>
      <c r="D3646">
        <f>(C3646-meanrtn)/stdevrtns</f>
        <v>-1.1262162455746718</v>
      </c>
    </row>
    <row r="3647" spans="1:4" x14ac:dyDescent="0.3">
      <c r="A3647" s="1">
        <v>43081</v>
      </c>
      <c r="B3647">
        <v>1.334935</v>
      </c>
      <c r="C3647">
        <f t="shared" si="58"/>
        <v>-3.190691811876849E-3</v>
      </c>
      <c r="D3647">
        <f>(C3647-meanrtn)/stdevrtns</f>
        <v>-0.52080155752125656</v>
      </c>
    </row>
    <row r="3648" spans="1:4" x14ac:dyDescent="0.3">
      <c r="A3648" s="1">
        <v>43082</v>
      </c>
      <c r="B3648">
        <v>1.3319479999999999</v>
      </c>
      <c r="C3648">
        <f t="shared" si="58"/>
        <v>-2.2375621284932024E-3</v>
      </c>
      <c r="D3648">
        <f>(C3648-meanrtn)/stdevrtns</f>
        <v>-0.3628296000156504</v>
      </c>
    </row>
    <row r="3649" spans="1:4" x14ac:dyDescent="0.3">
      <c r="A3649" s="1">
        <v>43083</v>
      </c>
      <c r="B3649">
        <v>1.3409679999999999</v>
      </c>
      <c r="C3649">
        <f t="shared" si="58"/>
        <v>6.7720361455552531E-3</v>
      </c>
      <c r="D3649">
        <f>(C3649-meanrtn)/stdevrtns</f>
        <v>1.1304235223065124</v>
      </c>
    </row>
    <row r="3650" spans="1:4" x14ac:dyDescent="0.3">
      <c r="A3650" s="1">
        <v>43084</v>
      </c>
      <c r="B3650">
        <v>1.3432919999999999</v>
      </c>
      <c r="C3650">
        <f t="shared" si="58"/>
        <v>1.733076404507783E-3</v>
      </c>
      <c r="D3650">
        <f>(C3650-meanrtn)/stdevrtns</f>
        <v>0.29526504601257331</v>
      </c>
    </row>
    <row r="3651" spans="1:4" x14ac:dyDescent="0.3">
      <c r="A3651" s="1">
        <v>43087</v>
      </c>
      <c r="B3651">
        <v>1.3317349999999999</v>
      </c>
      <c r="C3651">
        <f t="shared" si="58"/>
        <v>-8.6034905292371577E-3</v>
      </c>
      <c r="D3651">
        <f>(C3651-meanrtn)/stdevrtns</f>
        <v>-1.417920201365932</v>
      </c>
    </row>
    <row r="3652" spans="1:4" x14ac:dyDescent="0.3">
      <c r="A3652" s="1">
        <v>43088</v>
      </c>
      <c r="B3652">
        <v>1.338079</v>
      </c>
      <c r="C3652">
        <f t="shared" ref="C3652:C3715" si="59">(B3652-B3651)/B3651</f>
        <v>4.7637104979595252E-3</v>
      </c>
      <c r="D3652">
        <f>(C3652-meanrtn)/stdevrtns</f>
        <v>0.79756311580534334</v>
      </c>
    </row>
    <row r="3653" spans="1:4" x14ac:dyDescent="0.3">
      <c r="A3653" s="1">
        <v>43089</v>
      </c>
      <c r="B3653">
        <v>1.3386880000000001</v>
      </c>
      <c r="C3653">
        <f t="shared" si="59"/>
        <v>4.5513007826898237E-4</v>
      </c>
      <c r="D3653">
        <f>(C3653-meanrtn)/stdevrtns</f>
        <v>8.3457895041930269E-2</v>
      </c>
    </row>
    <row r="3654" spans="1:4" x14ac:dyDescent="0.3">
      <c r="A3654" s="1">
        <v>43090</v>
      </c>
      <c r="B3654">
        <v>1.337202</v>
      </c>
      <c r="C3654">
        <f t="shared" si="59"/>
        <v>-1.110042071042766E-3</v>
      </c>
      <c r="D3654">
        <f>(C3654-meanrtn)/stdevrtns</f>
        <v>-0.17595413730845783</v>
      </c>
    </row>
    <row r="3655" spans="1:4" x14ac:dyDescent="0.3">
      <c r="A3655" s="1">
        <v>43091</v>
      </c>
      <c r="B3655">
        <v>1.3380430000000001</v>
      </c>
      <c r="C3655">
        <f t="shared" si="59"/>
        <v>6.289251736088427E-4</v>
      </c>
      <c r="D3655">
        <f>(C3655-meanrtn)/stdevrtns</f>
        <v>0.11226273859506124</v>
      </c>
    </row>
    <row r="3656" spans="1:4" x14ac:dyDescent="0.3">
      <c r="A3656" s="1">
        <v>43094</v>
      </c>
      <c r="B3656">
        <v>1.3365050000000001</v>
      </c>
      <c r="C3656">
        <f t="shared" si="59"/>
        <v>-1.1494398909452381E-3</v>
      </c>
      <c r="D3656">
        <f>(C3656-meanrtn)/stdevrtns</f>
        <v>-0.1824839420558583</v>
      </c>
    </row>
    <row r="3657" spans="1:4" x14ac:dyDescent="0.3">
      <c r="A3657" s="1">
        <v>43095</v>
      </c>
      <c r="B3657">
        <v>1.3376140000000001</v>
      </c>
      <c r="C3657">
        <f t="shared" si="59"/>
        <v>8.2977616993578523E-4</v>
      </c>
      <c r="D3657">
        <f>(C3657-meanrtn)/stdevrtns</f>
        <v>0.14555183409786823</v>
      </c>
    </row>
    <row r="3658" spans="1:4" x14ac:dyDescent="0.3">
      <c r="A3658" s="1">
        <v>43096</v>
      </c>
      <c r="B3658">
        <v>1.3374710000000001</v>
      </c>
      <c r="C3658">
        <f t="shared" si="59"/>
        <v>-1.0690677579630912E-4</v>
      </c>
      <c r="D3658">
        <f>(C3658-meanrtn)/stdevrtns</f>
        <v>-9.6942369027940567E-3</v>
      </c>
    </row>
    <row r="3659" spans="1:4" x14ac:dyDescent="0.3">
      <c r="A3659" s="1">
        <v>43097</v>
      </c>
      <c r="B3659">
        <v>1.3403929999999999</v>
      </c>
      <c r="C3659">
        <f t="shared" si="59"/>
        <v>2.1847202668318559E-3</v>
      </c>
      <c r="D3659">
        <f>(C3659-meanrtn)/stdevrtns</f>
        <v>0.37012061527093643</v>
      </c>
    </row>
    <row r="3660" spans="1:4" x14ac:dyDescent="0.3">
      <c r="A3660" s="1">
        <v>43098</v>
      </c>
      <c r="B3660">
        <v>1.3440859999999999</v>
      </c>
      <c r="C3660">
        <f t="shared" si="59"/>
        <v>2.75516210544217E-3</v>
      </c>
      <c r="D3660">
        <f>(C3660-meanrtn)/stdevrtns</f>
        <v>0.46466579150389237</v>
      </c>
    </row>
    <row r="3661" spans="1:4" x14ac:dyDescent="0.3">
      <c r="A3661" s="1">
        <v>43101</v>
      </c>
      <c r="B3661">
        <v>1.351607</v>
      </c>
      <c r="C3661">
        <f t="shared" si="59"/>
        <v>5.5956240895300687E-3</v>
      </c>
      <c r="D3661">
        <f>(C3661-meanrtn)/stdevrtns</f>
        <v>0.93544468725045415</v>
      </c>
    </row>
    <row r="3662" spans="1:4" x14ac:dyDescent="0.3">
      <c r="A3662" s="1">
        <v>43102</v>
      </c>
      <c r="B3662">
        <v>1.351132</v>
      </c>
      <c r="C3662">
        <f t="shared" si="59"/>
        <v>-3.5143351580748191E-4</v>
      </c>
      <c r="D3662">
        <f>(C3662-meanrtn)/stdevrtns</f>
        <v>-5.0222161334753004E-2</v>
      </c>
    </row>
    <row r="3663" spans="1:4" x14ac:dyDescent="0.3">
      <c r="A3663" s="1">
        <v>43103</v>
      </c>
      <c r="B3663">
        <v>1.3596189999999999</v>
      </c>
      <c r="C3663">
        <f t="shared" si="59"/>
        <v>6.2813995967824837E-3</v>
      </c>
      <c r="D3663">
        <f>(C3663-meanrtn)/stdevrtns</f>
        <v>1.0491052952229984</v>
      </c>
    </row>
    <row r="3664" spans="1:4" x14ac:dyDescent="0.3">
      <c r="A3664" s="1">
        <v>43104</v>
      </c>
      <c r="B3664">
        <v>1.351132</v>
      </c>
      <c r="C3664">
        <f t="shared" si="59"/>
        <v>-6.2421899076137597E-3</v>
      </c>
      <c r="D3664">
        <f>(C3664-meanrtn)/stdevrtns</f>
        <v>-1.0265576323891479</v>
      </c>
    </row>
    <row r="3665" spans="1:4" x14ac:dyDescent="0.3">
      <c r="A3665" s="1">
        <v>43105</v>
      </c>
      <c r="B3665">
        <v>1.355289</v>
      </c>
      <c r="C3665">
        <f t="shared" si="59"/>
        <v>3.0766794066012545E-3</v>
      </c>
      <c r="D3665">
        <f>(C3665-meanrtn)/stdevrtns</f>
        <v>0.51795415123235145</v>
      </c>
    </row>
    <row r="3666" spans="1:4" x14ac:dyDescent="0.3">
      <c r="A3666" s="1">
        <v>43108</v>
      </c>
      <c r="B3666">
        <v>1.3575889999999999</v>
      </c>
      <c r="C3666">
        <f t="shared" si="59"/>
        <v>1.6970550192615514E-3</v>
      </c>
      <c r="D3666">
        <f>(C3666-meanrtn)/stdevrtns</f>
        <v>0.28929485240868752</v>
      </c>
    </row>
    <row r="3667" spans="1:4" x14ac:dyDescent="0.3">
      <c r="A3667" s="1">
        <v>43109</v>
      </c>
      <c r="B3667">
        <v>1.3571279999999999</v>
      </c>
      <c r="C3667">
        <f t="shared" si="59"/>
        <v>-3.3957258050856684E-4</v>
      </c>
      <c r="D3667">
        <f>(C3667-meanrtn)/stdevrtns</f>
        <v>-4.825632688464411E-2</v>
      </c>
    </row>
    <row r="3668" spans="1:4" x14ac:dyDescent="0.3">
      <c r="A3668" s="1">
        <v>43110</v>
      </c>
      <c r="B3668">
        <v>1.353235</v>
      </c>
      <c r="C3668">
        <f t="shared" si="59"/>
        <v>-2.8685577189476045E-3</v>
      </c>
      <c r="D3668">
        <f>(C3668-meanrtn)/stdevrtns</f>
        <v>-0.46741097056705455</v>
      </c>
    </row>
    <row r="3669" spans="1:4" x14ac:dyDescent="0.3">
      <c r="A3669" s="1">
        <v>43111</v>
      </c>
      <c r="B3669">
        <v>1.351278</v>
      </c>
      <c r="C3669">
        <f t="shared" si="59"/>
        <v>-1.4461641917331333E-3</v>
      </c>
      <c r="D3669">
        <f>(C3669-meanrtn)/stdevrtns</f>
        <v>-0.23166310356150061</v>
      </c>
    </row>
    <row r="3670" spans="1:4" x14ac:dyDescent="0.3">
      <c r="A3670" s="1">
        <v>43112</v>
      </c>
      <c r="B3670">
        <v>1.3541879999999999</v>
      </c>
      <c r="C3670">
        <f t="shared" si="59"/>
        <v>2.1535168928969229E-3</v>
      </c>
      <c r="D3670">
        <f>(C3670-meanrtn)/stdevrtns</f>
        <v>0.36494896009408606</v>
      </c>
    </row>
    <row r="3671" spans="1:4" x14ac:dyDescent="0.3">
      <c r="A3671" s="1">
        <v>43115</v>
      </c>
      <c r="B3671">
        <v>1.3733059999999999</v>
      </c>
      <c r="C3671">
        <f t="shared" si="59"/>
        <v>1.411768528446565E-2</v>
      </c>
      <c r="D3671">
        <f>(C3671-meanrtn)/stdevrtns</f>
        <v>2.347893289383284</v>
      </c>
    </row>
    <row r="3672" spans="1:4" x14ac:dyDescent="0.3">
      <c r="A3672" s="1">
        <v>43116</v>
      </c>
      <c r="B3672">
        <v>1.3798239999999999</v>
      </c>
      <c r="C3672">
        <f t="shared" si="59"/>
        <v>4.7462109682765707E-3</v>
      </c>
      <c r="D3672">
        <f>(C3672-meanrtn)/stdevrtns</f>
        <v>0.79466273927984277</v>
      </c>
    </row>
    <row r="3673" spans="1:4" x14ac:dyDescent="0.3">
      <c r="A3673" s="1">
        <v>43117</v>
      </c>
      <c r="B3673">
        <v>1.3798809999999999</v>
      </c>
      <c r="C3673">
        <f t="shared" si="59"/>
        <v>4.1309616298871264E-5</v>
      </c>
      <c r="D3673">
        <f>(C3673-meanrtn)/stdevrtns</f>
        <v>1.4871185832308875E-2</v>
      </c>
    </row>
    <row r="3674" spans="1:4" x14ac:dyDescent="0.3">
      <c r="A3674" s="1">
        <v>43118</v>
      </c>
      <c r="B3674">
        <v>1.3828009999999999</v>
      </c>
      <c r="C3674">
        <f t="shared" si="59"/>
        <v>2.116124506388619E-3</v>
      </c>
      <c r="D3674">
        <f>(C3674-meanrtn)/stdevrtns</f>
        <v>0.35875153639036395</v>
      </c>
    </row>
    <row r="3675" spans="1:4" x14ac:dyDescent="0.3">
      <c r="A3675" s="1">
        <v>43119</v>
      </c>
      <c r="B3675">
        <v>1.3894679999999999</v>
      </c>
      <c r="C3675">
        <f t="shared" si="59"/>
        <v>4.821373429727039E-3</v>
      </c>
      <c r="D3675">
        <f>(C3675-meanrtn)/stdevrtns</f>
        <v>0.80712018486491621</v>
      </c>
    </row>
    <row r="3676" spans="1:4" x14ac:dyDescent="0.3">
      <c r="A3676" s="1">
        <v>43122</v>
      </c>
      <c r="B3676">
        <v>1.389159</v>
      </c>
      <c r="C3676">
        <f t="shared" si="59"/>
        <v>-2.2238727340240488E-4</v>
      </c>
      <c r="D3676">
        <f>(C3676-meanrtn)/stdevrtns</f>
        <v>-2.8834004112429368E-2</v>
      </c>
    </row>
    <row r="3677" spans="1:4" x14ac:dyDescent="0.3">
      <c r="A3677" s="1">
        <v>43123</v>
      </c>
      <c r="B3677">
        <v>1.3984840000000001</v>
      </c>
      <c r="C3677">
        <f t="shared" si="59"/>
        <v>6.712694515170709E-3</v>
      </c>
      <c r="D3677">
        <f>(C3677-meanrtn)/stdevrtns</f>
        <v>1.1205882253087929</v>
      </c>
    </row>
    <row r="3678" spans="1:4" x14ac:dyDescent="0.3">
      <c r="A3678" s="1">
        <v>43124</v>
      </c>
      <c r="B3678">
        <v>1.4017379999999999</v>
      </c>
      <c r="C3678">
        <f t="shared" si="59"/>
        <v>2.3268053120377979E-3</v>
      </c>
      <c r="D3678">
        <f>(C3678-meanrtn)/stdevrtns</f>
        <v>0.39366982700440484</v>
      </c>
    </row>
    <row r="3679" spans="1:4" x14ac:dyDescent="0.3">
      <c r="A3679" s="1">
        <v>43125</v>
      </c>
      <c r="B3679">
        <v>1.422091</v>
      </c>
      <c r="C3679">
        <f t="shared" si="59"/>
        <v>1.4519831808797411E-2</v>
      </c>
      <c r="D3679">
        <f>(C3679-meanrtn)/stdevrtns</f>
        <v>2.4145451571828871</v>
      </c>
    </row>
    <row r="3680" spans="1:4" x14ac:dyDescent="0.3">
      <c r="A3680" s="1">
        <v>43126</v>
      </c>
      <c r="B3680">
        <v>1.415027</v>
      </c>
      <c r="C3680">
        <f t="shared" si="59"/>
        <v>-4.9673333141127809E-3</v>
      </c>
      <c r="D3680">
        <f>(C3680-meanrtn)/stdevrtns</f>
        <v>-0.81526257451273121</v>
      </c>
    </row>
    <row r="3681" spans="1:4" x14ac:dyDescent="0.3">
      <c r="A3681" s="1">
        <v>43129</v>
      </c>
      <c r="B3681">
        <v>1.414927</v>
      </c>
      <c r="C3681">
        <f t="shared" si="59"/>
        <v>-7.0670029617801632E-5</v>
      </c>
      <c r="D3681">
        <f>(C3681-meanrtn)/stdevrtns</f>
        <v>-3.688349322910049E-3</v>
      </c>
    </row>
    <row r="3682" spans="1:4" x14ac:dyDescent="0.3">
      <c r="A3682" s="1">
        <v>43130</v>
      </c>
      <c r="B3682">
        <v>1.4076580000000001</v>
      </c>
      <c r="C3682">
        <f t="shared" si="59"/>
        <v>-5.1373675108326933E-3</v>
      </c>
      <c r="D3682">
        <f>(C3682-meanrtn)/stdevrtns</f>
        <v>-0.84344408576666841</v>
      </c>
    </row>
    <row r="3683" spans="1:4" x14ac:dyDescent="0.3">
      <c r="A3683" s="1">
        <v>43131</v>
      </c>
      <c r="B3683">
        <v>1.4155880000000001</v>
      </c>
      <c r="C3683">
        <f t="shared" si="59"/>
        <v>5.6334706299399368E-3</v>
      </c>
      <c r="D3683">
        <f>(C3683-meanrtn)/stdevrtns</f>
        <v>0.94171738253798032</v>
      </c>
    </row>
    <row r="3684" spans="1:4" x14ac:dyDescent="0.3">
      <c r="A3684" s="1">
        <v>43132</v>
      </c>
      <c r="B3684">
        <v>1.420051</v>
      </c>
      <c r="C3684">
        <f t="shared" si="59"/>
        <v>3.1527534847709104E-3</v>
      </c>
      <c r="D3684">
        <f>(C3684-meanrtn)/stdevrtns</f>
        <v>0.53056268840562693</v>
      </c>
    </row>
    <row r="3685" spans="1:4" x14ac:dyDescent="0.3">
      <c r="A3685" s="1">
        <v>43133</v>
      </c>
      <c r="B3685">
        <v>1.4266760000000001</v>
      </c>
      <c r="C3685">
        <f t="shared" si="59"/>
        <v>4.6653254002849923E-3</v>
      </c>
      <c r="D3685">
        <f>(C3685-meanrtn)/stdevrtns</f>
        <v>0.78125674455284888</v>
      </c>
    </row>
    <row r="3686" spans="1:4" x14ac:dyDescent="0.3">
      <c r="A3686" s="1">
        <v>43136</v>
      </c>
      <c r="B3686">
        <v>1.4111340000000001</v>
      </c>
      <c r="C3686">
        <f t="shared" si="59"/>
        <v>-1.0893853965441309E-2</v>
      </c>
      <c r="D3686">
        <f>(C3686-meanrtn)/stdevrtns</f>
        <v>-1.7975256230877543</v>
      </c>
    </row>
    <row r="3687" spans="1:4" x14ac:dyDescent="0.3">
      <c r="A3687" s="1">
        <v>43137</v>
      </c>
      <c r="B3687">
        <v>1.394369</v>
      </c>
      <c r="C3687">
        <f t="shared" si="59"/>
        <v>-1.1880515953835808E-2</v>
      </c>
      <c r="D3687">
        <f>(C3687-meanrtn)/stdevrtns</f>
        <v>-1.9610552334024036</v>
      </c>
    </row>
    <row r="3688" spans="1:4" x14ac:dyDescent="0.3">
      <c r="A3688" s="1">
        <v>43138</v>
      </c>
      <c r="B3688">
        <v>1.3958680000000001</v>
      </c>
      <c r="C3688">
        <f t="shared" si="59"/>
        <v>1.0750382431050454E-3</v>
      </c>
      <c r="D3688">
        <f>(C3688-meanrtn)/stdevrtns</f>
        <v>0.18620163283552443</v>
      </c>
    </row>
    <row r="3689" spans="1:4" x14ac:dyDescent="0.3">
      <c r="A3689" s="1">
        <v>43139</v>
      </c>
      <c r="B3689">
        <v>1.3879250000000001</v>
      </c>
      <c r="C3689">
        <f t="shared" si="59"/>
        <v>-5.6903661377723626E-3</v>
      </c>
      <c r="D3689">
        <f>(C3689-meanrtn)/stdevrtns</f>
        <v>-0.93509821963588835</v>
      </c>
    </row>
    <row r="3690" spans="1:4" x14ac:dyDescent="0.3">
      <c r="A3690" s="1">
        <v>43140</v>
      </c>
      <c r="B3690">
        <v>1.3934949999999999</v>
      </c>
      <c r="C3690">
        <f t="shared" si="59"/>
        <v>4.0131851504943373E-3</v>
      </c>
      <c r="D3690">
        <f>(C3690-meanrtn)/stdevrtns</f>
        <v>0.67317085275489308</v>
      </c>
    </row>
    <row r="3691" spans="1:4" x14ac:dyDescent="0.3">
      <c r="A3691" s="1">
        <v>43143</v>
      </c>
      <c r="B3691">
        <v>1.3827430000000001</v>
      </c>
      <c r="C3691">
        <f t="shared" si="59"/>
        <v>-7.7158511512419297E-3</v>
      </c>
      <c r="D3691">
        <f>(C3691-meanrtn)/stdevrtns</f>
        <v>-1.2708026238258319</v>
      </c>
    </row>
    <row r="3692" spans="1:4" x14ac:dyDescent="0.3">
      <c r="A3692" s="1">
        <v>43144</v>
      </c>
      <c r="B3692">
        <v>1.3852329999999999</v>
      </c>
      <c r="C3692">
        <f t="shared" si="59"/>
        <v>1.8007684725215613E-3</v>
      </c>
      <c r="D3692">
        <f>(C3692-meanrtn)/stdevrtns</f>
        <v>0.3064843466787503</v>
      </c>
    </row>
    <row r="3693" spans="1:4" x14ac:dyDescent="0.3">
      <c r="A3693" s="1">
        <v>43145</v>
      </c>
      <c r="B3693">
        <v>1.3886959999999999</v>
      </c>
      <c r="C3693">
        <f t="shared" si="59"/>
        <v>2.4999404432322894E-3</v>
      </c>
      <c r="D3693">
        <f>(C3693-meanrtn)/stdevrtns</f>
        <v>0.42236528793128358</v>
      </c>
    </row>
    <row r="3694" spans="1:4" x14ac:dyDescent="0.3">
      <c r="A3694" s="1">
        <v>43146</v>
      </c>
      <c r="B3694">
        <v>1.401581</v>
      </c>
      <c r="C3694">
        <f t="shared" si="59"/>
        <v>9.2784885964963069E-3</v>
      </c>
      <c r="D3694">
        <f>(C3694-meanrtn)/stdevrtns</f>
        <v>1.5458435925998306</v>
      </c>
    </row>
    <row r="3695" spans="1:4" x14ac:dyDescent="0.3">
      <c r="A3695" s="1">
        <v>43147</v>
      </c>
      <c r="B3695">
        <v>1.410417</v>
      </c>
      <c r="C3695">
        <f t="shared" si="59"/>
        <v>6.3043092051048542E-3</v>
      </c>
      <c r="D3695">
        <f>(C3695-meanrtn)/stdevrtns</f>
        <v>1.0529023395659296</v>
      </c>
    </row>
    <row r="3696" spans="1:4" x14ac:dyDescent="0.3">
      <c r="A3696" s="1">
        <v>43150</v>
      </c>
      <c r="B3696">
        <v>1.403154</v>
      </c>
      <c r="C3696">
        <f t="shared" si="59"/>
        <v>-5.1495408804630256E-3</v>
      </c>
      <c r="D3696">
        <f>(C3696-meanrtn)/stdevrtns</f>
        <v>-0.84546170316277758</v>
      </c>
    </row>
    <row r="3697" spans="1:4" x14ac:dyDescent="0.3">
      <c r="A3697" s="1">
        <v>43151</v>
      </c>
      <c r="B3697">
        <v>1.399267</v>
      </c>
      <c r="C3697">
        <f t="shared" si="59"/>
        <v>-2.7701877342044949E-3</v>
      </c>
      <c r="D3697">
        <f>(C3697-meanrtn)/stdevrtns</f>
        <v>-0.45110710413567962</v>
      </c>
    </row>
    <row r="3698" spans="1:4" x14ac:dyDescent="0.3">
      <c r="A3698" s="1">
        <v>43152</v>
      </c>
      <c r="B3698">
        <v>1.400109</v>
      </c>
      <c r="C3698">
        <f t="shared" si="59"/>
        <v>6.0174362719910457E-4</v>
      </c>
      <c r="D3698">
        <f>(C3698-meanrtn)/stdevrtns</f>
        <v>0.10775766214089791</v>
      </c>
    </row>
    <row r="3699" spans="1:4" x14ac:dyDescent="0.3">
      <c r="A3699" s="1">
        <v>43153</v>
      </c>
      <c r="B3699">
        <v>1.391014</v>
      </c>
      <c r="C3699">
        <f t="shared" si="59"/>
        <v>-6.4959228174378391E-3</v>
      </c>
      <c r="D3699">
        <f>(C3699-meanrtn)/stdevrtns</f>
        <v>-1.0686113897605565</v>
      </c>
    </row>
    <row r="3700" spans="1:4" x14ac:dyDescent="0.3">
      <c r="A3700" s="1">
        <v>43154</v>
      </c>
      <c r="B3700">
        <v>1.395303</v>
      </c>
      <c r="C3700">
        <f t="shared" si="59"/>
        <v>3.083362209151013E-3</v>
      </c>
      <c r="D3700">
        <f>(C3700-meanrtn)/stdevrtns</f>
        <v>0.51906176063620613</v>
      </c>
    </row>
    <row r="3701" spans="1:4" x14ac:dyDescent="0.3">
      <c r="A3701" s="1">
        <v>43157</v>
      </c>
      <c r="B3701">
        <v>1.3968039999999999</v>
      </c>
      <c r="C3701">
        <f t="shared" si="59"/>
        <v>1.0757520051200167E-3</v>
      </c>
      <c r="D3701">
        <f>(C3701-meanrtn)/stdevrtns</f>
        <v>0.1863199319344444</v>
      </c>
    </row>
    <row r="3702" spans="1:4" x14ac:dyDescent="0.3">
      <c r="A3702" s="1">
        <v>43158</v>
      </c>
      <c r="B3702">
        <v>1.3966479999999999</v>
      </c>
      <c r="C3702">
        <f t="shared" si="59"/>
        <v>-1.1168352897045326E-4</v>
      </c>
      <c r="D3702">
        <f>(C3702-meanrtn)/stdevrtns</f>
        <v>-1.048593719562497E-2</v>
      </c>
    </row>
    <row r="3703" spans="1:4" x14ac:dyDescent="0.3">
      <c r="A3703" s="1">
        <v>43159</v>
      </c>
      <c r="B3703">
        <v>1.3906080000000001</v>
      </c>
      <c r="C3703">
        <f t="shared" si="59"/>
        <v>-4.3246401383883583E-3</v>
      </c>
      <c r="D3703">
        <f>(C3703-meanrtn)/stdevrtns</f>
        <v>-0.70874244318678714</v>
      </c>
    </row>
    <row r="3704" spans="1:4" x14ac:dyDescent="0.3">
      <c r="A3704" s="1">
        <v>43160</v>
      </c>
      <c r="B3704">
        <v>1.375421</v>
      </c>
      <c r="C3704">
        <f t="shared" si="59"/>
        <v>-1.0921122271697028E-2</v>
      </c>
      <c r="D3704">
        <f>(C3704-meanrtn)/stdevrtns</f>
        <v>-1.802045079140981</v>
      </c>
    </row>
    <row r="3705" spans="1:4" x14ac:dyDescent="0.3">
      <c r="A3705" s="1">
        <v>43161</v>
      </c>
      <c r="B3705">
        <v>1.377543</v>
      </c>
      <c r="C3705">
        <f t="shared" si="59"/>
        <v>1.5428003498564856E-3</v>
      </c>
      <c r="D3705">
        <f>(C3705-meanrtn)/stdevrtns</f>
        <v>0.26372864404783636</v>
      </c>
    </row>
    <row r="3706" spans="1:4" x14ac:dyDescent="0.3">
      <c r="A3706" s="1">
        <v>43164</v>
      </c>
      <c r="B3706">
        <v>1.3795010000000001</v>
      </c>
      <c r="C3706">
        <f t="shared" si="59"/>
        <v>1.4213712385022655E-3</v>
      </c>
      <c r="D3706">
        <f>(C3706-meanrtn)/stdevrtns</f>
        <v>0.24360295207411237</v>
      </c>
    </row>
    <row r="3707" spans="1:4" x14ac:dyDescent="0.3">
      <c r="A3707" s="1">
        <v>43165</v>
      </c>
      <c r="B3707">
        <v>1.3852329999999999</v>
      </c>
      <c r="C3707">
        <f t="shared" si="59"/>
        <v>4.1551256577558463E-3</v>
      </c>
      <c r="D3707">
        <f>(C3707-meanrtn)/stdevrtns</f>
        <v>0.69669610873248278</v>
      </c>
    </row>
    <row r="3708" spans="1:4" x14ac:dyDescent="0.3">
      <c r="A3708" s="1">
        <v>43166</v>
      </c>
      <c r="B3708">
        <v>1.3900090000000001</v>
      </c>
      <c r="C3708">
        <f t="shared" si="59"/>
        <v>3.4477954250296621E-3</v>
      </c>
      <c r="D3708">
        <f>(C3708-meanrtn)/stdevrtns</f>
        <v>0.57946301504687237</v>
      </c>
    </row>
    <row r="3709" spans="1:4" x14ac:dyDescent="0.3">
      <c r="A3709" s="1">
        <v>43167</v>
      </c>
      <c r="B3709">
        <v>1.3906270000000001</v>
      </c>
      <c r="C3709">
        <f t="shared" si="59"/>
        <v>4.4460143783242226E-4</v>
      </c>
      <c r="D3709">
        <f>(C3709-meanrtn)/stdevrtns</f>
        <v>8.1712875483068617E-2</v>
      </c>
    </row>
    <row r="3710" spans="1:4" x14ac:dyDescent="0.3">
      <c r="A3710" s="1">
        <v>43168</v>
      </c>
      <c r="B3710">
        <v>1.3805670000000001</v>
      </c>
      <c r="C3710">
        <f t="shared" si="59"/>
        <v>-7.2341468992044291E-3</v>
      </c>
      <c r="D3710">
        <f>(C3710-meanrtn)/stdevrtns</f>
        <v>-1.1909648378878313</v>
      </c>
    </row>
    <row r="3711" spans="1:4" x14ac:dyDescent="0.3">
      <c r="A3711" s="1">
        <v>43171</v>
      </c>
      <c r="B3711">
        <v>1.38554</v>
      </c>
      <c r="C3711">
        <f t="shared" si="59"/>
        <v>3.6021431774045693E-3</v>
      </c>
      <c r="D3711">
        <f>(C3711-meanrtn)/stdevrtns</f>
        <v>0.60504465100295279</v>
      </c>
    </row>
    <row r="3712" spans="1:4" x14ac:dyDescent="0.3">
      <c r="A3712" s="1">
        <v>43172</v>
      </c>
      <c r="B3712">
        <v>1.390763</v>
      </c>
      <c r="C3712">
        <f t="shared" si="59"/>
        <v>3.76964937858162E-3</v>
      </c>
      <c r="D3712">
        <f>(C3712-meanrtn)/stdevrtns</f>
        <v>0.63280717162903166</v>
      </c>
    </row>
    <row r="3713" spans="1:4" x14ac:dyDescent="0.3">
      <c r="A3713" s="1">
        <v>43173</v>
      </c>
      <c r="B3713">
        <v>1.3972329999999999</v>
      </c>
      <c r="C3713">
        <f t="shared" si="59"/>
        <v>4.6521226118324804E-3</v>
      </c>
      <c r="D3713">
        <f>(C3713-meanrtn)/stdevrtns</f>
        <v>0.77906851101785768</v>
      </c>
    </row>
    <row r="3714" spans="1:4" x14ac:dyDescent="0.3">
      <c r="A3714" s="1">
        <v>43174</v>
      </c>
      <c r="B3714">
        <v>1.3971549999999999</v>
      </c>
      <c r="C3714">
        <f t="shared" si="59"/>
        <v>-5.5824619086453366E-5</v>
      </c>
      <c r="D3714">
        <f>(C3714-meanrtn)/stdevrtns</f>
        <v>-1.2278671844396325E-3</v>
      </c>
    </row>
    <row r="3715" spans="1:4" x14ac:dyDescent="0.3">
      <c r="A3715" s="1">
        <v>43175</v>
      </c>
      <c r="B3715">
        <v>1.393864</v>
      </c>
      <c r="C3715">
        <f t="shared" si="59"/>
        <v>-2.3555010002468822E-3</v>
      </c>
      <c r="D3715">
        <f>(C3715-meanrtn)/stdevrtns</f>
        <v>-0.38237681878528368</v>
      </c>
    </row>
    <row r="3716" spans="1:4" x14ac:dyDescent="0.3">
      <c r="A3716" s="1">
        <v>43178</v>
      </c>
      <c r="B3716">
        <v>1.39435</v>
      </c>
      <c r="C3716">
        <f t="shared" ref="C3716:C3779" si="60">(B3716-B3715)/B3715</f>
        <v>3.4867103246800723E-4</v>
      </c>
      <c r="D3716">
        <f>(C3716-meanrtn)/stdevrtns</f>
        <v>6.5813345561888795E-2</v>
      </c>
    </row>
    <row r="3717" spans="1:4" x14ac:dyDescent="0.3">
      <c r="A3717" s="1">
        <v>43179</v>
      </c>
      <c r="B3717">
        <v>1.402525</v>
      </c>
      <c r="C3717">
        <f t="shared" si="60"/>
        <v>5.8629468928174727E-3</v>
      </c>
      <c r="D3717">
        <f>(C3717-meanrtn)/stdevrtns</f>
        <v>0.9797508370403557</v>
      </c>
    </row>
    <row r="3718" spans="1:4" x14ac:dyDescent="0.3">
      <c r="A3718" s="1">
        <v>43180</v>
      </c>
      <c r="B3718">
        <v>1.400482</v>
      </c>
      <c r="C3718">
        <f t="shared" si="60"/>
        <v>-1.456658526585991E-3</v>
      </c>
      <c r="D3718">
        <f>(C3718-meanrtn)/stdevrtns</f>
        <v>-0.23340243730414509</v>
      </c>
    </row>
    <row r="3719" spans="1:4" x14ac:dyDescent="0.3">
      <c r="A3719" s="1">
        <v>43181</v>
      </c>
      <c r="B3719">
        <v>1.4146270000000001</v>
      </c>
      <c r="C3719">
        <f t="shared" si="60"/>
        <v>1.0100094110456309E-2</v>
      </c>
      <c r="D3719">
        <f>(C3719-meanrtn)/stdevrtns</f>
        <v>1.6820167006252773</v>
      </c>
    </row>
    <row r="3720" spans="1:4" x14ac:dyDescent="0.3">
      <c r="A3720" s="1">
        <v>43182</v>
      </c>
      <c r="B3720">
        <v>1.4114720000000001</v>
      </c>
      <c r="C3720">
        <f t="shared" si="60"/>
        <v>-2.2302698873978926E-3</v>
      </c>
      <c r="D3720">
        <f>(C3720-meanrtn)/stdevrtns</f>
        <v>-0.36162098211138016</v>
      </c>
    </row>
    <row r="3721" spans="1:4" x14ac:dyDescent="0.3">
      <c r="A3721" s="1">
        <v>43185</v>
      </c>
      <c r="B3721">
        <v>1.4147670000000001</v>
      </c>
      <c r="C3721">
        <f t="shared" si="60"/>
        <v>2.3344423410454106E-3</v>
      </c>
      <c r="D3721">
        <f>(C3721-meanrtn)/stdevrtns</f>
        <v>0.39493559014544644</v>
      </c>
    </row>
    <row r="3722" spans="1:4" x14ac:dyDescent="0.3">
      <c r="A3722" s="1">
        <v>43186</v>
      </c>
      <c r="B3722">
        <v>1.4238930000000001</v>
      </c>
      <c r="C3722">
        <f t="shared" si="60"/>
        <v>6.4505321370939292E-3</v>
      </c>
      <c r="D3722">
        <f>(C3722-meanrtn)/stdevrtns</f>
        <v>1.0771373657131802</v>
      </c>
    </row>
    <row r="3723" spans="1:4" x14ac:dyDescent="0.3">
      <c r="A3723" s="1">
        <v>43187</v>
      </c>
      <c r="B3723">
        <v>1.417635</v>
      </c>
      <c r="C3723">
        <f t="shared" si="60"/>
        <v>-4.394993163109936E-3</v>
      </c>
      <c r="D3723">
        <f>(C3723-meanrtn)/stdevrtns</f>
        <v>-0.72040277149830656</v>
      </c>
    </row>
    <row r="3724" spans="1:4" x14ac:dyDescent="0.3">
      <c r="A3724" s="1">
        <v>43188</v>
      </c>
      <c r="B3724">
        <v>1.408034</v>
      </c>
      <c r="C3724">
        <f t="shared" si="60"/>
        <v>-6.7725472353602802E-3</v>
      </c>
      <c r="D3724">
        <f>(C3724-meanrtn)/stdevrtns</f>
        <v>-1.1144591915391393</v>
      </c>
    </row>
    <row r="3725" spans="1:4" x14ac:dyDescent="0.3">
      <c r="A3725" s="1">
        <v>43189</v>
      </c>
      <c r="B3725">
        <v>1.402938</v>
      </c>
      <c r="C3725">
        <f t="shared" si="60"/>
        <v>-3.6192307856202262E-3</v>
      </c>
      <c r="D3725">
        <f>(C3725-meanrtn)/stdevrtns</f>
        <v>-0.59182771663672695</v>
      </c>
    </row>
    <row r="3726" spans="1:4" x14ac:dyDescent="0.3">
      <c r="A3726" s="1">
        <v>43192</v>
      </c>
      <c r="B3726">
        <v>1.403824</v>
      </c>
      <c r="C3726">
        <f t="shared" si="60"/>
        <v>6.3153182820619466E-4</v>
      </c>
      <c r="D3726">
        <f>(C3726-meanrtn)/stdevrtns</f>
        <v>0.11269476619472936</v>
      </c>
    </row>
    <row r="3727" spans="1:4" x14ac:dyDescent="0.3">
      <c r="A3727" s="1">
        <v>43193</v>
      </c>
      <c r="B3727">
        <v>1.4046719999999999</v>
      </c>
      <c r="C3727">
        <f t="shared" si="60"/>
        <v>6.0406432715209304E-4</v>
      </c>
      <c r="D3727">
        <f>(C3727-meanrtn)/stdevrtns</f>
        <v>0.10814229554467072</v>
      </c>
    </row>
    <row r="3728" spans="1:4" x14ac:dyDescent="0.3">
      <c r="A3728" s="1">
        <v>43194</v>
      </c>
      <c r="B3728">
        <v>1.406865</v>
      </c>
      <c r="C3728">
        <f t="shared" si="60"/>
        <v>1.5612185620558477E-3</v>
      </c>
      <c r="D3728">
        <f>(C3728-meanrtn)/stdevrtns</f>
        <v>0.26678128324857747</v>
      </c>
    </row>
    <row r="3729" spans="1:4" x14ac:dyDescent="0.3">
      <c r="A3729" s="1">
        <v>43195</v>
      </c>
      <c r="B3729">
        <v>1.4088080000000001</v>
      </c>
      <c r="C3729">
        <f t="shared" si="60"/>
        <v>1.3810848944284121E-3</v>
      </c>
      <c r="D3729">
        <f>(C3729-meanrtn)/stdevrtns</f>
        <v>0.23692588310328966</v>
      </c>
    </row>
    <row r="3730" spans="1:4" x14ac:dyDescent="0.3">
      <c r="A3730" s="1">
        <v>43196</v>
      </c>
      <c r="B3730">
        <v>1.400874</v>
      </c>
      <c r="C3730">
        <f t="shared" si="60"/>
        <v>-5.6317113474654516E-3</v>
      </c>
      <c r="D3730">
        <f>(C3730-meanrtn)/stdevrtns</f>
        <v>-0.92537675968830857</v>
      </c>
    </row>
    <row r="3731" spans="1:4" x14ac:dyDescent="0.3">
      <c r="A3731" s="1">
        <v>43199</v>
      </c>
      <c r="B3731">
        <v>1.409165</v>
      </c>
      <c r="C3731">
        <f t="shared" si="60"/>
        <v>5.9184480545716803E-3</v>
      </c>
      <c r="D3731">
        <f>(C3731-meanrtn)/stdevrtns</f>
        <v>0.98894961378500812</v>
      </c>
    </row>
    <row r="3732" spans="1:4" x14ac:dyDescent="0.3">
      <c r="A3732" s="1">
        <v>43200</v>
      </c>
      <c r="B3732">
        <v>1.4138269999999999</v>
      </c>
      <c r="C3732">
        <f t="shared" si="60"/>
        <v>3.3083421742662812E-3</v>
      </c>
      <c r="D3732">
        <f>(C3732-meanrtn)/stdevrtns</f>
        <v>0.55634999759744708</v>
      </c>
    </row>
    <row r="3733" spans="1:4" x14ac:dyDescent="0.3">
      <c r="A3733" s="1">
        <v>43201</v>
      </c>
      <c r="B3733">
        <v>1.418218</v>
      </c>
      <c r="C3733">
        <f t="shared" si="60"/>
        <v>3.1057548059274819E-3</v>
      </c>
      <c r="D3733">
        <f>(C3733-meanrtn)/stdevrtns</f>
        <v>0.52277311535328375</v>
      </c>
    </row>
    <row r="3734" spans="1:4" x14ac:dyDescent="0.3">
      <c r="A3734" s="1">
        <v>43202</v>
      </c>
      <c r="B3734">
        <v>1.418903</v>
      </c>
      <c r="C3734">
        <f t="shared" si="60"/>
        <v>4.8300049780784527E-4</v>
      </c>
      <c r="D3734">
        <f>(C3734-meanrtn)/stdevrtns</f>
        <v>8.8077145504707535E-2</v>
      </c>
    </row>
    <row r="3735" spans="1:4" x14ac:dyDescent="0.3">
      <c r="A3735" s="1">
        <v>43203</v>
      </c>
      <c r="B3735">
        <v>1.4238120000000001</v>
      </c>
      <c r="C3735">
        <f t="shared" si="60"/>
        <v>3.4597150051836187E-3</v>
      </c>
      <c r="D3735">
        <f>(C3735-meanrtn)/stdevrtns</f>
        <v>0.58143856931025539</v>
      </c>
    </row>
    <row r="3736" spans="1:4" x14ac:dyDescent="0.3">
      <c r="A3736" s="1">
        <v>43206</v>
      </c>
      <c r="B3736">
        <v>1.4246840000000001</v>
      </c>
      <c r="C3736">
        <f t="shared" si="60"/>
        <v>6.1244040645814461E-4</v>
      </c>
      <c r="D3736">
        <f>(C3736-meanrtn)/stdevrtns</f>
        <v>0.10953054907120219</v>
      </c>
    </row>
    <row r="3737" spans="1:4" x14ac:dyDescent="0.3">
      <c r="A3737" s="1">
        <v>43207</v>
      </c>
      <c r="B3737">
        <v>1.4342060000000001</v>
      </c>
      <c r="C3737">
        <f t="shared" si="60"/>
        <v>6.6835873779729615E-3</v>
      </c>
      <c r="D3737">
        <f>(C3737-meanrtn)/stdevrtns</f>
        <v>1.1157640009449172</v>
      </c>
    </row>
    <row r="3738" spans="1:4" x14ac:dyDescent="0.3">
      <c r="A3738" s="1">
        <v>43208</v>
      </c>
      <c r="B3738">
        <v>1.429654</v>
      </c>
      <c r="C3738">
        <f t="shared" si="60"/>
        <v>-3.1738815762868871E-3</v>
      </c>
      <c r="D3738">
        <f>(C3738-meanrtn)/stdevrtns</f>
        <v>-0.51801542477502893</v>
      </c>
    </row>
    <row r="3739" spans="1:4" x14ac:dyDescent="0.3">
      <c r="A3739" s="1">
        <v>43209</v>
      </c>
      <c r="B3739">
        <v>1.420434</v>
      </c>
      <c r="C3739">
        <f t="shared" si="60"/>
        <v>-6.4491128622729734E-3</v>
      </c>
      <c r="D3739">
        <f>(C3739-meanrtn)/stdevrtns</f>
        <v>-1.0608530958189679</v>
      </c>
    </row>
    <row r="3740" spans="1:4" x14ac:dyDescent="0.3">
      <c r="A3740" s="1">
        <v>43210</v>
      </c>
      <c r="B3740">
        <v>1.408649</v>
      </c>
      <c r="C3740">
        <f t="shared" si="60"/>
        <v>-8.2967600043366563E-3</v>
      </c>
      <c r="D3740">
        <f>(C3740-meanrtn)/stdevrtns</f>
        <v>-1.3670826057165784</v>
      </c>
    </row>
    <row r="3741" spans="1:4" x14ac:dyDescent="0.3">
      <c r="A3741" s="1">
        <v>43213</v>
      </c>
      <c r="B3741">
        <v>1.4001680000000001</v>
      </c>
      <c r="C3741">
        <f t="shared" si="60"/>
        <v>-6.0206623509475822E-3</v>
      </c>
      <c r="D3741">
        <f>(C3741-meanrtn)/stdevrtns</f>
        <v>-0.98984159848728048</v>
      </c>
    </row>
    <row r="3742" spans="1:4" x14ac:dyDescent="0.3">
      <c r="A3742" s="1">
        <v>43214</v>
      </c>
      <c r="B3742">
        <v>1.3938250000000001</v>
      </c>
      <c r="C3742">
        <f t="shared" si="60"/>
        <v>-4.5301706652344483E-3</v>
      </c>
      <c r="D3742">
        <f>(C3742-meanrtn)/stdevrtns</f>
        <v>-0.74280712527471926</v>
      </c>
    </row>
    <row r="3743" spans="1:4" x14ac:dyDescent="0.3">
      <c r="A3743" s="1">
        <v>43215</v>
      </c>
      <c r="B3743">
        <v>1.399384</v>
      </c>
      <c r="C3743">
        <f t="shared" si="60"/>
        <v>3.9883055620324424E-3</v>
      </c>
      <c r="D3743">
        <f>(C3743-meanrtn)/stdevrtns</f>
        <v>0.66904730339977625</v>
      </c>
    </row>
    <row r="3744" spans="1:4" x14ac:dyDescent="0.3">
      <c r="A3744" s="1">
        <v>43216</v>
      </c>
      <c r="B3744">
        <v>1.3939220000000001</v>
      </c>
      <c r="C3744">
        <f t="shared" si="60"/>
        <v>-3.9031459556489543E-3</v>
      </c>
      <c r="D3744">
        <f>(C3744-meanrtn)/stdevrtns</f>
        <v>-0.63888388953415864</v>
      </c>
    </row>
    <row r="3745" spans="1:4" x14ac:dyDescent="0.3">
      <c r="A3745" s="1">
        <v>43217</v>
      </c>
      <c r="B3745">
        <v>1.3919429999999999</v>
      </c>
      <c r="C3745">
        <f t="shared" si="60"/>
        <v>-1.4197351071295057E-3</v>
      </c>
      <c r="D3745">
        <f>(C3745-meanrtn)/stdevrtns</f>
        <v>-0.22728274031953891</v>
      </c>
    </row>
    <row r="3746" spans="1:4" x14ac:dyDescent="0.3">
      <c r="A3746" s="1">
        <v>43220</v>
      </c>
      <c r="B3746">
        <v>1.3771070000000001</v>
      </c>
      <c r="C3746">
        <f t="shared" si="60"/>
        <v>-1.0658482423489934E-2</v>
      </c>
      <c r="D3746">
        <f>(C3746-meanrtn)/stdevrtns</f>
        <v>-1.7585150835238477</v>
      </c>
    </row>
    <row r="3747" spans="1:4" x14ac:dyDescent="0.3">
      <c r="A3747" s="1">
        <v>43221</v>
      </c>
      <c r="B3747">
        <v>1.377221</v>
      </c>
      <c r="C3747">
        <f t="shared" si="60"/>
        <v>8.2782238417165453E-5</v>
      </c>
      <c r="D3747">
        <f>(C3747-meanrtn)/stdevrtns</f>
        <v>2.1744868829631038E-2</v>
      </c>
    </row>
    <row r="3748" spans="1:4" x14ac:dyDescent="0.3">
      <c r="A3748" s="1">
        <v>43222</v>
      </c>
      <c r="B3748">
        <v>1.3609329999999999</v>
      </c>
      <c r="C3748">
        <f t="shared" si="60"/>
        <v>-1.1826714811929298E-2</v>
      </c>
      <c r="D3748">
        <f>(C3748-meanrtn)/stdevrtns</f>
        <v>-1.9521382183821219</v>
      </c>
    </row>
    <row r="3749" spans="1:4" x14ac:dyDescent="0.3">
      <c r="A3749" s="1">
        <v>43223</v>
      </c>
      <c r="B3749">
        <v>1.357386</v>
      </c>
      <c r="C3749">
        <f t="shared" si="60"/>
        <v>-2.6063002366758445E-3</v>
      </c>
      <c r="D3749">
        <f>(C3749-meanrtn)/stdevrtns</f>
        <v>-0.42394434837784095</v>
      </c>
    </row>
    <row r="3750" spans="1:4" x14ac:dyDescent="0.3">
      <c r="A3750" s="1">
        <v>43224</v>
      </c>
      <c r="B3750">
        <v>1.3572390000000001</v>
      </c>
      <c r="C3750">
        <f t="shared" si="60"/>
        <v>-1.0829638732084847E-4</v>
      </c>
      <c r="D3750">
        <f>(C3750-meanrtn)/stdevrtns</f>
        <v>-9.9245514722915967E-3</v>
      </c>
    </row>
    <row r="3751" spans="1:4" x14ac:dyDescent="0.3">
      <c r="A3751" s="1">
        <v>43227</v>
      </c>
      <c r="B3751">
        <v>1.3531979999999999</v>
      </c>
      <c r="C3751">
        <f t="shared" si="60"/>
        <v>-2.9773680243495677E-3</v>
      </c>
      <c r="D3751">
        <f>(C3751-meanrtn)/stdevrtns</f>
        <v>-0.48544521841474453</v>
      </c>
    </row>
    <row r="3752" spans="1:4" x14ac:dyDescent="0.3">
      <c r="A3752" s="1">
        <v>43228</v>
      </c>
      <c r="B3752">
        <v>1.3570359999999999</v>
      </c>
      <c r="C3752">
        <f t="shared" si="60"/>
        <v>2.8362442155545667E-3</v>
      </c>
      <c r="D3752">
        <f>(C3752-meanrtn)/stdevrtns</f>
        <v>0.47810436117226013</v>
      </c>
    </row>
    <row r="3753" spans="1:4" x14ac:dyDescent="0.3">
      <c r="A3753" s="1">
        <v>43229</v>
      </c>
      <c r="B3753">
        <v>1.3553440000000001</v>
      </c>
      <c r="C3753">
        <f t="shared" si="60"/>
        <v>-1.2468350139567446E-3</v>
      </c>
      <c r="D3753">
        <f>(C3753-meanrtn)/stdevrtns</f>
        <v>-0.19862623465449733</v>
      </c>
    </row>
    <row r="3754" spans="1:4" x14ac:dyDescent="0.3">
      <c r="A3754" s="1">
        <v>43230</v>
      </c>
      <c r="B3754">
        <v>1.354463</v>
      </c>
      <c r="C3754">
        <f t="shared" si="60"/>
        <v>-6.5001947844984859E-4</v>
      </c>
      <c r="D3754">
        <f>(C3754-meanrtn)/stdevrtns</f>
        <v>-9.9709875152311916E-2</v>
      </c>
    </row>
    <row r="3755" spans="1:4" x14ac:dyDescent="0.3">
      <c r="A3755" s="1">
        <v>43231</v>
      </c>
      <c r="B3755">
        <v>1.352338</v>
      </c>
      <c r="C3755">
        <f t="shared" si="60"/>
        <v>-1.5688874483835531E-3</v>
      </c>
      <c r="D3755">
        <f>(C3755-meanrtn)/stdevrtns</f>
        <v>-0.2520032875076198</v>
      </c>
    </row>
    <row r="3756" spans="1:4" x14ac:dyDescent="0.3">
      <c r="A3756" s="1">
        <v>43234</v>
      </c>
      <c r="B3756">
        <v>1.3553809999999999</v>
      </c>
      <c r="C3756">
        <f t="shared" si="60"/>
        <v>2.2501771006951713E-3</v>
      </c>
      <c r="D3756">
        <f>(C3756-meanrtn)/stdevrtns</f>
        <v>0.38096944765731072</v>
      </c>
    </row>
    <row r="3757" spans="1:4" x14ac:dyDescent="0.3">
      <c r="A3757" s="1">
        <v>43235</v>
      </c>
      <c r="B3757">
        <v>1.3562449999999999</v>
      </c>
      <c r="C3757">
        <f t="shared" si="60"/>
        <v>6.3745913510664229E-4</v>
      </c>
      <c r="D3757">
        <f>(C3757-meanrtn)/stdevrtns</f>
        <v>0.11367715955643448</v>
      </c>
    </row>
    <row r="3758" spans="1:4" x14ac:dyDescent="0.3">
      <c r="A3758" s="1">
        <v>43236</v>
      </c>
      <c r="B3758">
        <v>1.35002</v>
      </c>
      <c r="C3758">
        <f t="shared" si="60"/>
        <v>-4.5898786723637137E-3</v>
      </c>
      <c r="D3758">
        <f>(C3758-meanrtn)/stdevrtns</f>
        <v>-0.75270314564781704</v>
      </c>
    </row>
    <row r="3759" spans="1:4" x14ac:dyDescent="0.3">
      <c r="A3759" s="1">
        <v>43237</v>
      </c>
      <c r="B3759">
        <v>1.35483</v>
      </c>
      <c r="C3759">
        <f t="shared" si="60"/>
        <v>3.5629101791084436E-3</v>
      </c>
      <c r="D3759">
        <f>(C3759-meanrtn)/stdevrtns</f>
        <v>0.59854216383074454</v>
      </c>
    </row>
    <row r="3760" spans="1:4" x14ac:dyDescent="0.3">
      <c r="A3760" s="1">
        <v>43238</v>
      </c>
      <c r="B3760">
        <v>1.351534</v>
      </c>
      <c r="C3760">
        <f t="shared" si="60"/>
        <v>-2.4327775440460913E-3</v>
      </c>
      <c r="D3760">
        <f>(C3760-meanrtn)/stdevrtns</f>
        <v>-0.39518465291955551</v>
      </c>
    </row>
    <row r="3761" spans="1:4" x14ac:dyDescent="0.3">
      <c r="A3761" s="1">
        <v>43241</v>
      </c>
      <c r="B3761">
        <v>1.347709</v>
      </c>
      <c r="C3761">
        <f t="shared" si="60"/>
        <v>-2.8301174813212004E-3</v>
      </c>
      <c r="D3761">
        <f>(C3761-meanrtn)/stdevrtns</f>
        <v>-0.46103987575101002</v>
      </c>
    </row>
    <row r="3762" spans="1:4" x14ac:dyDescent="0.3">
      <c r="A3762" s="1">
        <v>43242</v>
      </c>
      <c r="B3762">
        <v>1.343183</v>
      </c>
      <c r="C3762">
        <f t="shared" si="60"/>
        <v>-3.3582917380532667E-3</v>
      </c>
      <c r="D3762">
        <f>(C3762-meanrtn)/stdevrtns</f>
        <v>-0.54857961215270257</v>
      </c>
    </row>
    <row r="3763" spans="1:4" x14ac:dyDescent="0.3">
      <c r="A3763" s="1">
        <v>43243</v>
      </c>
      <c r="B3763">
        <v>1.344104</v>
      </c>
      <c r="C3763">
        <f t="shared" si="60"/>
        <v>6.856846758780819E-4</v>
      </c>
      <c r="D3763">
        <f>(C3763-meanrtn)/stdevrtns</f>
        <v>0.12167007301852029</v>
      </c>
    </row>
    <row r="3764" spans="1:4" x14ac:dyDescent="0.3">
      <c r="A3764" s="1">
        <v>43244</v>
      </c>
      <c r="B3764">
        <v>1.3371310000000001</v>
      </c>
      <c r="C3764">
        <f t="shared" si="60"/>
        <v>-5.1878426074172057E-3</v>
      </c>
      <c r="D3764">
        <f>(C3764-meanrtn)/stdevrtns</f>
        <v>-0.85180984118458092</v>
      </c>
    </row>
    <row r="3765" spans="1:4" x14ac:dyDescent="0.3">
      <c r="A3765" s="1">
        <v>43245</v>
      </c>
      <c r="B3765">
        <v>1.3383480000000001</v>
      </c>
      <c r="C3765">
        <f t="shared" si="60"/>
        <v>9.1015764349194179E-4</v>
      </c>
      <c r="D3765">
        <f>(C3765-meanrtn)/stdevrtns</f>
        <v>0.15887428008420318</v>
      </c>
    </row>
    <row r="3766" spans="1:4" x14ac:dyDescent="0.3">
      <c r="A3766" s="1">
        <v>43248</v>
      </c>
      <c r="B3766">
        <v>1.330902</v>
      </c>
      <c r="C3766">
        <f t="shared" si="60"/>
        <v>-5.5635753929471734E-3</v>
      </c>
      <c r="D3766">
        <f>(C3766-meanrtn)/stdevrtns</f>
        <v>-0.91408388915934302</v>
      </c>
    </row>
    <row r="3767" spans="1:4" x14ac:dyDescent="0.3">
      <c r="A3767" s="1">
        <v>43249</v>
      </c>
      <c r="B3767">
        <v>1.331558</v>
      </c>
      <c r="C3767">
        <f t="shared" si="60"/>
        <v>4.9289880096354947E-4</v>
      </c>
      <c r="D3767">
        <f>(C3767-meanrtn)/stdevrtns</f>
        <v>8.971769280141903E-2</v>
      </c>
    </row>
    <row r="3768" spans="1:4" x14ac:dyDescent="0.3">
      <c r="A3768" s="1">
        <v>43250</v>
      </c>
      <c r="B3768">
        <v>1.3253809999999999</v>
      </c>
      <c r="C3768">
        <f t="shared" si="60"/>
        <v>-4.6389267309423238E-3</v>
      </c>
      <c r="D3768">
        <f>(C3768-meanrtn)/stdevrtns</f>
        <v>-0.76083238342163828</v>
      </c>
    </row>
    <row r="3769" spans="1:4" x14ac:dyDescent="0.3">
      <c r="A3769" s="1">
        <v>43251</v>
      </c>
      <c r="B3769">
        <v>1.3283560000000001</v>
      </c>
      <c r="C3769">
        <f t="shared" si="60"/>
        <v>2.244637579684764E-3</v>
      </c>
      <c r="D3769">
        <f>(C3769-meanrtn)/stdevrtns</f>
        <v>0.38005132602820474</v>
      </c>
    </row>
    <row r="3770" spans="1:4" x14ac:dyDescent="0.3">
      <c r="A3770" s="1">
        <v>43252</v>
      </c>
      <c r="B3770">
        <v>1.3289390000000001</v>
      </c>
      <c r="C3770">
        <f t="shared" si="60"/>
        <v>4.3888837028627876E-4</v>
      </c>
      <c r="D3770">
        <f>(C3770-meanrtn)/stdevrtns</f>
        <v>8.0765990206741772E-2</v>
      </c>
    </row>
    <row r="3771" spans="1:4" x14ac:dyDescent="0.3">
      <c r="A3771" s="1">
        <v>43255</v>
      </c>
      <c r="B3771">
        <v>1.3356479999999999</v>
      </c>
      <c r="C3771">
        <f t="shared" si="60"/>
        <v>5.0483882254940618E-3</v>
      </c>
      <c r="D3771">
        <f>(C3771-meanrtn)/stdevrtns</f>
        <v>0.8447456751788267</v>
      </c>
    </row>
    <row r="3772" spans="1:4" x14ac:dyDescent="0.3">
      <c r="A3772" s="1">
        <v>43256</v>
      </c>
      <c r="B3772">
        <v>1.331647</v>
      </c>
      <c r="C3772">
        <f t="shared" si="60"/>
        <v>-2.9955497256761673E-3</v>
      </c>
      <c r="D3772">
        <f>(C3772-meanrtn)/stdevrtns</f>
        <v>-0.48845865824294166</v>
      </c>
    </row>
    <row r="3773" spans="1:4" x14ac:dyDescent="0.3">
      <c r="A3773" s="1">
        <v>43257</v>
      </c>
      <c r="B3773">
        <v>1.340608</v>
      </c>
      <c r="C3773">
        <f t="shared" si="60"/>
        <v>6.7292608326380765E-3</v>
      </c>
      <c r="D3773">
        <f>(C3773-meanrtn)/stdevrtns</f>
        <v>1.1233339310029948</v>
      </c>
    </row>
    <row r="3774" spans="1:4" x14ac:dyDescent="0.3">
      <c r="A3774" s="1">
        <v>43258</v>
      </c>
      <c r="B3774">
        <v>1.3421559999999999</v>
      </c>
      <c r="C3774">
        <f t="shared" si="60"/>
        <v>1.1546999570343328E-3</v>
      </c>
      <c r="D3774">
        <f>(C3774-meanrtn)/stdevrtns</f>
        <v>0.19940478567720946</v>
      </c>
    </row>
    <row r="3775" spans="1:4" x14ac:dyDescent="0.3">
      <c r="A3775" s="1">
        <v>43259</v>
      </c>
      <c r="B3775">
        <v>1.3419220000000001</v>
      </c>
      <c r="C3775">
        <f t="shared" si="60"/>
        <v>-1.7434635020060669E-4</v>
      </c>
      <c r="D3775">
        <f>(C3775-meanrtn)/stdevrtns</f>
        <v>-2.0871689213555492E-2</v>
      </c>
    </row>
    <row r="3776" spans="1:4" x14ac:dyDescent="0.3">
      <c r="A3776" s="1">
        <v>43262</v>
      </c>
      <c r="B3776">
        <v>1.3413820000000001</v>
      </c>
      <c r="C3776">
        <f t="shared" si="60"/>
        <v>-4.0240788957926385E-4</v>
      </c>
      <c r="D3776">
        <f>(C3776-meanrtn)/stdevrtns</f>
        <v>-5.8670667081383472E-2</v>
      </c>
    </row>
    <row r="3777" spans="1:4" x14ac:dyDescent="0.3">
      <c r="A3777" s="1">
        <v>43263</v>
      </c>
      <c r="B3777">
        <v>1.3374349999999999</v>
      </c>
      <c r="C3777">
        <f t="shared" si="60"/>
        <v>-2.9424876731610717E-3</v>
      </c>
      <c r="D3777">
        <f>(C3777-meanrtn)/stdevrtns</f>
        <v>-0.47966414008742964</v>
      </c>
    </row>
    <row r="3778" spans="1:4" x14ac:dyDescent="0.3">
      <c r="A3778" s="1">
        <v>43264</v>
      </c>
      <c r="B3778">
        <v>1.337256</v>
      </c>
      <c r="C3778">
        <f t="shared" si="60"/>
        <v>-1.3383827999112423E-4</v>
      </c>
      <c r="D3778">
        <f>(C3778-meanrtn)/stdevrtns</f>
        <v>-1.4157871296302842E-2</v>
      </c>
    </row>
    <row r="3779" spans="1:4" x14ac:dyDescent="0.3">
      <c r="A3779" s="1">
        <v>43265</v>
      </c>
      <c r="B3779">
        <v>1.338276</v>
      </c>
      <c r="C3779">
        <f t="shared" si="60"/>
        <v>7.6275597193059584E-4</v>
      </c>
      <c r="D3779">
        <f>(C3779-meanrtn)/stdevrtns</f>
        <v>0.13444388933875873</v>
      </c>
    </row>
    <row r="3780" spans="1:4" x14ac:dyDescent="0.3">
      <c r="A3780" s="1">
        <v>43266</v>
      </c>
      <c r="B3780">
        <v>1.3256619999999999</v>
      </c>
      <c r="C3780">
        <f t="shared" ref="C3780:C3843" si="61">(B3780-B3779)/B3779</f>
        <v>-9.4255594511148105E-3</v>
      </c>
      <c r="D3780">
        <f>(C3780-meanrtn)/stdevrtns</f>
        <v>-1.5541701147381757</v>
      </c>
    </row>
    <row r="3781" spans="1:4" x14ac:dyDescent="0.3">
      <c r="A3781" s="1">
        <v>43269</v>
      </c>
      <c r="B3781">
        <v>1.32751</v>
      </c>
      <c r="C3781">
        <f t="shared" si="61"/>
        <v>1.3940204969291358E-3</v>
      </c>
      <c r="D3781">
        <f>(C3781-meanrtn)/stdevrtns</f>
        <v>0.23906983317029354</v>
      </c>
    </row>
    <row r="3782" spans="1:4" x14ac:dyDescent="0.3">
      <c r="A3782" s="1">
        <v>43270</v>
      </c>
      <c r="B3782">
        <v>1.3258730000000001</v>
      </c>
      <c r="C3782">
        <f t="shared" si="61"/>
        <v>-1.2331357202581439E-3</v>
      </c>
      <c r="D3782">
        <f>(C3782-meanrtn)/stdevrtns</f>
        <v>-0.19635571021302833</v>
      </c>
    </row>
    <row r="3783" spans="1:4" x14ac:dyDescent="0.3">
      <c r="A3783" s="1">
        <v>43271</v>
      </c>
      <c r="B3783">
        <v>1.3173319999999999</v>
      </c>
      <c r="C3783">
        <f t="shared" si="61"/>
        <v>-6.4417934447719592E-3</v>
      </c>
      <c r="D3783">
        <f>(C3783-meanrtn)/stdevrtns</f>
        <v>-1.0596399736902653</v>
      </c>
    </row>
    <row r="3784" spans="1:4" x14ac:dyDescent="0.3">
      <c r="A3784" s="1">
        <v>43272</v>
      </c>
      <c r="B3784">
        <v>1.317523</v>
      </c>
      <c r="C3784">
        <f t="shared" si="61"/>
        <v>1.4499002529358752E-4</v>
      </c>
      <c r="D3784">
        <f>(C3784-meanrtn)/stdevrtns</f>
        <v>3.2055203337390169E-2</v>
      </c>
    </row>
    <row r="3785" spans="1:4" x14ac:dyDescent="0.3">
      <c r="A3785" s="1">
        <v>43273</v>
      </c>
      <c r="B3785">
        <v>1.324784</v>
      </c>
      <c r="C3785">
        <f t="shared" si="61"/>
        <v>5.5110992369772384E-3</v>
      </c>
      <c r="D3785">
        <f>(C3785-meanrtn)/stdevrtns</f>
        <v>0.9214355165694601</v>
      </c>
    </row>
    <row r="3786" spans="1:4" x14ac:dyDescent="0.3">
      <c r="A3786" s="1">
        <v>43276</v>
      </c>
      <c r="B3786">
        <v>1.3262419999999999</v>
      </c>
      <c r="C3786">
        <f t="shared" si="61"/>
        <v>1.100556770009269E-3</v>
      </c>
      <c r="D3786">
        <f>(C3786-meanrtn)/stdevrtns</f>
        <v>0.19043108001149395</v>
      </c>
    </row>
    <row r="3787" spans="1:4" x14ac:dyDescent="0.3">
      <c r="A3787" s="1">
        <v>43277</v>
      </c>
      <c r="B3787">
        <v>1.3278449999999999</v>
      </c>
      <c r="C3787">
        <f t="shared" si="61"/>
        <v>1.2086783558355272E-3</v>
      </c>
      <c r="D3787">
        <f>(C3787-meanrtn)/stdevrtns</f>
        <v>0.20835117930055302</v>
      </c>
    </row>
    <row r="3788" spans="1:4" x14ac:dyDescent="0.3">
      <c r="A3788" s="1">
        <v>43278</v>
      </c>
      <c r="B3788">
        <v>1.3221039999999999</v>
      </c>
      <c r="C3788">
        <f t="shared" si="61"/>
        <v>-4.3235467995134946E-3</v>
      </c>
      <c r="D3788">
        <f>(C3788-meanrtn)/stdevrtns</f>
        <v>-0.70856123292202433</v>
      </c>
    </row>
    <row r="3789" spans="1:4" x14ac:dyDescent="0.3">
      <c r="A3789" s="1">
        <v>43279</v>
      </c>
      <c r="B3789">
        <v>1.3120430000000001</v>
      </c>
      <c r="C3789">
        <f t="shared" si="61"/>
        <v>-7.6098400730955171E-3</v>
      </c>
      <c r="D3789">
        <f>(C3789-meanrtn)/stdevrtns</f>
        <v>-1.253232320619434</v>
      </c>
    </row>
    <row r="3790" spans="1:4" x14ac:dyDescent="0.3">
      <c r="A3790" s="1">
        <v>43280</v>
      </c>
      <c r="B3790">
        <v>1.3075140000000001</v>
      </c>
      <c r="C3790">
        <f t="shared" si="61"/>
        <v>-3.4518685744293481E-3</v>
      </c>
      <c r="D3790">
        <f>(C3790-meanrtn)/stdevrtns</f>
        <v>-0.56408906094778455</v>
      </c>
    </row>
    <row r="3791" spans="1:4" x14ac:dyDescent="0.3">
      <c r="A3791" s="1">
        <v>43283</v>
      </c>
      <c r="B3791">
        <v>1.3207770000000001</v>
      </c>
      <c r="C3791">
        <f t="shared" si="61"/>
        <v>1.0143677237872807E-2</v>
      </c>
      <c r="D3791">
        <f>(C3791-meanrtn)/stdevrtns</f>
        <v>1.6892401793105267</v>
      </c>
    </row>
    <row r="3792" spans="1:4" x14ac:dyDescent="0.3">
      <c r="A3792" s="1">
        <v>43284</v>
      </c>
      <c r="B3792">
        <v>1.314406</v>
      </c>
      <c r="C3792">
        <f t="shared" si="61"/>
        <v>-4.8236757605561922E-3</v>
      </c>
      <c r="D3792">
        <f>(C3792-meanrtn)/stdevrtns</f>
        <v>-0.79145273484302681</v>
      </c>
    </row>
    <row r="3793" spans="1:4" x14ac:dyDescent="0.3">
      <c r="A3793" s="1">
        <v>43285</v>
      </c>
      <c r="B3793">
        <v>1.3194349999999999</v>
      </c>
      <c r="C3793">
        <f t="shared" si="61"/>
        <v>3.8260628755498304E-3</v>
      </c>
      <c r="D3793">
        <f>(C3793-meanrtn)/stdevrtns</f>
        <v>0.64215715904540061</v>
      </c>
    </row>
    <row r="3794" spans="1:4" x14ac:dyDescent="0.3">
      <c r="A3794" s="1">
        <v>43286</v>
      </c>
      <c r="B3794">
        <v>1.322926</v>
      </c>
      <c r="C3794">
        <f t="shared" si="61"/>
        <v>2.6458294648846917E-3</v>
      </c>
      <c r="D3794">
        <f>(C3794-meanrtn)/stdevrtns</f>
        <v>0.44654497169392987</v>
      </c>
    </row>
    <row r="3795" spans="1:4" x14ac:dyDescent="0.3">
      <c r="A3795" s="1">
        <v>43287</v>
      </c>
      <c r="B3795">
        <v>1.322576</v>
      </c>
      <c r="C3795">
        <f t="shared" si="61"/>
        <v>-2.6456506259614856E-4</v>
      </c>
      <c r="D3795">
        <f>(C3795-meanrtn)/stdevrtns</f>
        <v>-3.5824561681196833E-2</v>
      </c>
    </row>
    <row r="3796" spans="1:4" x14ac:dyDescent="0.3">
      <c r="A3796" s="1">
        <v>43290</v>
      </c>
      <c r="B3796">
        <v>1.3297870000000001</v>
      </c>
      <c r="C3796">
        <f t="shared" si="61"/>
        <v>5.4522386615212118E-3</v>
      </c>
      <c r="D3796">
        <f>(C3796-meanrtn)/stdevrtns</f>
        <v>0.9116799497386322</v>
      </c>
    </row>
    <row r="3797" spans="1:4" x14ac:dyDescent="0.3">
      <c r="A3797" s="1">
        <v>43291</v>
      </c>
      <c r="B3797">
        <v>1.3255570000000001</v>
      </c>
      <c r="C3797">
        <f t="shared" si="61"/>
        <v>-3.1809605598490252E-3</v>
      </c>
      <c r="D3797">
        <f>(C3797-meanrtn)/stdevrtns</f>
        <v>-0.51918869732120654</v>
      </c>
    </row>
    <row r="3798" spans="1:4" x14ac:dyDescent="0.3">
      <c r="A3798" s="1">
        <v>43292</v>
      </c>
      <c r="B3798">
        <v>1.3257319999999999</v>
      </c>
      <c r="C3798">
        <f t="shared" si="61"/>
        <v>1.3201997349024914E-4</v>
      </c>
      <c r="D3798">
        <f>(C3798-meanrtn)/stdevrtns</f>
        <v>2.9905543634159874E-2</v>
      </c>
    </row>
    <row r="3799" spans="1:4" x14ac:dyDescent="0.3">
      <c r="A3799" s="1">
        <v>43293</v>
      </c>
      <c r="B3799">
        <v>1.3210040000000001</v>
      </c>
      <c r="C3799">
        <f t="shared" si="61"/>
        <v>-3.566331656775158E-3</v>
      </c>
      <c r="D3799">
        <f>(C3799-meanrtn)/stdevrtns</f>
        <v>-0.58306020149195614</v>
      </c>
    </row>
    <row r="3800" spans="1:4" x14ac:dyDescent="0.3">
      <c r="A3800" s="1">
        <v>43294</v>
      </c>
      <c r="B3800">
        <v>1.318044</v>
      </c>
      <c r="C3800">
        <f t="shared" si="61"/>
        <v>-2.2407199372598973E-3</v>
      </c>
      <c r="D3800">
        <f>(C3800-meanrtn)/stdevrtns</f>
        <v>-0.3633529760483139</v>
      </c>
    </row>
    <row r="3801" spans="1:4" x14ac:dyDescent="0.3">
      <c r="A3801" s="1">
        <v>43297</v>
      </c>
      <c r="B3801">
        <v>1.3227690000000001</v>
      </c>
      <c r="C3801">
        <f t="shared" si="61"/>
        <v>3.5848575616596184E-3</v>
      </c>
      <c r="D3801">
        <f>(C3801-meanrtn)/stdevrtns</f>
        <v>0.60217972862824953</v>
      </c>
    </row>
    <row r="3802" spans="1:4" x14ac:dyDescent="0.3">
      <c r="A3802" s="1">
        <v>43298</v>
      </c>
      <c r="B3802">
        <v>1.323644</v>
      </c>
      <c r="C3802">
        <f t="shared" si="61"/>
        <v>6.6149115983210908E-4</v>
      </c>
      <c r="D3802">
        <f>(C3802-meanrtn)/stdevrtns</f>
        <v>0.11766023348109476</v>
      </c>
    </row>
    <row r="3803" spans="1:4" x14ac:dyDescent="0.3">
      <c r="A3803" s="1">
        <v>43299</v>
      </c>
      <c r="B3803">
        <v>1.310616</v>
      </c>
      <c r="C3803">
        <f t="shared" si="61"/>
        <v>-9.8425256337807132E-3</v>
      </c>
      <c r="D3803">
        <f>(C3803-meanrtn)/stdevrtns</f>
        <v>-1.6232781965004974</v>
      </c>
    </row>
    <row r="3804" spans="1:4" x14ac:dyDescent="0.3">
      <c r="A3804" s="1">
        <v>43300</v>
      </c>
      <c r="B3804">
        <v>1.307822</v>
      </c>
      <c r="C3804">
        <f t="shared" si="61"/>
        <v>-2.131821982945396E-3</v>
      </c>
      <c r="D3804">
        <f>(C3804-meanrtn)/stdevrtns</f>
        <v>-0.34530420124744193</v>
      </c>
    </row>
    <row r="3805" spans="1:4" x14ac:dyDescent="0.3">
      <c r="A3805" s="1">
        <v>43301</v>
      </c>
      <c r="B3805">
        <v>1.3023039999999999</v>
      </c>
      <c r="C3805">
        <f t="shared" si="61"/>
        <v>-4.2192286106214252E-3</v>
      </c>
      <c r="D3805">
        <f>(C3805-meanrtn)/stdevrtns</f>
        <v>-0.69127150961363104</v>
      </c>
    </row>
    <row r="3806" spans="1:4" x14ac:dyDescent="0.3">
      <c r="A3806" s="1">
        <v>43304</v>
      </c>
      <c r="B3806">
        <v>1.3147169999999999</v>
      </c>
      <c r="C3806">
        <f t="shared" si="61"/>
        <v>9.5315686659950428E-3</v>
      </c>
      <c r="D3806">
        <f>(C3806-meanrtn)/stdevrtns</f>
        <v>1.5877891480487398</v>
      </c>
    </row>
    <row r="3807" spans="1:4" x14ac:dyDescent="0.3">
      <c r="A3807" s="1">
        <v>43305</v>
      </c>
      <c r="B3807">
        <v>1.310273</v>
      </c>
      <c r="C3807">
        <f t="shared" si="61"/>
        <v>-3.3801951294460276E-3</v>
      </c>
      <c r="D3807">
        <f>(C3807-meanrtn)/stdevrtns</f>
        <v>-0.55220988584436048</v>
      </c>
    </row>
    <row r="3808" spans="1:4" x14ac:dyDescent="0.3">
      <c r="A3808" s="1">
        <v>43306</v>
      </c>
      <c r="B3808">
        <v>1.315218</v>
      </c>
      <c r="C3808">
        <f t="shared" si="61"/>
        <v>3.7740226655055679E-3</v>
      </c>
      <c r="D3808">
        <f>(C3808-meanrtn)/stdevrtns</f>
        <v>0.63353200132236065</v>
      </c>
    </row>
    <row r="3809" spans="1:4" x14ac:dyDescent="0.3">
      <c r="A3809" s="1">
        <v>43307</v>
      </c>
      <c r="B3809">
        <v>1.319958</v>
      </c>
      <c r="C3809">
        <f t="shared" si="61"/>
        <v>3.6039652741978643E-3</v>
      </c>
      <c r="D3809">
        <f>(C3809-meanrtn)/stdevrtns</f>
        <v>0.60534664579151043</v>
      </c>
    </row>
    <row r="3810" spans="1:4" x14ac:dyDescent="0.3">
      <c r="A3810" s="1">
        <v>43308</v>
      </c>
      <c r="B3810">
        <v>1.3108740000000001</v>
      </c>
      <c r="C3810">
        <f t="shared" si="61"/>
        <v>-6.8820371557275842E-3</v>
      </c>
      <c r="D3810">
        <f>(C3810-meanrtn)/stdevrtns</f>
        <v>-1.1326060789450096</v>
      </c>
    </row>
    <row r="3811" spans="1:4" x14ac:dyDescent="0.3">
      <c r="A3811" s="1">
        <v>43311</v>
      </c>
      <c r="B3811">
        <v>1.311183</v>
      </c>
      <c r="C3811">
        <f t="shared" si="61"/>
        <v>2.3572059557203261E-4</v>
      </c>
      <c r="D3811">
        <f>(C3811-meanrtn)/stdevrtns</f>
        <v>4.7092911261461583E-2</v>
      </c>
    </row>
    <row r="3812" spans="1:4" x14ac:dyDescent="0.3">
      <c r="A3812" s="1">
        <v>43312</v>
      </c>
      <c r="B3812">
        <v>1.3135429999999999</v>
      </c>
      <c r="C3812">
        <f t="shared" si="61"/>
        <v>1.7999013104958788E-3</v>
      </c>
      <c r="D3812">
        <f>(C3812-meanrtn)/stdevrtns</f>
        <v>0.30634062302282</v>
      </c>
    </row>
    <row r="3813" spans="1:4" x14ac:dyDescent="0.3">
      <c r="A3813" s="1">
        <v>43313</v>
      </c>
      <c r="B3813">
        <v>1.3121640000000001</v>
      </c>
      <c r="C3813">
        <f t="shared" si="61"/>
        <v>-1.0498323998527626E-3</v>
      </c>
      <c r="D3813">
        <f>(C3813-meanrtn)/stdevrtns</f>
        <v>-0.16597497100562297</v>
      </c>
    </row>
    <row r="3814" spans="1:4" x14ac:dyDescent="0.3">
      <c r="A3814" s="1">
        <v>43314</v>
      </c>
      <c r="B3814">
        <v>1.3126119999999999</v>
      </c>
      <c r="C3814">
        <f t="shared" si="61"/>
        <v>3.4142073704184985E-4</v>
      </c>
      <c r="D3814">
        <f>(C3814-meanrtn)/stdevrtns</f>
        <v>6.461167974355228E-2</v>
      </c>
    </row>
    <row r="3815" spans="1:4" x14ac:dyDescent="0.3">
      <c r="A3815" s="1">
        <v>43315</v>
      </c>
      <c r="B3815">
        <v>1.301812</v>
      </c>
      <c r="C3815">
        <f t="shared" si="61"/>
        <v>-8.227869317056314E-3</v>
      </c>
      <c r="D3815">
        <f>(C3815-meanrtn)/stdevrtns</f>
        <v>-1.3556646455865908</v>
      </c>
    </row>
    <row r="3816" spans="1:4" x14ac:dyDescent="0.3">
      <c r="A3816" s="1">
        <v>43318</v>
      </c>
      <c r="B3816">
        <v>1.3003560000000001</v>
      </c>
      <c r="C3816">
        <f t="shared" si="61"/>
        <v>-1.1184410652228601E-3</v>
      </c>
      <c r="D3816">
        <f>(C3816-meanrtn)/stdevrtns</f>
        <v>-0.17734618875207403</v>
      </c>
    </row>
    <row r="3817" spans="1:4" x14ac:dyDescent="0.3">
      <c r="A3817" s="1">
        <v>43319</v>
      </c>
      <c r="B3817">
        <v>1.2944979999999999</v>
      </c>
      <c r="C3817">
        <f t="shared" si="61"/>
        <v>-4.5049201910862414E-3</v>
      </c>
      <c r="D3817">
        <f>(C3817-meanrtn)/stdevrtns</f>
        <v>-0.73862210523109173</v>
      </c>
    </row>
    <row r="3818" spans="1:4" x14ac:dyDescent="0.3">
      <c r="A3818" s="1">
        <v>43320</v>
      </c>
      <c r="B3818">
        <v>1.2946660000000001</v>
      </c>
      <c r="C3818">
        <f t="shared" si="61"/>
        <v>1.297800382852411E-4</v>
      </c>
      <c r="D3818">
        <f>(C3818-meanrtn)/stdevrtns</f>
        <v>2.9534296200374503E-2</v>
      </c>
    </row>
    <row r="3819" spans="1:4" x14ac:dyDescent="0.3">
      <c r="A3819" s="1">
        <v>43321</v>
      </c>
      <c r="B3819">
        <v>1.288162</v>
      </c>
      <c r="C3819">
        <f t="shared" si="61"/>
        <v>-5.023689507564163E-3</v>
      </c>
      <c r="D3819">
        <f>(C3819-meanrtn)/stdevrtns</f>
        <v>-0.82460306442956444</v>
      </c>
    </row>
    <row r="3820" spans="1:4" x14ac:dyDescent="0.3">
      <c r="A3820" s="1">
        <v>43322</v>
      </c>
      <c r="B3820">
        <v>1.2828409999999999</v>
      </c>
      <c r="C3820">
        <f t="shared" si="61"/>
        <v>-4.1306916366110249E-3</v>
      </c>
      <c r="D3820">
        <f>(C3820-meanrtn)/stdevrtns</f>
        <v>-0.67659736889608058</v>
      </c>
    </row>
    <row r="3821" spans="1:4" x14ac:dyDescent="0.3">
      <c r="A3821" s="1">
        <v>43325</v>
      </c>
      <c r="B3821">
        <v>1.2758849999999999</v>
      </c>
      <c r="C3821">
        <f t="shared" si="61"/>
        <v>-5.4223399470393939E-3</v>
      </c>
      <c r="D3821">
        <f>(C3821-meanrtn)/stdevrtns</f>
        <v>-0.89067549023085379</v>
      </c>
    </row>
    <row r="3822" spans="1:4" x14ac:dyDescent="0.3">
      <c r="A3822" s="1">
        <v>43326</v>
      </c>
      <c r="B3822">
        <v>1.276275</v>
      </c>
      <c r="C3822">
        <f t="shared" si="61"/>
        <v>3.0567018187384641E-4</v>
      </c>
      <c r="D3822">
        <f>(C3822-meanrtn)/stdevrtns</f>
        <v>5.8686373586102097E-2</v>
      </c>
    </row>
    <row r="3823" spans="1:4" x14ac:dyDescent="0.3">
      <c r="A3823" s="1">
        <v>43327</v>
      </c>
      <c r="B3823">
        <v>1.271779</v>
      </c>
      <c r="C3823">
        <f t="shared" si="61"/>
        <v>-3.5227517580459192E-3</v>
      </c>
      <c r="D3823">
        <f>(C3823-meanrtn)/stdevrtns</f>
        <v>-0.57583725793015872</v>
      </c>
    </row>
    <row r="3824" spans="1:4" x14ac:dyDescent="0.3">
      <c r="A3824" s="1">
        <v>43328</v>
      </c>
      <c r="B3824">
        <v>1.26939</v>
      </c>
      <c r="C3824">
        <f t="shared" si="61"/>
        <v>-1.8784710236605373E-3</v>
      </c>
      <c r="D3824">
        <f>(C3824-meanrtn)/stdevrtns</f>
        <v>-0.30331374845609527</v>
      </c>
    </row>
    <row r="3825" spans="1:4" x14ac:dyDescent="0.3">
      <c r="A3825" s="1">
        <v>43329</v>
      </c>
      <c r="B3825">
        <v>1.2714559999999999</v>
      </c>
      <c r="C3825">
        <f t="shared" si="61"/>
        <v>1.6275533917865282E-3</v>
      </c>
      <c r="D3825">
        <f>(C3825-meanrtn)/stdevrtns</f>
        <v>0.27777563489457352</v>
      </c>
    </row>
    <row r="3826" spans="1:4" x14ac:dyDescent="0.3">
      <c r="A3826" s="1">
        <v>43332</v>
      </c>
      <c r="B3826">
        <v>1.2747139999999999</v>
      </c>
      <c r="C3826">
        <f t="shared" si="61"/>
        <v>2.5624166310119919E-3</v>
      </c>
      <c r="D3826">
        <f>(C3826-meanrtn)/stdevrtns</f>
        <v>0.43272010727340121</v>
      </c>
    </row>
    <row r="3827" spans="1:4" x14ac:dyDescent="0.3">
      <c r="A3827" s="1">
        <v>43333</v>
      </c>
      <c r="B3827">
        <v>1.2804260000000001</v>
      </c>
      <c r="C3827">
        <f t="shared" si="61"/>
        <v>4.481005150959479E-3</v>
      </c>
      <c r="D3827">
        <f>(C3827-meanrtn)/stdevrtns</f>
        <v>0.75070745928612137</v>
      </c>
    </row>
    <row r="3828" spans="1:4" x14ac:dyDescent="0.3">
      <c r="A3828" s="1">
        <v>43334</v>
      </c>
      <c r="B3828">
        <v>1.290556</v>
      </c>
      <c r="C3828">
        <f t="shared" si="61"/>
        <v>7.9114294773770383E-3</v>
      </c>
      <c r="D3828">
        <f>(C3828-meanrtn)/stdevrtns</f>
        <v>1.3192668645448351</v>
      </c>
    </row>
    <row r="3829" spans="1:4" x14ac:dyDescent="0.3">
      <c r="A3829" s="1">
        <v>43335</v>
      </c>
      <c r="B3829">
        <v>1.290473</v>
      </c>
      <c r="C3829">
        <f t="shared" si="61"/>
        <v>-6.4313365712185489E-5</v>
      </c>
      <c r="D3829">
        <f>(C3829-meanrtn)/stdevrtns</f>
        <v>-2.6347942213518273E-3</v>
      </c>
    </row>
    <row r="3830" spans="1:4" x14ac:dyDescent="0.3">
      <c r="A3830" s="1">
        <v>43336</v>
      </c>
      <c r="B3830">
        <v>1.281066</v>
      </c>
      <c r="C3830">
        <f t="shared" si="61"/>
        <v>-7.2895752177689448E-3</v>
      </c>
      <c r="D3830">
        <f>(C3830-meanrtn)/stdevrtns</f>
        <v>-1.2001515415835931</v>
      </c>
    </row>
    <row r="3831" spans="1:4" x14ac:dyDescent="0.3">
      <c r="A3831" s="1">
        <v>43339</v>
      </c>
      <c r="B3831">
        <v>1.2860910000000001</v>
      </c>
      <c r="C3831">
        <f t="shared" si="61"/>
        <v>3.9225145308673069E-3</v>
      </c>
      <c r="D3831">
        <f>(C3831-meanrtn)/stdevrtns</f>
        <v>0.65814308106712072</v>
      </c>
    </row>
    <row r="3832" spans="1:4" x14ac:dyDescent="0.3">
      <c r="A3832" s="1">
        <v>43340</v>
      </c>
      <c r="B3832">
        <v>1.289674</v>
      </c>
      <c r="C3832">
        <f t="shared" si="61"/>
        <v>2.7859614910608127E-3</v>
      </c>
      <c r="D3832">
        <f>(C3832-meanrtn)/stdevrtns</f>
        <v>0.46977048955387285</v>
      </c>
    </row>
    <row r="3833" spans="1:4" x14ac:dyDescent="0.3">
      <c r="A3833" s="1">
        <v>43341</v>
      </c>
      <c r="B3833">
        <v>1.2867690000000001</v>
      </c>
      <c r="C3833">
        <f t="shared" si="61"/>
        <v>-2.2525072227554681E-3</v>
      </c>
      <c r="D3833">
        <f>(C3833-meanrtn)/stdevrtns</f>
        <v>-0.36530660376117913</v>
      </c>
    </row>
    <row r="3834" spans="1:4" x14ac:dyDescent="0.3">
      <c r="A3834" s="1">
        <v>43342</v>
      </c>
      <c r="B3834">
        <v>1.3035939999999999</v>
      </c>
      <c r="C3834">
        <f t="shared" si="61"/>
        <v>1.3075384937001021E-2</v>
      </c>
      <c r="D3834">
        <f>(C3834-meanrtn)/stdevrtns</f>
        <v>2.1751421632057508</v>
      </c>
    </row>
    <row r="3835" spans="1:4" x14ac:dyDescent="0.3">
      <c r="A3835" s="1">
        <v>43343</v>
      </c>
      <c r="B3835">
        <v>1.3011010000000001</v>
      </c>
      <c r="C3835">
        <f t="shared" si="61"/>
        <v>-1.9124052427365089E-3</v>
      </c>
      <c r="D3835">
        <f>(C3835-meanrtn)/stdevrtns</f>
        <v>-0.30893801460508852</v>
      </c>
    </row>
    <row r="3836" spans="1:4" x14ac:dyDescent="0.3">
      <c r="A3836" s="1">
        <v>43346</v>
      </c>
      <c r="B3836">
        <v>1.2923070000000001</v>
      </c>
      <c r="C3836">
        <f t="shared" si="61"/>
        <v>-6.7588911237482473E-3</v>
      </c>
      <c r="D3836">
        <f>(C3836-meanrtn)/stdevrtns</f>
        <v>-1.1121958241077428</v>
      </c>
    </row>
    <row r="3837" spans="1:4" x14ac:dyDescent="0.3">
      <c r="A3837" s="1">
        <v>43347</v>
      </c>
      <c r="B3837">
        <v>1.286902</v>
      </c>
      <c r="C3837">
        <f t="shared" si="61"/>
        <v>-4.1824427167848691E-3</v>
      </c>
      <c r="D3837">
        <f>(C3837-meanrtn)/stdevrtns</f>
        <v>-0.68517460616044679</v>
      </c>
    </row>
    <row r="3838" spans="1:4" x14ac:dyDescent="0.3">
      <c r="A3838" s="1">
        <v>43348</v>
      </c>
      <c r="B3838">
        <v>1.2858430000000001</v>
      </c>
      <c r="C3838">
        <f t="shared" si="61"/>
        <v>-8.2290648394354906E-4</v>
      </c>
      <c r="D3838">
        <f>(C3838-meanrtn)/stdevrtns</f>
        <v>-0.12836421166207854</v>
      </c>
    </row>
    <row r="3839" spans="1:4" x14ac:dyDescent="0.3">
      <c r="A3839" s="1">
        <v>43349</v>
      </c>
      <c r="B3839">
        <v>1.2914890000000001</v>
      </c>
      <c r="C3839">
        <f t="shared" si="61"/>
        <v>4.3908937560806719E-3</v>
      </c>
      <c r="D3839">
        <f>(C3839-meanrtn)/stdevrtns</f>
        <v>0.73577237365115222</v>
      </c>
    </row>
    <row r="3840" spans="1:4" x14ac:dyDescent="0.3">
      <c r="A3840" s="1">
        <v>43350</v>
      </c>
      <c r="B3840">
        <v>1.2925409999999999</v>
      </c>
      <c r="C3840">
        <f t="shared" si="61"/>
        <v>8.1456365482000294E-4</v>
      </c>
      <c r="D3840">
        <f>(C3840-meanrtn)/stdevrtns</f>
        <v>0.14303050795167954</v>
      </c>
    </row>
    <row r="3841" spans="1:4" x14ac:dyDescent="0.3">
      <c r="A3841" s="1">
        <v>43353</v>
      </c>
      <c r="B3841">
        <v>1.2930250000000001</v>
      </c>
      <c r="C3841">
        <f t="shared" si="61"/>
        <v>3.7445620680516209E-4</v>
      </c>
      <c r="D3841">
        <f>(C3841-meanrtn)/stdevrtns</f>
        <v>7.0086986951592642E-2</v>
      </c>
    </row>
    <row r="3842" spans="1:4" x14ac:dyDescent="0.3">
      <c r="A3842" s="1">
        <v>43354</v>
      </c>
      <c r="B3842">
        <v>1.302643</v>
      </c>
      <c r="C3842">
        <f t="shared" si="61"/>
        <v>7.4383712611897712E-3</v>
      </c>
      <c r="D3842">
        <f>(C3842-meanrtn)/stdevrtns</f>
        <v>1.2408620748000454</v>
      </c>
    </row>
    <row r="3843" spans="1:4" x14ac:dyDescent="0.3">
      <c r="A3843" s="1">
        <v>43355</v>
      </c>
      <c r="B3843">
        <v>1.301558</v>
      </c>
      <c r="C3843">
        <f t="shared" si="61"/>
        <v>-8.3292199013851277E-4</v>
      </c>
      <c r="D3843">
        <f>(C3843-meanrtn)/stdevrtns</f>
        <v>-0.13002418422049389</v>
      </c>
    </row>
    <row r="3844" spans="1:4" x14ac:dyDescent="0.3">
      <c r="A3844" s="1">
        <v>43356</v>
      </c>
      <c r="B3844">
        <v>1.304546</v>
      </c>
      <c r="C3844">
        <f t="shared" ref="C3844:C3907" si="62">(B3844-B3843)/B3843</f>
        <v>2.2957102180617313E-3</v>
      </c>
      <c r="D3844">
        <f>(C3844-meanrtn)/stdevrtns</f>
        <v>0.3885161181756317</v>
      </c>
    </row>
    <row r="3845" spans="1:4" x14ac:dyDescent="0.3">
      <c r="A3845" s="1">
        <v>43357</v>
      </c>
      <c r="B3845">
        <v>1.311131</v>
      </c>
      <c r="C3845">
        <f t="shared" si="62"/>
        <v>5.0477330810872615E-3</v>
      </c>
      <c r="D3845">
        <f>(C3845-meanrtn)/stdevrtns</f>
        <v>0.8446370913772776</v>
      </c>
    </row>
    <row r="3846" spans="1:4" x14ac:dyDescent="0.3">
      <c r="A3846" s="1">
        <v>43360</v>
      </c>
      <c r="B3846">
        <v>1.307326</v>
      </c>
      <c r="C3846">
        <f t="shared" si="62"/>
        <v>-2.9020746210714704E-3</v>
      </c>
      <c r="D3846">
        <f>(C3846-meanrtn)/stdevrtns</f>
        <v>-0.47296607049766881</v>
      </c>
    </row>
    <row r="3847" spans="1:4" x14ac:dyDescent="0.3">
      <c r="A3847" s="1">
        <v>43361</v>
      </c>
      <c r="B3847">
        <v>1.3146310000000001</v>
      </c>
      <c r="C3847">
        <f t="shared" si="62"/>
        <v>5.5877416956444815E-3</v>
      </c>
      <c r="D3847">
        <f>(C3847-meanrtn)/stdevrtns</f>
        <v>0.93413825727178013</v>
      </c>
    </row>
    <row r="3848" spans="1:4" x14ac:dyDescent="0.3">
      <c r="A3848" s="1">
        <v>43362</v>
      </c>
      <c r="B3848">
        <v>1.316846</v>
      </c>
      <c r="C3848">
        <f t="shared" si="62"/>
        <v>1.6848834387747252E-3</v>
      </c>
      <c r="D3848">
        <f>(C3848-meanrtn)/stdevrtns</f>
        <v>0.28727753154568064</v>
      </c>
    </row>
    <row r="3849" spans="1:4" x14ac:dyDescent="0.3">
      <c r="A3849" s="1">
        <v>43363</v>
      </c>
      <c r="B3849">
        <v>1.3141119999999999</v>
      </c>
      <c r="C3849">
        <f t="shared" si="62"/>
        <v>-2.0761729161952228E-3</v>
      </c>
      <c r="D3849">
        <f>(C3849-meanrtn)/stdevrtns</f>
        <v>-0.33608091069092855</v>
      </c>
    </row>
    <row r="3850" spans="1:4" x14ac:dyDescent="0.3">
      <c r="A3850" s="1">
        <v>43364</v>
      </c>
      <c r="B3850">
        <v>1.3270869999999999</v>
      </c>
      <c r="C3850">
        <f t="shared" si="62"/>
        <v>9.8735876394097002E-3</v>
      </c>
      <c r="D3850">
        <f>(C3850-meanrtn)/stdevrtns</f>
        <v>1.6444754601805422</v>
      </c>
    </row>
    <row r="3851" spans="1:4" x14ac:dyDescent="0.3">
      <c r="A3851" s="1">
        <v>43367</v>
      </c>
      <c r="B3851">
        <v>1.308044</v>
      </c>
      <c r="C3851">
        <f t="shared" si="62"/>
        <v>-1.4349473696901502E-2</v>
      </c>
      <c r="D3851">
        <f>(C3851-meanrtn)/stdevrtns</f>
        <v>-2.3702609212224526</v>
      </c>
    </row>
    <row r="3852" spans="1:4" x14ac:dyDescent="0.3">
      <c r="A3852" s="1">
        <v>43368</v>
      </c>
      <c r="B3852">
        <v>1.311733</v>
      </c>
      <c r="C3852">
        <f t="shared" si="62"/>
        <v>2.8202415209274715E-3</v>
      </c>
      <c r="D3852">
        <f>(C3852-meanrtn)/stdevrtns</f>
        <v>0.47545207047176252</v>
      </c>
    </row>
    <row r="3853" spans="1:4" x14ac:dyDescent="0.3">
      <c r="A3853" s="1">
        <v>43369</v>
      </c>
      <c r="B3853">
        <v>1.3179920000000001</v>
      </c>
      <c r="C3853">
        <f t="shared" si="62"/>
        <v>4.7715503078751657E-3</v>
      </c>
      <c r="D3853">
        <f>(C3853-meanrtn)/stdevrtns</f>
        <v>0.79886248790594672</v>
      </c>
    </row>
    <row r="3854" spans="1:4" x14ac:dyDescent="0.3">
      <c r="A3854" s="1">
        <v>43370</v>
      </c>
      <c r="B3854">
        <v>1.31728</v>
      </c>
      <c r="C3854">
        <f t="shared" si="62"/>
        <v>-5.4021572209849973E-4</v>
      </c>
      <c r="D3854">
        <f>(C3854-meanrtn)/stdevrtns</f>
        <v>-8.1510972490176206E-2</v>
      </c>
    </row>
    <row r="3855" spans="1:4" x14ac:dyDescent="0.3">
      <c r="A3855" s="1">
        <v>43371</v>
      </c>
      <c r="B3855">
        <v>1.3078730000000001</v>
      </c>
      <c r="C3855">
        <f t="shared" si="62"/>
        <v>-7.1412304141867658E-3</v>
      </c>
      <c r="D3855">
        <f>(C3855-meanrtn)/stdevrtns</f>
        <v>-1.1755648358957913</v>
      </c>
    </row>
    <row r="3856" spans="1:4" x14ac:dyDescent="0.3">
      <c r="A3856" s="1">
        <v>43374</v>
      </c>
      <c r="B3856">
        <v>1.3039000000000001</v>
      </c>
      <c r="C3856">
        <f t="shared" si="62"/>
        <v>-3.0377567240855987E-3</v>
      </c>
      <c r="D3856">
        <f>(C3856-meanrtn)/stdevrtns</f>
        <v>-0.49545405695458805</v>
      </c>
    </row>
    <row r="3857" spans="1:4" x14ac:dyDescent="0.3">
      <c r="A3857" s="1">
        <v>43375</v>
      </c>
      <c r="B3857">
        <v>1.304359</v>
      </c>
      <c r="C3857">
        <f t="shared" si="62"/>
        <v>3.5202086049542696E-4</v>
      </c>
      <c r="D3857">
        <f>(C3857-meanrtn)/stdevrtns</f>
        <v>6.6368546915937521E-2</v>
      </c>
    </row>
    <row r="3858" spans="1:4" x14ac:dyDescent="0.3">
      <c r="A3858" s="1">
        <v>43376</v>
      </c>
      <c r="B3858">
        <v>1.2981959999999999</v>
      </c>
      <c r="C3858">
        <f t="shared" si="62"/>
        <v>-4.7249261897990818E-3</v>
      </c>
      <c r="D3858">
        <f>(C3858-meanrtn)/stdevrtns</f>
        <v>-0.77508595572860484</v>
      </c>
    </row>
    <row r="3859" spans="1:4" x14ac:dyDescent="0.3">
      <c r="A3859" s="1">
        <v>43377</v>
      </c>
      <c r="B3859">
        <v>1.294063</v>
      </c>
      <c r="C3859">
        <f t="shared" si="62"/>
        <v>-3.1836486940338303E-3</v>
      </c>
      <c r="D3859">
        <f>(C3859-meanrtn)/stdevrtns</f>
        <v>-0.51963422936853909</v>
      </c>
    </row>
    <row r="3860" spans="1:4" x14ac:dyDescent="0.3">
      <c r="A3860" s="1">
        <v>43378</v>
      </c>
      <c r="B3860">
        <v>1.3024230000000001</v>
      </c>
      <c r="C3860">
        <f t="shared" si="62"/>
        <v>6.4602727997015181E-3</v>
      </c>
      <c r="D3860">
        <f>(C3860-meanrtn)/stdevrtns</f>
        <v>1.0787517856251272</v>
      </c>
    </row>
    <row r="3861" spans="1:4" x14ac:dyDescent="0.3">
      <c r="A3861" s="1">
        <v>43381</v>
      </c>
      <c r="B3861">
        <v>1.3127150000000001</v>
      </c>
      <c r="C3861">
        <f t="shared" si="62"/>
        <v>7.9021946019073429E-3</v>
      </c>
      <c r="D3861">
        <f>(C3861-meanrtn)/stdevrtns</f>
        <v>1.3177362739224874</v>
      </c>
    </row>
    <row r="3862" spans="1:4" x14ac:dyDescent="0.3">
      <c r="A3862" s="1">
        <v>43382</v>
      </c>
      <c r="B3862">
        <v>1.309312</v>
      </c>
      <c r="C3862">
        <f t="shared" si="62"/>
        <v>-2.5923372552306059E-3</v>
      </c>
      <c r="D3862">
        <f>(C3862-meanrtn)/stdevrtns</f>
        <v>-0.42163012026180091</v>
      </c>
    </row>
    <row r="3863" spans="1:4" x14ac:dyDescent="0.3">
      <c r="A3863" s="1">
        <v>43383</v>
      </c>
      <c r="B3863">
        <v>1.3157030000000001</v>
      </c>
      <c r="C3863">
        <f t="shared" si="62"/>
        <v>4.8811895102160796E-3</v>
      </c>
      <c r="D3863">
        <f>(C3863-meanrtn)/stdevrtns</f>
        <v>0.81703411734430498</v>
      </c>
    </row>
    <row r="3864" spans="1:4" x14ac:dyDescent="0.3">
      <c r="A3864" s="1">
        <v>43384</v>
      </c>
      <c r="B3864">
        <v>1.320673</v>
      </c>
      <c r="C3864">
        <f t="shared" si="62"/>
        <v>3.7774482538991843E-3</v>
      </c>
      <c r="D3864">
        <f>(C3864-meanrtn)/stdevrtns</f>
        <v>0.63409975921888007</v>
      </c>
    </row>
    <row r="3865" spans="1:4" x14ac:dyDescent="0.3">
      <c r="A3865" s="1">
        <v>43385</v>
      </c>
      <c r="B3865">
        <v>1.3234159999999999</v>
      </c>
      <c r="C3865">
        <f t="shared" si="62"/>
        <v>2.0769713623281011E-3</v>
      </c>
      <c r="D3865">
        <f>(C3865-meanrtn)/stdevrtns</f>
        <v>0.35226228427958961</v>
      </c>
    </row>
    <row r="3866" spans="1:4" x14ac:dyDescent="0.3">
      <c r="A3866" s="1">
        <v>43388</v>
      </c>
      <c r="B3866">
        <v>1.3103929999999999</v>
      </c>
      <c r="C3866">
        <f t="shared" si="62"/>
        <v>-9.8404432166454142E-3</v>
      </c>
      <c r="D3866">
        <f>(C3866-meanrtn)/stdevrtns</f>
        <v>-1.622933056151874</v>
      </c>
    </row>
    <row r="3867" spans="1:4" x14ac:dyDescent="0.3">
      <c r="A3867" s="1">
        <v>43389</v>
      </c>
      <c r="B3867">
        <v>1.3154779999999999</v>
      </c>
      <c r="C3867">
        <f t="shared" si="62"/>
        <v>3.8805152347425593E-3</v>
      </c>
      <c r="D3867">
        <f>(C3867-meanrtn)/stdevrtns</f>
        <v>0.6511821069852618</v>
      </c>
    </row>
    <row r="3868" spans="1:4" x14ac:dyDescent="0.3">
      <c r="A3868" s="1">
        <v>43390</v>
      </c>
      <c r="B3868">
        <v>1.3187219999999999</v>
      </c>
      <c r="C3868">
        <f t="shared" si="62"/>
        <v>2.4660237571438098E-3</v>
      </c>
      <c r="D3868">
        <f>(C3868-meanrtn)/stdevrtns</f>
        <v>0.41674392770412166</v>
      </c>
    </row>
    <row r="3869" spans="1:4" x14ac:dyDescent="0.3">
      <c r="A3869" s="1">
        <v>43391</v>
      </c>
      <c r="B3869">
        <v>1.3104439999999999</v>
      </c>
      <c r="C3869">
        <f t="shared" si="62"/>
        <v>-6.2772896789467436E-3</v>
      </c>
      <c r="D3869">
        <f>(C3869-meanrtn)/stdevrtns</f>
        <v>-1.0323750774673313</v>
      </c>
    </row>
    <row r="3870" spans="1:4" x14ac:dyDescent="0.3">
      <c r="A3870" s="1">
        <v>43392</v>
      </c>
      <c r="B3870">
        <v>1.3024230000000001</v>
      </c>
      <c r="C3870">
        <f t="shared" si="62"/>
        <v>-6.1208262237835683E-3</v>
      </c>
      <c r="D3870">
        <f>(C3870-meanrtn)/stdevrtns</f>
        <v>-1.0064427843899908</v>
      </c>
    </row>
    <row r="3871" spans="1:4" x14ac:dyDescent="0.3">
      <c r="A3871" s="1">
        <v>43395</v>
      </c>
      <c r="B3871">
        <v>1.30654</v>
      </c>
      <c r="C3871">
        <f t="shared" si="62"/>
        <v>3.1610314007046295E-3</v>
      </c>
      <c r="D3871">
        <f>(C3871-meanrtn)/stdevrtns</f>
        <v>0.5319346723097208</v>
      </c>
    </row>
    <row r="3872" spans="1:4" x14ac:dyDescent="0.3">
      <c r="A3872" s="1">
        <v>43396</v>
      </c>
      <c r="B3872">
        <v>1.2965960000000001</v>
      </c>
      <c r="C3872">
        <f t="shared" si="62"/>
        <v>-7.6109418770186543E-3</v>
      </c>
      <c r="D3872">
        <f>(C3872-meanrtn)/stdevrtns</f>
        <v>-1.2534149338834628</v>
      </c>
    </row>
    <row r="3873" spans="1:4" x14ac:dyDescent="0.3">
      <c r="A3873" s="1">
        <v>43397</v>
      </c>
      <c r="B3873">
        <v>1.2981279999999999</v>
      </c>
      <c r="C3873">
        <f t="shared" si="62"/>
        <v>1.1815553958209547E-3</v>
      </c>
      <c r="D3873">
        <f>(C3873-meanrtn)/stdevrtns</f>
        <v>0.20385581297050909</v>
      </c>
    </row>
    <row r="3874" spans="1:4" x14ac:dyDescent="0.3">
      <c r="A3874" s="1">
        <v>43398</v>
      </c>
      <c r="B3874">
        <v>1.288826</v>
      </c>
      <c r="C3874">
        <f t="shared" si="62"/>
        <v>-7.1657032280329222E-3</v>
      </c>
      <c r="D3874">
        <f>(C3874-meanrtn)/stdevrtns</f>
        <v>-1.1796209663220552</v>
      </c>
    </row>
    <row r="3875" spans="1:4" x14ac:dyDescent="0.3">
      <c r="A3875" s="1">
        <v>43399</v>
      </c>
      <c r="B3875">
        <v>1.282462</v>
      </c>
      <c r="C3875">
        <f t="shared" si="62"/>
        <v>-4.9378271388069734E-3</v>
      </c>
      <c r="D3875">
        <f>(C3875-meanrtn)/stdevrtns</f>
        <v>-0.81037221347076394</v>
      </c>
    </row>
    <row r="3876" spans="1:4" x14ac:dyDescent="0.3">
      <c r="A3876" s="1">
        <v>43402</v>
      </c>
      <c r="B3876">
        <v>1.283104</v>
      </c>
      <c r="C3876">
        <f t="shared" si="62"/>
        <v>5.0059962790322942E-4</v>
      </c>
      <c r="D3876">
        <f>(C3876-meanrtn)/stdevrtns</f>
        <v>9.099402982803903E-2</v>
      </c>
    </row>
    <row r="3877" spans="1:4" x14ac:dyDescent="0.3">
      <c r="A3877" s="1">
        <v>43403</v>
      </c>
      <c r="B3877">
        <v>1.280246</v>
      </c>
      <c r="C3877">
        <f t="shared" si="62"/>
        <v>-2.227411028256499E-3</v>
      </c>
      <c r="D3877">
        <f>(C3877-meanrtn)/stdevrtns</f>
        <v>-0.36114715406607634</v>
      </c>
    </row>
    <row r="3878" spans="1:4" x14ac:dyDescent="0.3">
      <c r="A3878" s="1">
        <v>43404</v>
      </c>
      <c r="B3878">
        <v>1.2708900000000001</v>
      </c>
      <c r="C3878">
        <f t="shared" si="62"/>
        <v>-7.3079704994195799E-3</v>
      </c>
      <c r="D3878">
        <f>(C3878-meanrtn)/stdevrtns</f>
        <v>-1.2032003802693232</v>
      </c>
    </row>
    <row r="3879" spans="1:4" x14ac:dyDescent="0.3">
      <c r="A3879" s="1">
        <v>43405</v>
      </c>
      <c r="B3879">
        <v>1.2769440000000001</v>
      </c>
      <c r="C3879">
        <f t="shared" si="62"/>
        <v>4.763590869390745E-3</v>
      </c>
      <c r="D3879">
        <f>(C3879-meanrtn)/stdevrtns</f>
        <v>0.7975432885357564</v>
      </c>
    </row>
    <row r="3880" spans="1:4" x14ac:dyDescent="0.3">
      <c r="A3880" s="1">
        <v>43406</v>
      </c>
      <c r="B3880">
        <v>1.300373</v>
      </c>
      <c r="C3880">
        <f t="shared" si="62"/>
        <v>1.8347711410993686E-2</v>
      </c>
      <c r="D3880">
        <f>(C3880-meanrtn)/stdevrtns</f>
        <v>3.048978901506143</v>
      </c>
    </row>
    <row r="3881" spans="1:4" x14ac:dyDescent="0.3">
      <c r="A3881" s="1">
        <v>43409</v>
      </c>
      <c r="B3881">
        <v>1.300559</v>
      </c>
      <c r="C3881">
        <f t="shared" si="62"/>
        <v>1.4303588278134004E-4</v>
      </c>
      <c r="D3881">
        <f>(C3881-meanrtn)/stdevrtns</f>
        <v>3.1731323257600023E-2</v>
      </c>
    </row>
    <row r="3882" spans="1:4" x14ac:dyDescent="0.3">
      <c r="A3882" s="1">
        <v>43410</v>
      </c>
      <c r="B3882">
        <v>1.3058069999999999</v>
      </c>
      <c r="C3882">
        <f t="shared" si="62"/>
        <v>4.035187946106189E-3</v>
      </c>
      <c r="D3882">
        <f>(C3882-meanrtn)/stdevrtns</f>
        <v>0.6768176017272477</v>
      </c>
    </row>
    <row r="3883" spans="1:4" x14ac:dyDescent="0.3">
      <c r="A3883" s="1">
        <v>43411</v>
      </c>
      <c r="B3883">
        <v>1.3112520000000001</v>
      </c>
      <c r="C3883">
        <f t="shared" si="62"/>
        <v>4.1698352053558792E-3</v>
      </c>
      <c r="D3883">
        <f>(C3883-meanrtn)/stdevrtns</f>
        <v>0.69913407291396734</v>
      </c>
    </row>
    <row r="3884" spans="1:4" x14ac:dyDescent="0.3">
      <c r="A3884" s="1">
        <v>43412</v>
      </c>
      <c r="B3884">
        <v>1.312853</v>
      </c>
      <c r="C3884">
        <f t="shared" si="62"/>
        <v>1.2209704923233395E-3</v>
      </c>
      <c r="D3884">
        <f>(C3884-meanrtn)/stdevrtns</f>
        <v>0.2103884811459979</v>
      </c>
    </row>
    <row r="3885" spans="1:4" x14ac:dyDescent="0.3">
      <c r="A3885" s="1">
        <v>43413</v>
      </c>
      <c r="B3885">
        <v>1.3066770000000001</v>
      </c>
      <c r="C3885">
        <f t="shared" si="62"/>
        <v>-4.7042585879759269E-3</v>
      </c>
      <c r="D3885">
        <f>(C3885-meanrtn)/stdevrtns</f>
        <v>-0.77166050211629078</v>
      </c>
    </row>
    <row r="3886" spans="1:4" x14ac:dyDescent="0.3">
      <c r="A3886" s="1">
        <v>43416</v>
      </c>
      <c r="B3886">
        <v>1.2938449999999999</v>
      </c>
      <c r="C3886">
        <f t="shared" si="62"/>
        <v>-9.8203305024885078E-3</v>
      </c>
      <c r="D3886">
        <f>(C3886-meanrtn)/stdevrtns</f>
        <v>-1.6195995697632874</v>
      </c>
    </row>
    <row r="3887" spans="1:4" x14ac:dyDescent="0.3">
      <c r="A3887" s="1">
        <v>43417</v>
      </c>
      <c r="B3887">
        <v>1.285793</v>
      </c>
      <c r="C3887">
        <f t="shared" si="62"/>
        <v>-6.2233111385057317E-3</v>
      </c>
      <c r="D3887">
        <f>(C3887-meanrtn)/stdevrtns</f>
        <v>-1.0234286603685681</v>
      </c>
    </row>
    <row r="3888" spans="1:4" x14ac:dyDescent="0.3">
      <c r="A3888" s="1">
        <v>43418</v>
      </c>
      <c r="B3888">
        <v>1.3014060000000001</v>
      </c>
      <c r="C3888">
        <f t="shared" si="62"/>
        <v>1.2142701041302993E-2</v>
      </c>
      <c r="D3888">
        <f>(C3888-meanrtn)/stdevrtns</f>
        <v>2.02055889578057</v>
      </c>
    </row>
    <row r="3889" spans="1:4" x14ac:dyDescent="0.3">
      <c r="A3889" s="1">
        <v>43419</v>
      </c>
      <c r="B3889">
        <v>1.2986169999999999</v>
      </c>
      <c r="C3889">
        <f t="shared" si="62"/>
        <v>-2.1430668062081722E-3</v>
      </c>
      <c r="D3889">
        <f>(C3889-meanrtn)/stdevrtns</f>
        <v>-0.34716792113109846</v>
      </c>
    </row>
    <row r="3890" spans="1:4" x14ac:dyDescent="0.3">
      <c r="A3890" s="1">
        <v>43420</v>
      </c>
      <c r="B3890">
        <v>1.2766500000000001</v>
      </c>
      <c r="C3890">
        <f t="shared" si="62"/>
        <v>-1.6915687997307791E-2</v>
      </c>
      <c r="D3890">
        <f>(C3890-meanrtn)/stdevrtns</f>
        <v>-2.7955859357314035</v>
      </c>
    </row>
    <row r="3891" spans="1:4" x14ac:dyDescent="0.3">
      <c r="A3891" s="1">
        <v>43423</v>
      </c>
      <c r="B3891">
        <v>1.283318</v>
      </c>
      <c r="C3891">
        <f t="shared" si="62"/>
        <v>5.2230446872673763E-3</v>
      </c>
      <c r="D3891">
        <f>(C3891-meanrtn)/stdevrtns</f>
        <v>0.87369328182494976</v>
      </c>
    </row>
    <row r="3892" spans="1:4" x14ac:dyDescent="0.3">
      <c r="A3892" s="1">
        <v>43424</v>
      </c>
      <c r="B3892">
        <v>1.2859750000000001</v>
      </c>
      <c r="C3892">
        <f t="shared" si="62"/>
        <v>2.0704143478078945E-3</v>
      </c>
      <c r="D3892">
        <f>(C3892-meanrtn)/stdevrtns</f>
        <v>0.35117552301592558</v>
      </c>
    </row>
    <row r="3893" spans="1:4" x14ac:dyDescent="0.3">
      <c r="A3893" s="1">
        <v>43425</v>
      </c>
      <c r="B3893">
        <v>1.2789200000000001</v>
      </c>
      <c r="C3893">
        <f t="shared" si="62"/>
        <v>-5.4861097610762518E-3</v>
      </c>
      <c r="D3893">
        <f>(C3893-meanrtn)/stdevrtns</f>
        <v>-0.90124471551970264</v>
      </c>
    </row>
    <row r="3894" spans="1:4" x14ac:dyDescent="0.3">
      <c r="A3894" s="1">
        <v>43426</v>
      </c>
      <c r="B3894">
        <v>1.2777270000000001</v>
      </c>
      <c r="C3894">
        <f t="shared" si="62"/>
        <v>-9.3281831545366371E-4</v>
      </c>
      <c r="D3894">
        <f>(C3894-meanrtn)/stdevrtns</f>
        <v>-0.14658102672867043</v>
      </c>
    </row>
    <row r="3895" spans="1:4" x14ac:dyDescent="0.3">
      <c r="A3895" s="1">
        <v>43427</v>
      </c>
      <c r="B3895">
        <v>1.287598</v>
      </c>
      <c r="C3895">
        <f t="shared" si="62"/>
        <v>7.7254374369485519E-3</v>
      </c>
      <c r="D3895">
        <f>(C3895-meanrtn)/stdevrtns</f>
        <v>1.2884404961931075</v>
      </c>
    </row>
    <row r="3896" spans="1:4" x14ac:dyDescent="0.3">
      <c r="A3896" s="1">
        <v>43430</v>
      </c>
      <c r="B3896">
        <v>1.2812300000000001</v>
      </c>
      <c r="C3896">
        <f t="shared" si="62"/>
        <v>-4.9456429724183551E-3</v>
      </c>
      <c r="D3896">
        <f>(C3896-meanrtn)/stdevrtns</f>
        <v>-0.81166761173256696</v>
      </c>
    </row>
    <row r="3897" spans="1:4" x14ac:dyDescent="0.3">
      <c r="A3897" s="1">
        <v>43431</v>
      </c>
      <c r="B3897">
        <v>1.2812300000000001</v>
      </c>
      <c r="C3897">
        <f t="shared" si="62"/>
        <v>0</v>
      </c>
      <c r="D3897">
        <f>(C3897-meanrtn)/stdevrtns</f>
        <v>8.0245194611897972E-3</v>
      </c>
    </row>
    <row r="3898" spans="1:4" x14ac:dyDescent="0.3">
      <c r="A3898" s="1">
        <v>43432</v>
      </c>
      <c r="B3898">
        <v>1.2743720000000001</v>
      </c>
      <c r="C3898">
        <f t="shared" si="62"/>
        <v>-5.3526689197099901E-3</v>
      </c>
      <c r="D3898">
        <f>(C3898-meanrtn)/stdevrtns</f>
        <v>-0.87912819634154749</v>
      </c>
    </row>
    <row r="3899" spans="1:4" x14ac:dyDescent="0.3">
      <c r="A3899" s="1">
        <v>43433</v>
      </c>
      <c r="B3899">
        <v>1.282413</v>
      </c>
      <c r="C3899">
        <f t="shared" si="62"/>
        <v>6.3097745399302279E-3</v>
      </c>
      <c r="D3899">
        <f>(C3899-meanrtn)/stdevrtns</f>
        <v>1.0538081655577536</v>
      </c>
    </row>
    <row r="3900" spans="1:4" x14ac:dyDescent="0.3">
      <c r="A3900" s="1">
        <v>43434</v>
      </c>
      <c r="B3900">
        <v>1.2784450000000001</v>
      </c>
      <c r="C3900">
        <f t="shared" si="62"/>
        <v>-3.0941670117192914E-3</v>
      </c>
      <c r="D3900">
        <f>(C3900-meanrtn)/stdevrtns</f>
        <v>-0.50480351245503308</v>
      </c>
    </row>
    <row r="3901" spans="1:4" x14ac:dyDescent="0.3">
      <c r="A3901" s="1">
        <v>43437</v>
      </c>
      <c r="B3901">
        <v>1.2753479999999999</v>
      </c>
      <c r="C3901">
        <f t="shared" si="62"/>
        <v>-2.4224741776143104E-3</v>
      </c>
      <c r="D3901">
        <f>(C3901-meanrtn)/stdevrtns</f>
        <v>-0.39347697033186418</v>
      </c>
    </row>
    <row r="3902" spans="1:4" x14ac:dyDescent="0.3">
      <c r="A3902" s="1">
        <v>43438</v>
      </c>
      <c r="B3902">
        <v>1.2725880000000001</v>
      </c>
      <c r="C3902">
        <f t="shared" si="62"/>
        <v>-2.1641152062024435E-3</v>
      </c>
      <c r="D3902">
        <f>(C3902-meanrtn)/stdevrtns</f>
        <v>-0.35065648832968987</v>
      </c>
    </row>
    <row r="3903" spans="1:4" x14ac:dyDescent="0.3">
      <c r="A3903" s="1">
        <v>43439</v>
      </c>
      <c r="B3903">
        <v>1.272054</v>
      </c>
      <c r="C3903">
        <f t="shared" si="62"/>
        <v>-4.1961734669825144E-4</v>
      </c>
      <c r="D3903">
        <f>(C3903-meanrtn)/stdevrtns</f>
        <v>-6.1522966905940488E-2</v>
      </c>
    </row>
    <row r="3904" spans="1:4" x14ac:dyDescent="0.3">
      <c r="A3904" s="1">
        <v>43440</v>
      </c>
      <c r="B3904">
        <v>1.272767</v>
      </c>
      <c r="C3904">
        <f t="shared" si="62"/>
        <v>5.6051079592530164E-4</v>
      </c>
      <c r="D3904">
        <f>(C3904-meanrtn)/stdevrtns</f>
        <v>0.10092372213947293</v>
      </c>
    </row>
    <row r="3905" spans="1:4" x14ac:dyDescent="0.3">
      <c r="A3905" s="1">
        <v>43441</v>
      </c>
      <c r="B3905">
        <v>1.277857</v>
      </c>
      <c r="C3905">
        <f t="shared" si="62"/>
        <v>3.9991608833353154E-3</v>
      </c>
      <c r="D3905">
        <f>(C3905-meanrtn)/stdevrtns</f>
        <v>0.67084646712897555</v>
      </c>
    </row>
    <row r="3906" spans="1:4" x14ac:dyDescent="0.3">
      <c r="A3906" s="1">
        <v>43444</v>
      </c>
      <c r="B3906">
        <v>1.272103</v>
      </c>
      <c r="C3906">
        <f t="shared" si="62"/>
        <v>-4.5028512580046415E-3</v>
      </c>
      <c r="D3906">
        <f>(C3906-meanrtn)/stdevrtns</f>
        <v>-0.73827919973297718</v>
      </c>
    </row>
    <row r="3907" spans="1:4" x14ac:dyDescent="0.3">
      <c r="A3907" s="1">
        <v>43445</v>
      </c>
      <c r="B3907">
        <v>1.256124</v>
      </c>
      <c r="C3907">
        <f t="shared" si="62"/>
        <v>-1.2561089785968562E-2</v>
      </c>
      <c r="D3907">
        <f>(C3907-meanrtn)/stdevrtns</f>
        <v>-2.073853714410185</v>
      </c>
    </row>
    <row r="3908" spans="1:4" x14ac:dyDescent="0.3">
      <c r="A3908" s="1">
        <v>43446</v>
      </c>
      <c r="B3908">
        <v>1.2492970000000001</v>
      </c>
      <c r="C3908">
        <f t="shared" ref="C3908:C3971" si="63">(B3908-B3907)/B3907</f>
        <v>-5.4349729803744827E-3</v>
      </c>
      <c r="D3908">
        <f>(C3908-meanrtn)/stdevrtns</f>
        <v>-0.89276929240695735</v>
      </c>
    </row>
    <row r="3909" spans="1:4" x14ac:dyDescent="0.3">
      <c r="A3909" s="1">
        <v>43447</v>
      </c>
      <c r="B3909">
        <v>1.262866</v>
      </c>
      <c r="C3909">
        <f t="shared" si="63"/>
        <v>1.0861308399844026E-2</v>
      </c>
      <c r="D3909">
        <f>(C3909-meanrtn)/stdevrtns</f>
        <v>1.8081805516438738</v>
      </c>
    </row>
    <row r="3910" spans="1:4" x14ac:dyDescent="0.3">
      <c r="A3910" s="1">
        <v>43448</v>
      </c>
      <c r="B3910">
        <v>1.2655019999999999</v>
      </c>
      <c r="C3910">
        <f t="shared" si="63"/>
        <v>2.0873156771976289E-3</v>
      </c>
      <c r="D3910">
        <f>(C3910-meanrtn)/stdevrtns</f>
        <v>0.35397675367182646</v>
      </c>
    </row>
    <row r="3911" spans="1:4" x14ac:dyDescent="0.3">
      <c r="A3911" s="1">
        <v>43451</v>
      </c>
      <c r="B3911">
        <v>1.2585580000000001</v>
      </c>
      <c r="C3911">
        <f t="shared" si="63"/>
        <v>-5.4871505536931899E-3</v>
      </c>
      <c r="D3911">
        <f>(C3911-meanrtn)/stdevrtns</f>
        <v>-0.90141721675423703</v>
      </c>
    </row>
    <row r="3912" spans="1:4" x14ac:dyDescent="0.3">
      <c r="A3912" s="1">
        <v>43452</v>
      </c>
      <c r="B3912">
        <v>1.2615749999999999</v>
      </c>
      <c r="C3912">
        <f t="shared" si="63"/>
        <v>2.3971878928105224E-3</v>
      </c>
      <c r="D3912">
        <f>(C3912-meanrtn)/stdevrtns</f>
        <v>0.40533505394340091</v>
      </c>
    </row>
    <row r="3913" spans="1:4" x14ac:dyDescent="0.3">
      <c r="A3913" s="1">
        <v>43453</v>
      </c>
      <c r="B3913">
        <v>1.2655019999999999</v>
      </c>
      <c r="C3913">
        <f t="shared" si="63"/>
        <v>3.112775697045371E-3</v>
      </c>
      <c r="D3913">
        <f>(C3913-meanrtn)/stdevrtns</f>
        <v>0.52393675964289321</v>
      </c>
    </row>
    <row r="3914" spans="1:4" x14ac:dyDescent="0.3">
      <c r="A3914" s="1">
        <v>43454</v>
      </c>
      <c r="B3914">
        <v>1.262786</v>
      </c>
      <c r="C3914">
        <f t="shared" si="63"/>
        <v>-2.1461838859203231E-3</v>
      </c>
      <c r="D3914">
        <f>(C3914-meanrtn)/stdevrtns</f>
        <v>-0.34768454671984456</v>
      </c>
    </row>
    <row r="3915" spans="1:4" x14ac:dyDescent="0.3">
      <c r="A3915" s="1">
        <v>43455</v>
      </c>
      <c r="B3915">
        <v>1.2669779999999999</v>
      </c>
      <c r="C3915">
        <f t="shared" si="63"/>
        <v>3.3196440251950636E-3</v>
      </c>
      <c r="D3915">
        <f>(C3915-meanrtn)/stdevrtns</f>
        <v>0.55822316926105331</v>
      </c>
    </row>
    <row r="3916" spans="1:4" x14ac:dyDescent="0.3">
      <c r="A3916" s="1">
        <v>43458</v>
      </c>
      <c r="B3916">
        <v>1.264894</v>
      </c>
      <c r="C3916">
        <f t="shared" si="63"/>
        <v>-1.6448588688990455E-3</v>
      </c>
      <c r="D3916">
        <f>(C3916-meanrtn)/stdevrtns</f>
        <v>-0.26459481017503755</v>
      </c>
    </row>
    <row r="3917" spans="1:4" x14ac:dyDescent="0.3">
      <c r="A3917" s="1">
        <v>43459</v>
      </c>
      <c r="B3917">
        <v>1.2710840000000001</v>
      </c>
      <c r="C3917">
        <f t="shared" si="63"/>
        <v>4.8936906966118429E-3</v>
      </c>
      <c r="D3917">
        <f>(C3917-meanrtn)/stdevrtns</f>
        <v>0.81910606717496226</v>
      </c>
    </row>
    <row r="3918" spans="1:4" x14ac:dyDescent="0.3">
      <c r="A3918" s="1">
        <v>43460</v>
      </c>
      <c r="B3918">
        <v>1.268875</v>
      </c>
      <c r="C3918">
        <f t="shared" si="63"/>
        <v>-1.7378867171643473E-3</v>
      </c>
      <c r="D3918">
        <f>(C3918-meanrtn)/stdevrtns</f>
        <v>-0.28001326954022449</v>
      </c>
    </row>
    <row r="3919" spans="1:4" x14ac:dyDescent="0.3">
      <c r="A3919" s="1">
        <v>43461</v>
      </c>
      <c r="B3919">
        <v>1.2648779999999999</v>
      </c>
      <c r="C3919">
        <f t="shared" si="63"/>
        <v>-3.1500344793616618E-3</v>
      </c>
      <c r="D3919">
        <f>(C3919-meanrtn)/stdevrtns</f>
        <v>-0.51406300083127965</v>
      </c>
    </row>
    <row r="3920" spans="1:4" x14ac:dyDescent="0.3">
      <c r="A3920" s="1">
        <v>43462</v>
      </c>
      <c r="B3920">
        <v>1.2646219999999999</v>
      </c>
      <c r="C3920">
        <f t="shared" si="63"/>
        <v>-2.0239106063986724E-4</v>
      </c>
      <c r="D3920">
        <f>(C3920-meanrtn)/stdevrtns</f>
        <v>-2.5519826694742984E-2</v>
      </c>
    </row>
    <row r="3921" spans="1:4" x14ac:dyDescent="0.3">
      <c r="A3921" s="1">
        <v>43465</v>
      </c>
      <c r="B3921">
        <v>1.269358</v>
      </c>
      <c r="C3921">
        <f t="shared" si="63"/>
        <v>3.7449925748564185E-3</v>
      </c>
      <c r="D3921">
        <f>(C3921-meanrtn)/stdevrtns</f>
        <v>0.62872054667315591</v>
      </c>
    </row>
    <row r="3922" spans="1:4" x14ac:dyDescent="0.3">
      <c r="A3922" s="1">
        <v>43466</v>
      </c>
      <c r="B3922">
        <v>1.2738039999999999</v>
      </c>
      <c r="C3922">
        <f t="shared" si="63"/>
        <v>3.5025579860054846E-3</v>
      </c>
      <c r="D3922">
        <f>(C3922-meanrtn)/stdevrtns</f>
        <v>0.58853937590960359</v>
      </c>
    </row>
    <row r="3923" spans="1:4" x14ac:dyDescent="0.3">
      <c r="A3923" s="1">
        <v>43467</v>
      </c>
      <c r="B3923">
        <v>1.2754289999999999</v>
      </c>
      <c r="C3923">
        <f t="shared" si="63"/>
        <v>1.2757064666149484E-3</v>
      </c>
      <c r="D3923">
        <f>(C3923-meanrtn)/stdevrtns</f>
        <v>0.21946043552488759</v>
      </c>
    </row>
    <row r="3924" spans="1:4" x14ac:dyDescent="0.3">
      <c r="A3924" s="1">
        <v>43468</v>
      </c>
      <c r="B3924">
        <v>1.2521910000000001</v>
      </c>
      <c r="C3924">
        <f t="shared" si="63"/>
        <v>-1.8219751942287553E-2</v>
      </c>
      <c r="D3924">
        <f>(C3924-meanrtn)/stdevrtns</f>
        <v>-3.0117218275122664</v>
      </c>
    </row>
    <row r="3925" spans="1:4" x14ac:dyDescent="0.3">
      <c r="A3925" s="1">
        <v>43469</v>
      </c>
      <c r="B3925">
        <v>1.2628809999999999</v>
      </c>
      <c r="C3925">
        <f t="shared" si="63"/>
        <v>8.5370362828033949E-3</v>
      </c>
      <c r="D3925">
        <f>(C3925-meanrtn)/stdevrtns</f>
        <v>1.4229550964874036</v>
      </c>
    </row>
    <row r="3926" spans="1:4" x14ac:dyDescent="0.3">
      <c r="A3926" s="1">
        <v>43472</v>
      </c>
      <c r="B3926">
        <v>1.273496</v>
      </c>
      <c r="C3926">
        <f t="shared" si="63"/>
        <v>8.4053841969275352E-3</v>
      </c>
      <c r="D3926">
        <f>(C3926-meanrtn)/stdevrtns</f>
        <v>1.4011350461017369</v>
      </c>
    </row>
    <row r="3927" spans="1:4" x14ac:dyDescent="0.3">
      <c r="A3927" s="1">
        <v>43473</v>
      </c>
      <c r="B3927">
        <v>1.2786090000000001</v>
      </c>
      <c r="C3927">
        <f t="shared" si="63"/>
        <v>4.014932123854449E-3</v>
      </c>
      <c r="D3927">
        <f>(C3927-meanrtn)/stdevrtns</f>
        <v>0.67346039656642076</v>
      </c>
    </row>
    <row r="3928" spans="1:4" x14ac:dyDescent="0.3">
      <c r="A3928" s="1">
        <v>43474</v>
      </c>
      <c r="B3928">
        <v>1.2737879999999999</v>
      </c>
      <c r="C3928">
        <f t="shared" si="63"/>
        <v>-3.7705037270973269E-3</v>
      </c>
      <c r="D3928">
        <f>(C3928-meanrtn)/stdevrtns</f>
        <v>-0.61689973264816178</v>
      </c>
    </row>
    <row r="3929" spans="1:4" x14ac:dyDescent="0.3">
      <c r="A3929" s="1">
        <v>43475</v>
      </c>
      <c r="B3929">
        <v>1.2799670000000001</v>
      </c>
      <c r="C3929">
        <f t="shared" si="63"/>
        <v>4.8508857046856754E-3</v>
      </c>
      <c r="D3929">
        <f>(C3929-meanrtn)/stdevrtns</f>
        <v>0.81201155686490345</v>
      </c>
    </row>
    <row r="3930" spans="1:4" x14ac:dyDescent="0.3">
      <c r="A3930" s="1">
        <v>43476</v>
      </c>
      <c r="B3930">
        <v>1.275396</v>
      </c>
      <c r="C3930">
        <f t="shared" si="63"/>
        <v>-3.5711858196344924E-3</v>
      </c>
      <c r="D3930">
        <f>(C3930-meanrtn)/stdevrtns</f>
        <v>-0.58386473168580955</v>
      </c>
    </row>
    <row r="3931" spans="1:4" x14ac:dyDescent="0.3">
      <c r="A3931" s="1">
        <v>43479</v>
      </c>
      <c r="B3931">
        <v>1.2849839999999999</v>
      </c>
      <c r="C3931">
        <f t="shared" si="63"/>
        <v>7.5176651016624881E-3</v>
      </c>
      <c r="D3931">
        <f>(C3931-meanrtn)/stdevrtns</f>
        <v>1.2540042562009475</v>
      </c>
    </row>
    <row r="3932" spans="1:4" x14ac:dyDescent="0.3">
      <c r="A3932" s="1">
        <v>43480</v>
      </c>
      <c r="B3932">
        <v>1.287498</v>
      </c>
      <c r="C3932">
        <f t="shared" si="63"/>
        <v>1.9564445938627466E-3</v>
      </c>
      <c r="D3932">
        <f>(C3932-meanrtn)/stdevrtns</f>
        <v>0.33228614684705804</v>
      </c>
    </row>
    <row r="3933" spans="1:4" x14ac:dyDescent="0.3">
      <c r="A3933" s="1">
        <v>43481</v>
      </c>
      <c r="B3933">
        <v>1.2872170000000001</v>
      </c>
      <c r="C3933">
        <f t="shared" si="63"/>
        <v>-2.182527662178704E-4</v>
      </c>
      <c r="D3933">
        <f>(C3933-meanrtn)/stdevrtns</f>
        <v>-2.8148749834183365E-2</v>
      </c>
    </row>
    <row r="3934" spans="1:4" x14ac:dyDescent="0.3">
      <c r="A3934" s="1">
        <v>43482</v>
      </c>
      <c r="B3934">
        <v>1.2885770000000001</v>
      </c>
      <c r="C3934">
        <f t="shared" si="63"/>
        <v>1.0565429138987659E-3</v>
      </c>
      <c r="D3934">
        <f>(C3934-meanrtn)/stdevrtns</f>
        <v>0.18313621224233265</v>
      </c>
    </row>
    <row r="3935" spans="1:4" x14ac:dyDescent="0.3">
      <c r="A3935" s="1">
        <v>43483</v>
      </c>
      <c r="B3935">
        <v>1.2983979999999999</v>
      </c>
      <c r="C3935">
        <f t="shared" si="63"/>
        <v>7.6215856716361201E-3</v>
      </c>
      <c r="D3935">
        <f>(C3935-meanrtn)/stdevrtns</f>
        <v>1.2712280780481002</v>
      </c>
    </row>
    <row r="3936" spans="1:4" x14ac:dyDescent="0.3">
      <c r="A3936" s="1">
        <v>43486</v>
      </c>
      <c r="B3936">
        <v>1.285347</v>
      </c>
      <c r="C3936">
        <f t="shared" si="63"/>
        <v>-1.0051617454740322E-2</v>
      </c>
      <c r="D3936">
        <f>(C3936-meanrtn)/stdevrtns</f>
        <v>-1.6579331283856751</v>
      </c>
    </row>
    <row r="3937" spans="1:4" x14ac:dyDescent="0.3">
      <c r="A3937" s="1">
        <v>43487</v>
      </c>
      <c r="B3937">
        <v>1.289175</v>
      </c>
      <c r="C3937">
        <f t="shared" si="63"/>
        <v>2.9781841012582145E-3</v>
      </c>
      <c r="D3937">
        <f>(C3937-meanrtn)/stdevrtns</f>
        <v>0.50162951413269086</v>
      </c>
    </row>
    <row r="3938" spans="1:4" x14ac:dyDescent="0.3">
      <c r="A3938" s="1">
        <v>43488</v>
      </c>
      <c r="B3938">
        <v>1.2957730000000001</v>
      </c>
      <c r="C3938">
        <f t="shared" si="63"/>
        <v>5.1180018228712968E-3</v>
      </c>
      <c r="D3938">
        <f>(C3938-meanrtn)/stdevrtns</f>
        <v>0.85628345061317179</v>
      </c>
    </row>
    <row r="3939" spans="1:4" x14ac:dyDescent="0.3">
      <c r="A3939" s="1">
        <v>43489</v>
      </c>
      <c r="B3939">
        <v>1.308216</v>
      </c>
      <c r="C3939">
        <f t="shared" si="63"/>
        <v>9.6027622122084513E-3</v>
      </c>
      <c r="D3939">
        <f>(C3939-meanrtn)/stdevrtns</f>
        <v>1.5995887846072951</v>
      </c>
    </row>
    <row r="3940" spans="1:4" x14ac:dyDescent="0.3">
      <c r="A3940" s="1">
        <v>43490</v>
      </c>
      <c r="B3940">
        <v>1.3121640000000001</v>
      </c>
      <c r="C3940">
        <f t="shared" si="63"/>
        <v>3.0178502632593261E-3</v>
      </c>
      <c r="D3940">
        <f>(C3940-meanrtn)/stdevrtns</f>
        <v>0.50820379396815363</v>
      </c>
    </row>
    <row r="3941" spans="1:4" x14ac:dyDescent="0.3">
      <c r="A3941" s="1">
        <v>43493</v>
      </c>
      <c r="B3941">
        <v>1.3208470000000001</v>
      </c>
      <c r="C3941">
        <f t="shared" si="63"/>
        <v>6.6173130797674649E-3</v>
      </c>
      <c r="D3941">
        <f>(C3941-meanrtn)/stdevrtns</f>
        <v>1.1047796818093873</v>
      </c>
    </row>
    <row r="3942" spans="1:4" x14ac:dyDescent="0.3">
      <c r="A3942" s="1">
        <v>43494</v>
      </c>
      <c r="B3942">
        <v>1.3160149999999999</v>
      </c>
      <c r="C3942">
        <f t="shared" si="63"/>
        <v>-3.6582586779545013E-3</v>
      </c>
      <c r="D3942">
        <f>(C3942-meanrtn)/stdevrtns</f>
        <v>-0.59829620949435824</v>
      </c>
    </row>
    <row r="3943" spans="1:4" x14ac:dyDescent="0.3">
      <c r="A3943" s="1">
        <v>43495</v>
      </c>
      <c r="B3943">
        <v>1.308044</v>
      </c>
      <c r="C3943">
        <f t="shared" si="63"/>
        <v>-6.0569218435959698E-3</v>
      </c>
      <c r="D3943">
        <f>(C3943-meanrtn)/stdevrtns</f>
        <v>-0.99585125607290037</v>
      </c>
    </row>
    <row r="3944" spans="1:4" x14ac:dyDescent="0.3">
      <c r="A3944" s="1">
        <v>43496</v>
      </c>
      <c r="B3944">
        <v>1.3117160000000001</v>
      </c>
      <c r="C3944">
        <f t="shared" si="63"/>
        <v>2.8072450162227873E-3</v>
      </c>
      <c r="D3944">
        <f>(C3944-meanrtn)/stdevrtns</f>
        <v>0.47329802645789731</v>
      </c>
    </row>
    <row r="3945" spans="1:4" x14ac:dyDescent="0.3">
      <c r="A3945" s="1">
        <v>43497</v>
      </c>
      <c r="B3945">
        <v>1.3109420000000001</v>
      </c>
      <c r="C3945">
        <f t="shared" si="63"/>
        <v>-5.9006675225433888E-4</v>
      </c>
      <c r="D3945">
        <f>(C3945-meanrtn)/stdevrtns</f>
        <v>-8.9773294978583162E-2</v>
      </c>
    </row>
    <row r="3946" spans="1:4" x14ac:dyDescent="0.3">
      <c r="A3946" s="1">
        <v>43500</v>
      </c>
      <c r="B3946">
        <v>1.3077369999999999</v>
      </c>
      <c r="C3946">
        <f t="shared" si="63"/>
        <v>-2.4448068640718842E-3</v>
      </c>
      <c r="D3946">
        <f>(C3946-meanrtn)/stdevrtns</f>
        <v>-0.39717839549736483</v>
      </c>
    </row>
    <row r="3947" spans="1:4" x14ac:dyDescent="0.3">
      <c r="A3947" s="1">
        <v>43501</v>
      </c>
      <c r="B3947">
        <v>1.3031010000000001</v>
      </c>
      <c r="C3947">
        <f t="shared" si="63"/>
        <v>-3.5450553131094881E-3</v>
      </c>
      <c r="D3947">
        <f>(C3947-meanrtn)/stdevrtns</f>
        <v>-0.57953385485096609</v>
      </c>
    </row>
    <row r="3948" spans="1:4" x14ac:dyDescent="0.3">
      <c r="A3948" s="1">
        <v>43502</v>
      </c>
      <c r="B3948">
        <v>1.295723</v>
      </c>
      <c r="C3948">
        <f t="shared" si="63"/>
        <v>-5.661878856665835E-3</v>
      </c>
      <c r="D3948">
        <f>(C3948-meanrtn)/stdevrtns</f>
        <v>-0.93037673037911195</v>
      </c>
    </row>
    <row r="3949" spans="1:4" x14ac:dyDescent="0.3">
      <c r="A3949" s="1">
        <v>43503</v>
      </c>
      <c r="B3949">
        <v>1.293444</v>
      </c>
      <c r="C3949">
        <f t="shared" si="63"/>
        <v>-1.7588635842691069E-3</v>
      </c>
      <c r="D3949">
        <f>(C3949-meanrtn)/stdevrtns</f>
        <v>-0.28348998085941229</v>
      </c>
    </row>
    <row r="3950" spans="1:4" x14ac:dyDescent="0.3">
      <c r="A3950" s="1">
        <v>43504</v>
      </c>
      <c r="B3950">
        <v>1.2949170000000001</v>
      </c>
      <c r="C3950">
        <f t="shared" si="63"/>
        <v>1.1388200803436853E-3</v>
      </c>
      <c r="D3950">
        <f>(C3950-meanrtn)/stdevrtns</f>
        <v>0.1967728508529118</v>
      </c>
    </row>
    <row r="3951" spans="1:4" x14ac:dyDescent="0.3">
      <c r="A3951" s="1">
        <v>43507</v>
      </c>
      <c r="B3951">
        <v>1.2936780000000001</v>
      </c>
      <c r="C3951">
        <f t="shared" si="63"/>
        <v>-9.5681808177666217E-4</v>
      </c>
      <c r="D3951">
        <f>(C3951-meanrtn)/stdevrtns</f>
        <v>-0.1505587541374549</v>
      </c>
    </row>
    <row r="3952" spans="1:4" x14ac:dyDescent="0.3">
      <c r="A3952" s="1">
        <v>43508</v>
      </c>
      <c r="B3952">
        <v>1.286405</v>
      </c>
      <c r="C3952">
        <f t="shared" si="63"/>
        <v>-5.6219553861162393E-3</v>
      </c>
      <c r="D3952">
        <f>(C3952-meanrtn)/stdevrtns</f>
        <v>-0.92375980415901171</v>
      </c>
    </row>
    <row r="3953" spans="1:4" x14ac:dyDescent="0.3">
      <c r="A3953" s="1">
        <v>43509</v>
      </c>
      <c r="B3953">
        <v>1.2892079999999999</v>
      </c>
      <c r="C3953">
        <f t="shared" si="63"/>
        <v>2.1789405358342735E-3</v>
      </c>
      <c r="D3953">
        <f>(C3953-meanrtn)/stdevrtns</f>
        <v>0.36916268117711765</v>
      </c>
    </row>
    <row r="3954" spans="1:4" x14ac:dyDescent="0.3">
      <c r="A3954" s="1">
        <v>43510</v>
      </c>
      <c r="B3954">
        <v>1.2856780000000001</v>
      </c>
      <c r="C3954">
        <f t="shared" si="63"/>
        <v>-2.7381151838957031E-3</v>
      </c>
      <c r="D3954">
        <f>(C3954-meanrtn)/stdevrtns</f>
        <v>-0.44579139144431701</v>
      </c>
    </row>
    <row r="3955" spans="1:4" x14ac:dyDescent="0.3">
      <c r="A3955" s="1">
        <v>43511</v>
      </c>
      <c r="B3955">
        <v>1.279836</v>
      </c>
      <c r="C3955">
        <f t="shared" si="63"/>
        <v>-4.5439060169032404E-3</v>
      </c>
      <c r="D3955">
        <f>(C3955-meanrtn)/stdevrtns</f>
        <v>-0.7450836259733904</v>
      </c>
    </row>
    <row r="3956" spans="1:4" x14ac:dyDescent="0.3">
      <c r="A3956" s="1">
        <v>43514</v>
      </c>
      <c r="B3956">
        <v>1.290556</v>
      </c>
      <c r="C3956">
        <f t="shared" si="63"/>
        <v>8.3760731843767981E-3</v>
      </c>
      <c r="D3956">
        <f>(C3956-meanrtn)/stdevrtns</f>
        <v>1.3962770313847117</v>
      </c>
    </row>
    <row r="3957" spans="1:4" x14ac:dyDescent="0.3">
      <c r="A3957" s="1">
        <v>43515</v>
      </c>
      <c r="B3957">
        <v>1.2924070000000001</v>
      </c>
      <c r="C3957">
        <f t="shared" si="63"/>
        <v>1.4342655413636038E-3</v>
      </c>
      <c r="D3957">
        <f>(C3957-meanrtn)/stdevrtns</f>
        <v>0.24574005712832128</v>
      </c>
    </row>
    <row r="3958" spans="1:4" x14ac:dyDescent="0.3">
      <c r="A3958" s="1">
        <v>43516</v>
      </c>
      <c r="B3958">
        <v>1.3061309999999999</v>
      </c>
      <c r="C3958">
        <f t="shared" si="63"/>
        <v>1.06189458893366E-2</v>
      </c>
      <c r="D3958">
        <f>(C3958-meanrtn)/stdevrtns</f>
        <v>1.7680113271634101</v>
      </c>
    </row>
    <row r="3959" spans="1:4" x14ac:dyDescent="0.3">
      <c r="A3959" s="1">
        <v>43517</v>
      </c>
      <c r="B3959">
        <v>1.3045119999999999</v>
      </c>
      <c r="C3959">
        <f t="shared" si="63"/>
        <v>-1.2395387598947098E-3</v>
      </c>
      <c r="D3959">
        <f>(C3959-meanrtn)/stdevrtns</f>
        <v>-0.19741695164009568</v>
      </c>
    </row>
    <row r="3960" spans="1:4" x14ac:dyDescent="0.3">
      <c r="A3960" s="1">
        <v>43518</v>
      </c>
      <c r="B3960">
        <v>1.304138</v>
      </c>
      <c r="C3960">
        <f t="shared" si="63"/>
        <v>-2.8669724770632581E-4</v>
      </c>
      <c r="D3960">
        <f>(C3960-meanrtn)/stdevrtns</f>
        <v>-3.9492755702097808E-2</v>
      </c>
    </row>
    <row r="3961" spans="1:4" x14ac:dyDescent="0.3">
      <c r="A3961" s="1">
        <v>43521</v>
      </c>
      <c r="B3961">
        <v>1.3065580000000001</v>
      </c>
      <c r="C3961">
        <f t="shared" si="63"/>
        <v>1.8556318426424879E-3</v>
      </c>
      <c r="D3961">
        <f>(C3961-meanrtn)/stdevrtns</f>
        <v>0.31557741567497505</v>
      </c>
    </row>
    <row r="3962" spans="1:4" x14ac:dyDescent="0.3">
      <c r="A3962" s="1">
        <v>43522</v>
      </c>
      <c r="B3962">
        <v>1.3127150000000001</v>
      </c>
      <c r="C3962">
        <f t="shared" si="63"/>
        <v>4.7123816929672989E-3</v>
      </c>
      <c r="D3962">
        <f>(C3962-meanrtn)/stdevrtns</f>
        <v>0.78905586653758375</v>
      </c>
    </row>
    <row r="3963" spans="1:4" x14ac:dyDescent="0.3">
      <c r="A3963" s="1">
        <v>43523</v>
      </c>
      <c r="B3963">
        <v>1.3258030000000001</v>
      </c>
      <c r="C3963">
        <f t="shared" si="63"/>
        <v>9.970176313975225E-3</v>
      </c>
      <c r="D3963">
        <f>(C3963-meanrtn)/stdevrtns</f>
        <v>1.6604840918074792</v>
      </c>
    </row>
    <row r="3964" spans="1:4" x14ac:dyDescent="0.3">
      <c r="A3964" s="1">
        <v>43524</v>
      </c>
      <c r="B3964">
        <v>1.3318239999999999</v>
      </c>
      <c r="C3964">
        <f t="shared" si="63"/>
        <v>4.5413986844198059E-3</v>
      </c>
      <c r="D3964">
        <f>(C3964-meanrtn)/stdevrtns</f>
        <v>0.76071709896866602</v>
      </c>
    </row>
    <row r="3965" spans="1:4" x14ac:dyDescent="0.3">
      <c r="A3965" s="1">
        <v>43525</v>
      </c>
      <c r="B3965">
        <v>1.326489</v>
      </c>
      <c r="C3965">
        <f t="shared" si="63"/>
        <v>-4.00578454810836E-3</v>
      </c>
      <c r="D3965">
        <f>(C3965-meanrtn)/stdevrtns</f>
        <v>-0.6558952361002125</v>
      </c>
    </row>
    <row r="3966" spans="1:4" x14ac:dyDescent="0.3">
      <c r="A3966" s="1">
        <v>43528</v>
      </c>
      <c r="B3966">
        <v>1.323977</v>
      </c>
      <c r="C3966">
        <f t="shared" si="63"/>
        <v>-1.8937209430308654E-3</v>
      </c>
      <c r="D3966">
        <f>(C3966-meanrtn)/stdevrtns</f>
        <v>-0.30584127399299926</v>
      </c>
    </row>
    <row r="3967" spans="1:4" x14ac:dyDescent="0.3">
      <c r="A3967" s="1">
        <v>43529</v>
      </c>
      <c r="B3967">
        <v>1.3178529999999999</v>
      </c>
      <c r="C3967">
        <f t="shared" si="63"/>
        <v>-4.6254579951162432E-3</v>
      </c>
      <c r="D3967">
        <f>(C3967-meanrtn)/stdevrtns</f>
        <v>-0.75860007170093047</v>
      </c>
    </row>
    <row r="3968" spans="1:4" x14ac:dyDescent="0.3">
      <c r="A3968" s="1">
        <v>43530</v>
      </c>
      <c r="B3968">
        <v>1.3156680000000001</v>
      </c>
      <c r="C3968">
        <f t="shared" si="63"/>
        <v>-1.6579997920859774E-3</v>
      </c>
      <c r="D3968">
        <f>(C3968-meanrtn)/stdevrtns</f>
        <v>-0.26677279014508837</v>
      </c>
    </row>
    <row r="3969" spans="1:4" x14ac:dyDescent="0.3">
      <c r="A3969" s="1">
        <v>43531</v>
      </c>
      <c r="B3969">
        <v>1.3182179999999999</v>
      </c>
      <c r="C3969">
        <f t="shared" si="63"/>
        <v>1.9381789326789359E-3</v>
      </c>
      <c r="D3969">
        <f>(C3969-meanrtn)/stdevrtns</f>
        <v>0.32925879149065235</v>
      </c>
    </row>
    <row r="3970" spans="1:4" x14ac:dyDescent="0.3">
      <c r="A3970" s="1">
        <v>43532</v>
      </c>
      <c r="B3970">
        <v>1.3092429999999999</v>
      </c>
      <c r="C3970">
        <f t="shared" si="63"/>
        <v>-6.8084338098857366E-3</v>
      </c>
      <c r="D3970">
        <f>(C3970-meanrtn)/stdevrtns</f>
        <v>-1.1204070415796834</v>
      </c>
    </row>
    <row r="3971" spans="1:4" x14ac:dyDescent="0.3">
      <c r="A3971" s="1">
        <v>43535</v>
      </c>
      <c r="B3971">
        <v>1.2988360000000001</v>
      </c>
      <c r="C3971">
        <f t="shared" si="63"/>
        <v>-7.9488681627473533E-3</v>
      </c>
      <c r="D3971">
        <f>(C3971-meanrtn)/stdevrtns</f>
        <v>-1.3094229229114092</v>
      </c>
    </row>
    <row r="3972" spans="1:4" x14ac:dyDescent="0.3">
      <c r="A3972" s="1">
        <v>43536</v>
      </c>
      <c r="B3972">
        <v>1.324854</v>
      </c>
      <c r="C3972">
        <f t="shared" ref="C3972:C4035" si="64">(B3972-B3971)/B3971</f>
        <v>2.0031782303539379E-2</v>
      </c>
      <c r="D3972">
        <f>(C3972-meanrtn)/stdevrtns</f>
        <v>3.3280972419708093</v>
      </c>
    </row>
    <row r="3973" spans="1:4" x14ac:dyDescent="0.3">
      <c r="A3973" s="1">
        <v>43537</v>
      </c>
      <c r="B3973">
        <v>1.3066770000000001</v>
      </c>
      <c r="C3973">
        <f t="shared" si="64"/>
        <v>-1.3720002354976389E-2</v>
      </c>
      <c r="D3973">
        <f>(C3973-meanrtn)/stdevrtns</f>
        <v>-2.2659321800121495</v>
      </c>
    </row>
    <row r="3974" spans="1:4" x14ac:dyDescent="0.3">
      <c r="A3974" s="1">
        <v>43538</v>
      </c>
      <c r="B3974">
        <v>1.328568</v>
      </c>
      <c r="C3974">
        <f t="shared" si="64"/>
        <v>1.6753183839617505E-2</v>
      </c>
      <c r="D3974">
        <f>(C3974-meanrtn)/stdevrtns</f>
        <v>2.7847014939945711</v>
      </c>
    </row>
    <row r="3975" spans="1:4" x14ac:dyDescent="0.3">
      <c r="A3975" s="1">
        <v>43539</v>
      </c>
      <c r="B3975">
        <v>1.325855</v>
      </c>
      <c r="C3975">
        <f t="shared" si="64"/>
        <v>-2.0420482805546766E-3</v>
      </c>
      <c r="D3975">
        <f>(C3975-meanrtn)/stdevrtns</f>
        <v>-0.33042508485181993</v>
      </c>
    </row>
    <row r="3976" spans="1:4" x14ac:dyDescent="0.3">
      <c r="A3976" s="1">
        <v>43542</v>
      </c>
      <c r="B3976">
        <v>1.3297159999999999</v>
      </c>
      <c r="C3976">
        <f t="shared" si="64"/>
        <v>2.9120831463469929E-3</v>
      </c>
      <c r="D3976">
        <f>(C3976-meanrtn)/stdevrtns</f>
        <v>0.49067392495909001</v>
      </c>
    </row>
    <row r="3977" spans="1:4" x14ac:dyDescent="0.3">
      <c r="A3977" s="1">
        <v>43543</v>
      </c>
      <c r="B3977">
        <v>1.3264359999999999</v>
      </c>
      <c r="C3977">
        <f t="shared" si="64"/>
        <v>-2.4666921357642908E-3</v>
      </c>
      <c r="D3977">
        <f>(C3977-meanrtn)/stdevrtns</f>
        <v>-0.40080566602525153</v>
      </c>
    </row>
    <row r="3978" spans="1:4" x14ac:dyDescent="0.3">
      <c r="A3978" s="1">
        <v>43544</v>
      </c>
      <c r="B3978">
        <v>1.32714</v>
      </c>
      <c r="C3978">
        <f t="shared" si="64"/>
        <v>5.3074554671317571E-4</v>
      </c>
      <c r="D3978">
        <f>(C3978-meanrtn)/stdevrtns</f>
        <v>9.5990422122009214E-2</v>
      </c>
    </row>
    <row r="3979" spans="1:4" x14ac:dyDescent="0.3">
      <c r="A3979" s="1">
        <v>43545</v>
      </c>
      <c r="B3979">
        <v>1.320533</v>
      </c>
      <c r="C3979">
        <f t="shared" si="64"/>
        <v>-4.9783745497837678E-3</v>
      </c>
      <c r="D3979">
        <f>(C3979-meanrtn)/stdevrtns</f>
        <v>-0.81709255173685302</v>
      </c>
    </row>
    <row r="3980" spans="1:4" x14ac:dyDescent="0.3">
      <c r="A3980" s="1">
        <v>43546</v>
      </c>
      <c r="B3980">
        <v>1.313232</v>
      </c>
      <c r="C3980">
        <f t="shared" si="64"/>
        <v>-5.528828132276893E-3</v>
      </c>
      <c r="D3980">
        <f>(C3980-meanrtn)/stdevrtns</f>
        <v>-0.90832486928855771</v>
      </c>
    </row>
    <row r="3981" spans="1:4" x14ac:dyDescent="0.3">
      <c r="A3981" s="1">
        <v>43549</v>
      </c>
      <c r="B3981">
        <v>1.3206549999999999</v>
      </c>
      <c r="C3981">
        <f t="shared" si="64"/>
        <v>5.6524665862543386E-3</v>
      </c>
      <c r="D3981">
        <f>(C3981-meanrtn)/stdevrtns</f>
        <v>0.94486577719611742</v>
      </c>
    </row>
    <row r="3982" spans="1:4" x14ac:dyDescent="0.3">
      <c r="A3982" s="1">
        <v>43550</v>
      </c>
      <c r="B3982">
        <v>1.321528</v>
      </c>
      <c r="C3982">
        <f t="shared" si="64"/>
        <v>6.6103562247530484E-4</v>
      </c>
      <c r="D3982">
        <f>(C3982-meanrtn)/stdevrtns</f>
        <v>0.11758473260306541</v>
      </c>
    </row>
    <row r="3983" spans="1:4" x14ac:dyDescent="0.3">
      <c r="A3983" s="1">
        <v>43551</v>
      </c>
      <c r="B3983">
        <v>1.3211440000000001</v>
      </c>
      <c r="C3983">
        <f t="shared" si="64"/>
        <v>-2.9057273095987369E-4</v>
      </c>
      <c r="D3983">
        <f>(C3983-meanrtn)/stdevrtns</f>
        <v>-4.0135079287771644E-2</v>
      </c>
    </row>
    <row r="3984" spans="1:4" x14ac:dyDescent="0.3">
      <c r="A3984" s="1">
        <v>43552</v>
      </c>
      <c r="B3984">
        <v>1.3152699999999999</v>
      </c>
      <c r="C3984">
        <f t="shared" si="64"/>
        <v>-4.4461466728836193E-3</v>
      </c>
      <c r="D3984">
        <f>(C3984-meanrtn)/stdevrtns</f>
        <v>-0.7288809672917097</v>
      </c>
    </row>
    <row r="3985" spans="1:4" x14ac:dyDescent="0.3">
      <c r="A3985" s="1">
        <v>43553</v>
      </c>
      <c r="B3985">
        <v>1.305653</v>
      </c>
      <c r="C3985">
        <f t="shared" si="64"/>
        <v>-7.3118067012856577E-3</v>
      </c>
      <c r="D3985">
        <f>(C3985-meanrtn)/stdevrtns</f>
        <v>-1.2038361933477908</v>
      </c>
    </row>
    <row r="3986" spans="1:4" x14ac:dyDescent="0.3">
      <c r="A3986" s="1">
        <v>43556</v>
      </c>
      <c r="B3986">
        <v>1.302287</v>
      </c>
      <c r="C3986">
        <f t="shared" si="64"/>
        <v>-2.5780203469068582E-3</v>
      </c>
      <c r="D3986">
        <f>(C3986-meanrtn)/stdevrtns</f>
        <v>-0.41925723221439298</v>
      </c>
    </row>
    <row r="3987" spans="1:4" x14ac:dyDescent="0.3">
      <c r="A3987" s="1">
        <v>43557</v>
      </c>
      <c r="B3987">
        <v>1.306899</v>
      </c>
      <c r="C3987">
        <f t="shared" si="64"/>
        <v>3.5414620586706777E-3</v>
      </c>
      <c r="D3987">
        <f>(C3987-meanrtn)/stdevrtns</f>
        <v>0.59498734686361199</v>
      </c>
    </row>
    <row r="3988" spans="1:4" x14ac:dyDescent="0.3">
      <c r="A3988" s="1">
        <v>43558</v>
      </c>
      <c r="B3988">
        <v>1.312767</v>
      </c>
      <c r="C3988">
        <f t="shared" si="64"/>
        <v>4.4900179738449446E-3</v>
      </c>
      <c r="D3988">
        <f>(C3988-meanrtn)/stdevrtns</f>
        <v>0.75220124685636458</v>
      </c>
    </row>
    <row r="3989" spans="1:4" x14ac:dyDescent="0.3">
      <c r="A3989" s="1">
        <v>43559</v>
      </c>
      <c r="B3989">
        <v>1.3176969999999999</v>
      </c>
      <c r="C3989">
        <f t="shared" si="64"/>
        <v>3.7554265151393041E-3</v>
      </c>
      <c r="D3989">
        <f>(C3989-meanrtn)/stdevrtns</f>
        <v>0.63044987060432611</v>
      </c>
    </row>
    <row r="3990" spans="1:4" x14ac:dyDescent="0.3">
      <c r="A3990" s="1">
        <v>43560</v>
      </c>
      <c r="B3990">
        <v>1.3077019999999999</v>
      </c>
      <c r="C3990">
        <f t="shared" si="64"/>
        <v>-7.5852035786679161E-3</v>
      </c>
      <c r="D3990">
        <f>(C3990-meanrtn)/stdevrtns</f>
        <v>-1.2491490617317371</v>
      </c>
    </row>
    <row r="3991" spans="1:4" x14ac:dyDescent="0.3">
      <c r="A3991" s="1">
        <v>43563</v>
      </c>
      <c r="B3991">
        <v>1.3038149999999999</v>
      </c>
      <c r="C3991">
        <f t="shared" si="64"/>
        <v>-2.9723897340525394E-3</v>
      </c>
      <c r="D3991">
        <f>(C3991-meanrtn)/stdevrtns</f>
        <v>-0.48462011530761973</v>
      </c>
    </row>
    <row r="3992" spans="1:4" x14ac:dyDescent="0.3">
      <c r="A3992" s="1">
        <v>43564</v>
      </c>
      <c r="B3992">
        <v>1.3063359999999999</v>
      </c>
      <c r="C3992">
        <f t="shared" si="64"/>
        <v>1.9335565245069243E-3</v>
      </c>
      <c r="D3992">
        <f>(C3992-meanrtn)/stdevrtns</f>
        <v>0.32849267237795166</v>
      </c>
    </row>
    <row r="3993" spans="1:4" x14ac:dyDescent="0.3">
      <c r="A3993" s="1">
        <v>43565</v>
      </c>
      <c r="B3993">
        <v>1.305722</v>
      </c>
      <c r="C3993">
        <f t="shared" si="64"/>
        <v>-4.7001690223640198E-4</v>
      </c>
      <c r="D3993">
        <f>(C3993-meanrtn)/stdevrtns</f>
        <v>-6.9876202131507859E-2</v>
      </c>
    </row>
    <row r="3994" spans="1:4" x14ac:dyDescent="0.3">
      <c r="A3994" s="1">
        <v>43566</v>
      </c>
      <c r="B3994">
        <v>1.3099289999999999</v>
      </c>
      <c r="C3994">
        <f t="shared" si="64"/>
        <v>3.2219722115426177E-3</v>
      </c>
      <c r="D3994">
        <f>(C3994-meanrtn)/stdevrtns</f>
        <v>0.54203501788481601</v>
      </c>
    </row>
    <row r="3995" spans="1:4" x14ac:dyDescent="0.3">
      <c r="A3995" s="1">
        <v>43567</v>
      </c>
      <c r="B3995">
        <v>1.3056019999999999</v>
      </c>
      <c r="C3995">
        <f t="shared" si="64"/>
        <v>-3.3032324652709955E-3</v>
      </c>
      <c r="D3995">
        <f>(C3995-meanrtn)/stdevrtns</f>
        <v>-0.5394540741992806</v>
      </c>
    </row>
    <row r="3996" spans="1:4" x14ac:dyDescent="0.3">
      <c r="A3996" s="1">
        <v>43570</v>
      </c>
      <c r="B3996">
        <v>1.308387</v>
      </c>
      <c r="C3996">
        <f t="shared" si="64"/>
        <v>2.1331156049087222E-3</v>
      </c>
      <c r="D3996">
        <f>(C3996-meanrtn)/stdevrtns</f>
        <v>0.36156764540489239</v>
      </c>
    </row>
    <row r="3997" spans="1:4" x14ac:dyDescent="0.3">
      <c r="A3997" s="1">
        <v>43571</v>
      </c>
      <c r="B3997">
        <v>1.310273</v>
      </c>
      <c r="C3997">
        <f t="shared" si="64"/>
        <v>1.4414695346255002E-3</v>
      </c>
      <c r="D3997">
        <f>(C3997-meanrtn)/stdevrtns</f>
        <v>0.24693404881411049</v>
      </c>
    </row>
    <row r="3998" spans="1:4" x14ac:dyDescent="0.3">
      <c r="A3998" s="1">
        <v>43572</v>
      </c>
      <c r="B3998">
        <v>1.3046310000000001</v>
      </c>
      <c r="C3998">
        <f t="shared" si="64"/>
        <v>-4.3059728774079336E-3</v>
      </c>
      <c r="D3998">
        <f>(C3998-meanrtn)/stdevrtns</f>
        <v>-0.70564852657737365</v>
      </c>
    </row>
    <row r="3999" spans="1:4" x14ac:dyDescent="0.3">
      <c r="A3999" s="1">
        <v>43573</v>
      </c>
      <c r="B3999">
        <v>1.3039339999999999</v>
      </c>
      <c r="C3999">
        <f t="shared" si="64"/>
        <v>-5.3425068084398547E-4</v>
      </c>
      <c r="D3999">
        <f>(C3999-meanrtn)/stdevrtns</f>
        <v>-8.0522325026976788E-2</v>
      </c>
    </row>
    <row r="4000" spans="1:4" x14ac:dyDescent="0.3">
      <c r="A4000" s="1">
        <v>43574</v>
      </c>
      <c r="B4000">
        <v>1.299444</v>
      </c>
      <c r="C4000">
        <f t="shared" si="64"/>
        <v>-3.4434258175642962E-3</v>
      </c>
      <c r="D4000">
        <f>(C4000-meanrtn)/stdevrtns</f>
        <v>-0.56268975626557027</v>
      </c>
    </row>
    <row r="4001" spans="1:4" x14ac:dyDescent="0.3">
      <c r="A4001" s="1">
        <v>43577</v>
      </c>
      <c r="B4001">
        <v>1.2993760000000001</v>
      </c>
      <c r="C4001">
        <f t="shared" si="64"/>
        <v>-5.2330073477546539E-5</v>
      </c>
      <c r="D4001">
        <f>(C4001-meanrtn)/stdevrtns</f>
        <v>-6.4868030142087264E-4</v>
      </c>
    </row>
    <row r="4002" spans="1:4" x14ac:dyDescent="0.3">
      <c r="A4002" s="1">
        <v>43578</v>
      </c>
      <c r="B4002">
        <v>1.2981450000000001</v>
      </c>
      <c r="C4002">
        <f t="shared" si="64"/>
        <v>-9.4737781827583555E-4</v>
      </c>
      <c r="D4002">
        <f>(C4002-meanrtn)/stdevrtns</f>
        <v>-0.14899412245029545</v>
      </c>
    </row>
    <row r="4003" spans="1:4" x14ac:dyDescent="0.3">
      <c r="A4003" s="1">
        <v>43579</v>
      </c>
      <c r="B4003">
        <v>1.293812</v>
      </c>
      <c r="C4003">
        <f t="shared" si="64"/>
        <v>-3.3378397636628743E-3</v>
      </c>
      <c r="D4003">
        <f>(C4003-meanrtn)/stdevrtns</f>
        <v>-0.54518989668624551</v>
      </c>
    </row>
    <row r="4004" spans="1:4" x14ac:dyDescent="0.3">
      <c r="A4004" s="1">
        <v>43580</v>
      </c>
      <c r="B4004">
        <v>1.290489</v>
      </c>
      <c r="C4004">
        <f t="shared" si="64"/>
        <v>-2.5683793317730591E-3</v>
      </c>
      <c r="D4004">
        <f>(C4004-meanrtn)/stdevrtns</f>
        <v>-0.41765932790023852</v>
      </c>
    </row>
    <row r="4005" spans="1:4" x14ac:dyDescent="0.3">
      <c r="A4005" s="1">
        <v>43581</v>
      </c>
      <c r="B4005">
        <v>1.2896069999999999</v>
      </c>
      <c r="C4005">
        <f t="shared" si="64"/>
        <v>-6.83461850507869E-4</v>
      </c>
      <c r="D4005">
        <f>(C4005-meanrtn)/stdevrtns</f>
        <v>-0.10525262245075043</v>
      </c>
    </row>
    <row r="4006" spans="1:4" x14ac:dyDescent="0.3">
      <c r="A4006" s="1">
        <v>43584</v>
      </c>
      <c r="B4006">
        <v>1.2920229999999999</v>
      </c>
      <c r="C4006">
        <f t="shared" si="64"/>
        <v>1.8734389624125596E-3</v>
      </c>
      <c r="D4006">
        <f>(C4006-meanrtn)/stdevrtns</f>
        <v>0.31852877226018667</v>
      </c>
    </row>
    <row r="4007" spans="1:4" x14ac:dyDescent="0.3">
      <c r="A4007" s="1">
        <v>43585</v>
      </c>
      <c r="B4007">
        <v>1.2932429999999999</v>
      </c>
      <c r="C4007">
        <f t="shared" si="64"/>
        <v>9.4425563631607098E-4</v>
      </c>
      <c r="D4007">
        <f>(C4007-meanrtn)/stdevrtns</f>
        <v>0.16452569013610444</v>
      </c>
    </row>
    <row r="4008" spans="1:4" x14ac:dyDescent="0.3">
      <c r="A4008" s="1">
        <v>43586</v>
      </c>
      <c r="B4008">
        <v>1.3039849999999999</v>
      </c>
      <c r="C4008">
        <f t="shared" si="64"/>
        <v>8.3062502561390469E-3</v>
      </c>
      <c r="D4008">
        <f>(C4008-meanrtn)/stdevrtns</f>
        <v>1.3847045614000042</v>
      </c>
    </row>
    <row r="4009" spans="1:4" x14ac:dyDescent="0.3">
      <c r="A4009" s="1">
        <v>43587</v>
      </c>
      <c r="B4009">
        <v>1.3053129999999999</v>
      </c>
      <c r="C4009">
        <f t="shared" si="64"/>
        <v>1.0184166228905977E-3</v>
      </c>
      <c r="D4009">
        <f>(C4009-meanrtn)/stdevrtns</f>
        <v>0.17681715101909257</v>
      </c>
    </row>
    <row r="4010" spans="1:4" x14ac:dyDescent="0.3">
      <c r="A4010" s="1">
        <v>43588</v>
      </c>
      <c r="B4010">
        <v>1.3033220000000001</v>
      </c>
      <c r="C4010">
        <f t="shared" si="64"/>
        <v>-1.5253046587292505E-3</v>
      </c>
      <c r="D4010">
        <f>(C4010-meanrtn)/stdevrtns</f>
        <v>-0.24477986480316288</v>
      </c>
    </row>
    <row r="4011" spans="1:4" x14ac:dyDescent="0.3">
      <c r="A4011" s="1">
        <v>43591</v>
      </c>
      <c r="B4011">
        <v>1.3150630000000001</v>
      </c>
      <c r="C4011">
        <f t="shared" si="64"/>
        <v>9.0085182326393627E-3</v>
      </c>
      <c r="D4011">
        <f>(C4011-meanrtn)/stdevrtns</f>
        <v>1.5010986354439679</v>
      </c>
    </row>
    <row r="4012" spans="1:4" x14ac:dyDescent="0.3">
      <c r="A4012" s="1">
        <v>43592</v>
      </c>
      <c r="B4012">
        <v>1.3099289999999999</v>
      </c>
      <c r="C4012">
        <f t="shared" si="64"/>
        <v>-3.9039954739812418E-3</v>
      </c>
      <c r="D4012">
        <f>(C4012-meanrtn)/stdevrtns</f>
        <v>-0.63902468891983288</v>
      </c>
    </row>
    <row r="4013" spans="1:4" x14ac:dyDescent="0.3">
      <c r="A4013" s="1">
        <v>43593</v>
      </c>
      <c r="B4013">
        <v>1.3068820000000001</v>
      </c>
      <c r="C4013">
        <f t="shared" si="64"/>
        <v>-2.3260802684724135E-3</v>
      </c>
      <c r="D4013">
        <f>(C4013-meanrtn)/stdevrtns</f>
        <v>-0.37750061917605438</v>
      </c>
    </row>
    <row r="4014" spans="1:4" x14ac:dyDescent="0.3">
      <c r="A4014" s="1">
        <v>43594</v>
      </c>
      <c r="B4014">
        <v>1.301202</v>
      </c>
      <c r="C4014">
        <f t="shared" si="64"/>
        <v>-4.3462225357760904E-3</v>
      </c>
      <c r="D4014">
        <f>(C4014-meanrtn)/stdevrtns</f>
        <v>-0.71231951524995107</v>
      </c>
    </row>
    <row r="4015" spans="1:4" x14ac:dyDescent="0.3">
      <c r="A4015" s="1">
        <v>43595</v>
      </c>
      <c r="B4015">
        <v>1.3009649999999999</v>
      </c>
      <c r="C4015">
        <f t="shared" si="64"/>
        <v>-1.8213928352403603E-4</v>
      </c>
      <c r="D4015">
        <f>(C4015-meanrtn)/stdevrtns</f>
        <v>-2.2163291975776132E-2</v>
      </c>
    </row>
    <row r="4016" spans="1:4" x14ac:dyDescent="0.3">
      <c r="A4016" s="1">
        <v>43598</v>
      </c>
      <c r="B4016">
        <v>1.301067</v>
      </c>
      <c r="C4016">
        <f t="shared" si="64"/>
        <v>7.8403339059887468E-5</v>
      </c>
      <c r="D4016">
        <f>(C4016-meanrtn)/stdevrtns</f>
        <v>2.1019108930166435E-2</v>
      </c>
    </row>
    <row r="4017" spans="1:4" x14ac:dyDescent="0.3">
      <c r="A4017" s="1">
        <v>43599</v>
      </c>
      <c r="B4017">
        <v>1.296311</v>
      </c>
      <c r="C4017">
        <f t="shared" si="64"/>
        <v>-3.6554612483446144E-3</v>
      </c>
      <c r="D4017">
        <f>(C4017-meanrtn)/stdevrtns</f>
        <v>-0.59783256279531816</v>
      </c>
    </row>
    <row r="4018" spans="1:4" x14ac:dyDescent="0.3">
      <c r="A4018" s="1">
        <v>43600</v>
      </c>
      <c r="B4018">
        <v>1.290656</v>
      </c>
      <c r="C4018">
        <f t="shared" si="64"/>
        <v>-4.362379089585729E-3</v>
      </c>
      <c r="D4018">
        <f>(C4018-meanrtn)/stdevrtns</f>
        <v>-0.71499730661071592</v>
      </c>
    </row>
    <row r="4019" spans="1:4" x14ac:dyDescent="0.3">
      <c r="A4019" s="1">
        <v>43601</v>
      </c>
      <c r="B4019">
        <v>1.2847519999999999</v>
      </c>
      <c r="C4019">
        <f t="shared" si="64"/>
        <v>-4.5744179703965512E-3</v>
      </c>
      <c r="D4019">
        <f>(C4019-meanrtn)/stdevrtns</f>
        <v>-0.75014068494940189</v>
      </c>
    </row>
    <row r="4020" spans="1:4" x14ac:dyDescent="0.3">
      <c r="A4020" s="1">
        <v>43602</v>
      </c>
      <c r="B4020">
        <v>1.279771</v>
      </c>
      <c r="C4020">
        <f t="shared" si="64"/>
        <v>-3.8770128398320472E-3</v>
      </c>
      <c r="D4020">
        <f>(C4020-meanrtn)/stdevrtns</f>
        <v>-0.63455258023460781</v>
      </c>
    </row>
    <row r="4021" spans="1:4" x14ac:dyDescent="0.3">
      <c r="A4021" s="1">
        <v>43605</v>
      </c>
      <c r="B4021">
        <v>1.273156</v>
      </c>
      <c r="C4021">
        <f t="shared" si="64"/>
        <v>-5.1688934973522904E-3</v>
      </c>
      <c r="D4021">
        <f>(C4021-meanrtn)/stdevrtns</f>
        <v>-0.84866921083581548</v>
      </c>
    </row>
    <row r="4022" spans="1:4" x14ac:dyDescent="0.3">
      <c r="A4022" s="1">
        <v>43606</v>
      </c>
      <c r="B4022">
        <v>1.272912</v>
      </c>
      <c r="C4022">
        <f t="shared" si="64"/>
        <v>-1.916497271347038E-4</v>
      </c>
      <c r="D4022">
        <f>(C4022-meanrtn)/stdevrtns</f>
        <v>-2.3739555332290593E-2</v>
      </c>
    </row>
    <row r="4023" spans="1:4" x14ac:dyDescent="0.3">
      <c r="A4023" s="1">
        <v>43608</v>
      </c>
      <c r="B4023">
        <v>1.266416</v>
      </c>
      <c r="C4023">
        <f t="shared" si="64"/>
        <v>-5.1032592983647389E-3</v>
      </c>
      <c r="D4023">
        <f>(C4023-meanrtn)/stdevrtns</f>
        <v>-0.83779098190838575</v>
      </c>
    </row>
    <row r="4024" spans="1:4" x14ac:dyDescent="0.3">
      <c r="A4024" s="1">
        <v>43609</v>
      </c>
      <c r="B4024">
        <v>1.266464</v>
      </c>
      <c r="C4024">
        <f t="shared" si="64"/>
        <v>3.790223749545805E-5</v>
      </c>
      <c r="D4024">
        <f>(C4024-meanrtn)/stdevrtns</f>
        <v>1.4306445997927244E-2</v>
      </c>
    </row>
    <row r="4025" spans="1:4" x14ac:dyDescent="0.3">
      <c r="A4025" s="1">
        <v>43612</v>
      </c>
      <c r="B4025">
        <v>1.272475</v>
      </c>
      <c r="C4025">
        <f t="shared" si="64"/>
        <v>4.7462857215049056E-3</v>
      </c>
      <c r="D4025">
        <f>(C4025-meanrtn)/stdevrtns</f>
        <v>0.79467512889902658</v>
      </c>
    </row>
    <row r="4026" spans="1:4" x14ac:dyDescent="0.3">
      <c r="A4026" s="1">
        <v>43613</v>
      </c>
      <c r="B4026">
        <v>1.2682310000000001</v>
      </c>
      <c r="C4026">
        <f t="shared" si="64"/>
        <v>-3.3352325193028659E-3</v>
      </c>
      <c r="D4026">
        <f>(C4026-meanrtn)/stdevrtns</f>
        <v>-0.54475777133916392</v>
      </c>
    </row>
    <row r="4027" spans="1:4" x14ac:dyDescent="0.3">
      <c r="A4027" s="1">
        <v>43614</v>
      </c>
      <c r="B4027">
        <v>1.2659670000000001</v>
      </c>
      <c r="C4027">
        <f t="shared" si="64"/>
        <v>-1.7851637438290372E-3</v>
      </c>
      <c r="D4027">
        <f>(C4027-meanrtn)/stdevrtns</f>
        <v>-0.28784897603165649</v>
      </c>
    </row>
    <row r="4028" spans="1:4" x14ac:dyDescent="0.3">
      <c r="A4028" s="1">
        <v>43615</v>
      </c>
      <c r="B4028">
        <v>1.262945</v>
      </c>
      <c r="C4028">
        <f t="shared" si="64"/>
        <v>-2.3871080367814327E-3</v>
      </c>
      <c r="D4028">
        <f>(C4028-meanrtn)/stdevrtns</f>
        <v>-0.38761537710463928</v>
      </c>
    </row>
    <row r="4029" spans="1:4" x14ac:dyDescent="0.3">
      <c r="A4029" s="1">
        <v>43616</v>
      </c>
      <c r="B4029">
        <v>1.2609699999999999</v>
      </c>
      <c r="C4029">
        <f t="shared" si="64"/>
        <v>-1.5638052330070272E-3</v>
      </c>
      <c r="D4029">
        <f>(C4029-meanrtn)/stdevrtns</f>
        <v>-0.25116095983123821</v>
      </c>
    </row>
    <row r="4030" spans="1:4" x14ac:dyDescent="0.3">
      <c r="A4030" s="1">
        <v>43619</v>
      </c>
      <c r="B4030">
        <v>1.263951</v>
      </c>
      <c r="C4030">
        <f t="shared" si="64"/>
        <v>2.3640530702555354E-3</v>
      </c>
      <c r="D4030">
        <f>(C4030-meanrtn)/stdevrtns</f>
        <v>0.39984327997825697</v>
      </c>
    </row>
    <row r="4031" spans="1:4" x14ac:dyDescent="0.3">
      <c r="A4031" s="1">
        <v>43620</v>
      </c>
      <c r="B4031">
        <v>1.266416</v>
      </c>
      <c r="C4031">
        <f t="shared" si="64"/>
        <v>1.9502338302671064E-3</v>
      </c>
      <c r="D4031">
        <f>(C4031-meanrtn)/stdevrtns</f>
        <v>0.3312567733001921</v>
      </c>
    </row>
    <row r="4032" spans="1:4" x14ac:dyDescent="0.3">
      <c r="A4032" s="1">
        <v>43621</v>
      </c>
      <c r="B4032">
        <v>1.2702770000000001</v>
      </c>
      <c r="C4032">
        <f t="shared" si="64"/>
        <v>3.0487612285379482E-3</v>
      </c>
      <c r="D4032">
        <f>(C4032-meanrtn)/stdevrtns</f>
        <v>0.5133269852595177</v>
      </c>
    </row>
    <row r="4033" spans="1:4" x14ac:dyDescent="0.3">
      <c r="A4033" s="1">
        <v>43622</v>
      </c>
      <c r="B4033">
        <v>1.268858</v>
      </c>
      <c r="C4033">
        <f t="shared" si="64"/>
        <v>-1.1170791882400917E-3</v>
      </c>
      <c r="D4033">
        <f>(C4033-meanrtn)/stdevrtns</f>
        <v>-0.17712047091262328</v>
      </c>
    </row>
    <row r="4034" spans="1:4" x14ac:dyDescent="0.3">
      <c r="A4034" s="1">
        <v>43623</v>
      </c>
      <c r="B4034">
        <v>1.269841</v>
      </c>
      <c r="C4034">
        <f t="shared" si="64"/>
        <v>7.7471237916296079E-4</v>
      </c>
      <c r="D4034">
        <f>(C4034-meanrtn)/stdevrtns</f>
        <v>0.13642554733153642</v>
      </c>
    </row>
    <row r="4035" spans="1:4" x14ac:dyDescent="0.3">
      <c r="A4035" s="1">
        <v>43626</v>
      </c>
      <c r="B4035">
        <v>1.272297</v>
      </c>
      <c r="C4035">
        <f t="shared" si="64"/>
        <v>1.9341004109963481E-3</v>
      </c>
      <c r="D4035">
        <f>(C4035-meanrtn)/stdevrtns</f>
        <v>0.32858281626381841</v>
      </c>
    </row>
    <row r="4036" spans="1:4" x14ac:dyDescent="0.3">
      <c r="A4036" s="1">
        <v>43627</v>
      </c>
      <c r="B4036">
        <v>1.2691159999999999</v>
      </c>
      <c r="C4036">
        <f t="shared" ref="C4036:C4099" si="65">(B4036-B4035)/B4035</f>
        <v>-2.5002023898508764E-3</v>
      </c>
      <c r="D4036">
        <f>(C4036-meanrtn)/stdevrtns</f>
        <v>-0.40635966410846663</v>
      </c>
    </row>
    <row r="4037" spans="1:4" x14ac:dyDescent="0.3">
      <c r="A4037" s="1">
        <v>43628</v>
      </c>
      <c r="B4037">
        <v>1.272443</v>
      </c>
      <c r="C4037">
        <f t="shared" si="65"/>
        <v>2.6215097753082305E-3</v>
      </c>
      <c r="D4037">
        <f>(C4037-meanrtn)/stdevrtns</f>
        <v>0.44251422012328984</v>
      </c>
    </row>
    <row r="4038" spans="1:4" x14ac:dyDescent="0.3">
      <c r="A4038" s="1">
        <v>43629</v>
      </c>
      <c r="B4038">
        <v>1.269342</v>
      </c>
      <c r="C4038">
        <f t="shared" si="65"/>
        <v>-2.4370443312588621E-3</v>
      </c>
      <c r="D4038">
        <f>(C4038-meanrtn)/stdevrtns</f>
        <v>-0.39589183132351463</v>
      </c>
    </row>
    <row r="4039" spans="1:4" x14ac:dyDescent="0.3">
      <c r="A4039" s="1">
        <v>43630</v>
      </c>
      <c r="B4039">
        <v>1.268006</v>
      </c>
      <c r="C4039">
        <f t="shared" si="65"/>
        <v>-1.0525138221220158E-3</v>
      </c>
      <c r="D4039">
        <f>(C4039-meanrtn)/stdevrtns</f>
        <v>-0.16641939061835534</v>
      </c>
    </row>
    <row r="4040" spans="1:4" x14ac:dyDescent="0.3">
      <c r="A4040" s="1">
        <v>43633</v>
      </c>
      <c r="B4040">
        <v>1.2596039999999999</v>
      </c>
      <c r="C4040">
        <f t="shared" si="65"/>
        <v>-6.626151611269995E-3</v>
      </c>
      <c r="D4040">
        <f>(C4040-meanrtn)/stdevrtns</f>
        <v>-1.0901955433588648</v>
      </c>
    </row>
    <row r="4041" spans="1:4" x14ac:dyDescent="0.3">
      <c r="A4041" s="1">
        <v>43634</v>
      </c>
      <c r="B4041">
        <v>1.254154</v>
      </c>
      <c r="C4041">
        <f t="shared" si="65"/>
        <v>-4.3267566632052253E-3</v>
      </c>
      <c r="D4041">
        <f>(C4041-meanrtn)/stdevrtns</f>
        <v>-0.70909323655127732</v>
      </c>
    </row>
    <row r="4042" spans="1:4" x14ac:dyDescent="0.3">
      <c r="A4042" s="1">
        <v>43635</v>
      </c>
      <c r="B4042">
        <v>1.2566600000000001</v>
      </c>
      <c r="C4042">
        <f t="shared" si="65"/>
        <v>1.9981597156331033E-3</v>
      </c>
      <c r="D4042">
        <f>(C4042-meanrtn)/stdevrtns</f>
        <v>0.33920002179873709</v>
      </c>
    </row>
    <row r="4043" spans="1:4" x14ac:dyDescent="0.3">
      <c r="A4043" s="1">
        <v>43636</v>
      </c>
      <c r="B4043">
        <v>1.265663</v>
      </c>
      <c r="C4043">
        <f t="shared" si="65"/>
        <v>7.1642289879520881E-3</v>
      </c>
      <c r="D4043">
        <f>(C4043-meanrtn)/stdevrtns</f>
        <v>1.1954256643163714</v>
      </c>
    </row>
    <row r="4044" spans="1:4" x14ac:dyDescent="0.3">
      <c r="A4044" s="1">
        <v>43637</v>
      </c>
      <c r="B4044">
        <v>1.2707930000000001</v>
      </c>
      <c r="C4044">
        <f t="shared" si="65"/>
        <v>4.053211636904989E-3</v>
      </c>
      <c r="D4044">
        <f>(C4044-meanrtn)/stdevrtns</f>
        <v>0.67980485285015302</v>
      </c>
    </row>
    <row r="4045" spans="1:4" x14ac:dyDescent="0.3">
      <c r="A4045" s="1">
        <v>43640</v>
      </c>
      <c r="B4045">
        <v>1.2750870000000001</v>
      </c>
      <c r="C4045">
        <f t="shared" si="65"/>
        <v>3.3789924873681393E-3</v>
      </c>
      <c r="D4045">
        <f>(C4045-meanrtn)/stdevrtns</f>
        <v>0.56805959856115151</v>
      </c>
    </row>
    <row r="4046" spans="1:4" x14ac:dyDescent="0.3">
      <c r="A4046" s="1">
        <v>43641</v>
      </c>
      <c r="B4046">
        <v>1.2739659999999999</v>
      </c>
      <c r="C4046">
        <f t="shared" si="65"/>
        <v>-8.7915569682707896E-4</v>
      </c>
      <c r="D4046">
        <f>(C4046-meanrtn)/stdevrtns</f>
        <v>-0.13768697059223364</v>
      </c>
    </row>
    <row r="4047" spans="1:4" x14ac:dyDescent="0.3">
      <c r="A4047" s="1">
        <v>43642</v>
      </c>
      <c r="B4047">
        <v>1.2690680000000001</v>
      </c>
      <c r="C4047">
        <f t="shared" si="65"/>
        <v>-3.844686592891684E-3</v>
      </c>
      <c r="D4047">
        <f>(C4047-meanrtn)/stdevrtns</f>
        <v>-0.62919481979864067</v>
      </c>
    </row>
    <row r="4048" spans="1:4" x14ac:dyDescent="0.3">
      <c r="A4048" s="1">
        <v>43643</v>
      </c>
      <c r="B4048">
        <v>1.269841</v>
      </c>
      <c r="C4048">
        <f t="shared" si="65"/>
        <v>6.0910841657020164E-4</v>
      </c>
      <c r="D4048">
        <f>(C4048-meanrtn)/stdevrtns</f>
        <v>0.10897830421495279</v>
      </c>
    </row>
    <row r="4049" spans="1:4" x14ac:dyDescent="0.3">
      <c r="A4049" s="1">
        <v>43644</v>
      </c>
      <c r="B4049">
        <v>1.2677480000000001</v>
      </c>
      <c r="C4049">
        <f t="shared" si="65"/>
        <v>-1.6482378502504647E-3</v>
      </c>
      <c r="D4049">
        <f>(C4049-meanrtn)/stdevrtns</f>
        <v>-0.26515484340846251</v>
      </c>
    </row>
    <row r="4050" spans="1:4" x14ac:dyDescent="0.3">
      <c r="A4050" s="1">
        <v>43647</v>
      </c>
      <c r="B4050">
        <v>1.2694540000000001</v>
      </c>
      <c r="C4050">
        <f t="shared" si="65"/>
        <v>1.3456933081337815E-3</v>
      </c>
      <c r="D4050">
        <f>(C4050-meanrtn)/stdevrtns</f>
        <v>0.23106007253872562</v>
      </c>
    </row>
    <row r="4051" spans="1:4" x14ac:dyDescent="0.3">
      <c r="A4051" s="1">
        <v>43648</v>
      </c>
      <c r="B4051">
        <v>1.264462</v>
      </c>
      <c r="C4051">
        <f t="shared" si="65"/>
        <v>-3.9323992834715609E-3</v>
      </c>
      <c r="D4051">
        <f>(C4051-meanrtn)/stdevrtns</f>
        <v>-0.64373234356958953</v>
      </c>
    </row>
    <row r="4052" spans="1:4" x14ac:dyDescent="0.3">
      <c r="A4052" s="1">
        <v>43649</v>
      </c>
      <c r="B4052">
        <v>1.259827</v>
      </c>
      <c r="C4052">
        <f t="shared" si="65"/>
        <v>-3.6655905831886959E-3</v>
      </c>
      <c r="D4052">
        <f>(C4052-meanrtn)/stdevrtns</f>
        <v>-0.59951140134315217</v>
      </c>
    </row>
    <row r="4053" spans="1:4" x14ac:dyDescent="0.3">
      <c r="A4053" s="1">
        <v>43650</v>
      </c>
      <c r="B4053">
        <v>1.258273</v>
      </c>
      <c r="C4053">
        <f t="shared" si="65"/>
        <v>-1.2335026952113705E-3</v>
      </c>
      <c r="D4053">
        <f>(C4053-meanrtn)/stdevrtns</f>
        <v>-0.19641653273563717</v>
      </c>
    </row>
    <row r="4054" spans="1:4" x14ac:dyDescent="0.3">
      <c r="A4054" s="1">
        <v>43651</v>
      </c>
      <c r="B4054">
        <v>1.258305</v>
      </c>
      <c r="C4054">
        <f t="shared" si="65"/>
        <v>2.5431682949592022E-5</v>
      </c>
      <c r="D4054">
        <f>(C4054-meanrtn)/stdevrtns</f>
        <v>1.2239573097906626E-2</v>
      </c>
    </row>
    <row r="4055" spans="1:4" x14ac:dyDescent="0.3">
      <c r="A4055" s="1">
        <v>43654</v>
      </c>
      <c r="B4055">
        <v>1.2525520000000001</v>
      </c>
      <c r="C4055">
        <f t="shared" si="65"/>
        <v>-4.5720234760252059E-3</v>
      </c>
      <c r="D4055">
        <f>(C4055-meanrtn)/stdevrtns</f>
        <v>-0.74974382083985625</v>
      </c>
    </row>
    <row r="4056" spans="1:4" x14ac:dyDescent="0.3">
      <c r="A4056" s="1">
        <v>43655</v>
      </c>
      <c r="B4056">
        <v>1.2516430000000001</v>
      </c>
      <c r="C4056">
        <f t="shared" si="65"/>
        <v>-7.2571837336896875E-4</v>
      </c>
      <c r="D4056">
        <f>(C4056-meanrtn)/stdevrtns</f>
        <v>-0.11225622935768317</v>
      </c>
    </row>
    <row r="4057" spans="1:4" x14ac:dyDescent="0.3">
      <c r="A4057" s="1">
        <v>43656</v>
      </c>
      <c r="B4057">
        <v>1.2458579999999999</v>
      </c>
      <c r="C4057">
        <f t="shared" si="65"/>
        <v>-4.6219249418565445E-3</v>
      </c>
      <c r="D4057">
        <f>(C4057-meanrtn)/stdevrtns</f>
        <v>-0.75801450255002045</v>
      </c>
    </row>
    <row r="4058" spans="1:4" x14ac:dyDescent="0.3">
      <c r="A4058" s="1">
        <v>43657</v>
      </c>
      <c r="B4058">
        <v>1.250813</v>
      </c>
      <c r="C4058">
        <f t="shared" si="65"/>
        <v>3.9771787796041309E-3</v>
      </c>
      <c r="D4058">
        <f>(C4058-meanrtn)/stdevrtns</f>
        <v>0.66720314763421507</v>
      </c>
    </row>
    <row r="4059" spans="1:4" x14ac:dyDescent="0.3">
      <c r="A4059" s="1">
        <v>43658</v>
      </c>
      <c r="B4059">
        <v>1.252348</v>
      </c>
      <c r="C4059">
        <f t="shared" si="65"/>
        <v>1.2272018279311648E-3</v>
      </c>
      <c r="D4059">
        <f>(C4059-meanrtn)/stdevrtns</f>
        <v>0.21142126430342512</v>
      </c>
    </row>
    <row r="4060" spans="1:4" x14ac:dyDescent="0.3">
      <c r="A4060" s="1">
        <v>43661</v>
      </c>
      <c r="B4060">
        <v>1.2571969999999999</v>
      </c>
      <c r="C4060">
        <f t="shared" si="65"/>
        <v>3.8719269723749956E-3</v>
      </c>
      <c r="D4060">
        <f>(C4060-meanrtn)/stdevrtns</f>
        <v>0.64975868618384536</v>
      </c>
    </row>
    <row r="4061" spans="1:4" x14ac:dyDescent="0.3">
      <c r="A4061" s="1">
        <v>43662</v>
      </c>
      <c r="B4061">
        <v>1.2517990000000001</v>
      </c>
      <c r="C4061">
        <f t="shared" si="65"/>
        <v>-4.2936787154278866E-3</v>
      </c>
      <c r="D4061">
        <f>(C4061-meanrtn)/stdevrtns</f>
        <v>-0.70361088902632773</v>
      </c>
    </row>
    <row r="4062" spans="1:4" x14ac:dyDescent="0.3">
      <c r="A4062" s="1">
        <v>43663</v>
      </c>
      <c r="B4062">
        <v>1.2412030000000001</v>
      </c>
      <c r="C4062">
        <f t="shared" si="65"/>
        <v>-8.4646177221742863E-3</v>
      </c>
      <c r="D4062">
        <f>(C4062-meanrtn)/stdevrtns</f>
        <v>-1.3949033868038889</v>
      </c>
    </row>
    <row r="4063" spans="1:4" x14ac:dyDescent="0.3">
      <c r="A4063" s="1">
        <v>43664</v>
      </c>
      <c r="B4063">
        <v>1.2434719999999999</v>
      </c>
      <c r="C4063">
        <f t="shared" si="65"/>
        <v>1.828065191592233E-3</v>
      </c>
      <c r="D4063">
        <f>(C4063-meanrtn)/stdevrtns</f>
        <v>0.31100851187919443</v>
      </c>
    </row>
    <row r="4064" spans="1:4" x14ac:dyDescent="0.3">
      <c r="A4064" s="1">
        <v>43665</v>
      </c>
      <c r="B4064">
        <v>1.254186</v>
      </c>
      <c r="C4064">
        <f t="shared" si="65"/>
        <v>8.616197228405717E-3</v>
      </c>
      <c r="D4064">
        <f>(C4064-meanrtn)/stdevrtns</f>
        <v>1.436075251858496</v>
      </c>
    </row>
    <row r="4065" spans="1:4" x14ac:dyDescent="0.3">
      <c r="A4065" s="1">
        <v>43668</v>
      </c>
      <c r="B4065">
        <v>1.2512829999999999</v>
      </c>
      <c r="C4065">
        <f t="shared" si="65"/>
        <v>-2.3146487044187225E-3</v>
      </c>
      <c r="D4065">
        <f>(C4065-meanrtn)/stdevrtns</f>
        <v>-0.375605948825949</v>
      </c>
    </row>
    <row r="4066" spans="1:4" x14ac:dyDescent="0.3">
      <c r="A4066" s="1">
        <v>43669</v>
      </c>
      <c r="B4066">
        <v>1.2474890000000001</v>
      </c>
      <c r="C4066">
        <f t="shared" si="65"/>
        <v>-3.032087865015231E-3</v>
      </c>
      <c r="D4066">
        <f>(C4066-meanrtn)/stdevrtns</f>
        <v>-0.49451449880234349</v>
      </c>
    </row>
    <row r="4067" spans="1:4" x14ac:dyDescent="0.3">
      <c r="A4067" s="1">
        <v>43670</v>
      </c>
      <c r="B4067">
        <v>1.243905</v>
      </c>
      <c r="C4067">
        <f t="shared" si="65"/>
        <v>-2.8729712245959935E-3</v>
      </c>
      <c r="D4067">
        <f>(C4067-meanrtn)/stdevrtns</f>
        <v>-0.46814246612205912</v>
      </c>
    </row>
    <row r="4068" spans="1:4" x14ac:dyDescent="0.3">
      <c r="A4068" s="1">
        <v>43671</v>
      </c>
      <c r="B4068">
        <v>1.2485949999999999</v>
      </c>
      <c r="C4068">
        <f t="shared" si="65"/>
        <v>3.7703843943065274E-3</v>
      </c>
      <c r="D4068">
        <f>(C4068-meanrtn)/stdevrtns</f>
        <v>0.63292899332327257</v>
      </c>
    </row>
    <row r="4069" spans="1:4" x14ac:dyDescent="0.3">
      <c r="A4069" s="1">
        <v>43672</v>
      </c>
      <c r="B4069">
        <v>1.2453449999999999</v>
      </c>
      <c r="C4069">
        <f t="shared" si="65"/>
        <v>-2.6029256884738247E-3</v>
      </c>
      <c r="D4069">
        <f>(C4069-meanrtn)/stdevrtns</f>
        <v>-0.42338504989573134</v>
      </c>
    </row>
    <row r="4070" spans="1:4" x14ac:dyDescent="0.3">
      <c r="A4070" s="1">
        <v>43675</v>
      </c>
      <c r="B4070">
        <v>1.23767</v>
      </c>
      <c r="C4070">
        <f t="shared" si="65"/>
        <v>-6.1629508288866758E-3</v>
      </c>
      <c r="D4070">
        <f>(C4070-meanrtn)/stdevrtns</f>
        <v>-1.0134245272139735</v>
      </c>
    </row>
    <row r="4071" spans="1:4" x14ac:dyDescent="0.3">
      <c r="A4071" s="1">
        <v>43676</v>
      </c>
      <c r="B4071">
        <v>1.2217469999999999</v>
      </c>
      <c r="C4071">
        <f t="shared" si="65"/>
        <v>-1.2865303352266865E-2</v>
      </c>
      <c r="D4071">
        <f>(C4071-meanrtn)/stdevrtns</f>
        <v>-2.1242741486970487</v>
      </c>
    </row>
    <row r="4072" spans="1:4" x14ac:dyDescent="0.3">
      <c r="A4072" s="1">
        <v>43677</v>
      </c>
      <c r="B4072">
        <v>1.2161599999999999</v>
      </c>
      <c r="C4072">
        <f t="shared" si="65"/>
        <v>-4.572959868123277E-3</v>
      </c>
      <c r="D4072">
        <f>(C4072-meanrtn)/stdevrtns</f>
        <v>-0.7498990187056912</v>
      </c>
    </row>
    <row r="4073" spans="1:4" x14ac:dyDescent="0.3">
      <c r="A4073" s="1">
        <v>43678</v>
      </c>
      <c r="B4073">
        <v>1.2153769999999999</v>
      </c>
      <c r="C4073">
        <f t="shared" si="65"/>
        <v>-6.4382975924218708E-4</v>
      </c>
      <c r="D4073">
        <f>(C4073-meanrtn)/stdevrtns</f>
        <v>-9.8683989507692069E-2</v>
      </c>
    </row>
    <row r="4074" spans="1:4" x14ac:dyDescent="0.3">
      <c r="A4074" s="1">
        <v>43679</v>
      </c>
      <c r="B4074">
        <v>1.2124299999999999</v>
      </c>
      <c r="C4074">
        <f t="shared" si="65"/>
        <v>-2.4247620285722314E-3</v>
      </c>
      <c r="D4074">
        <f>(C4074-meanrtn)/stdevrtns</f>
        <v>-0.39385615933479273</v>
      </c>
    </row>
    <row r="4075" spans="1:4" x14ac:dyDescent="0.3">
      <c r="A4075" s="1">
        <v>43682</v>
      </c>
      <c r="B4075">
        <v>1.215214</v>
      </c>
      <c r="C4075">
        <f t="shared" si="65"/>
        <v>2.2962150392188581E-3</v>
      </c>
      <c r="D4075">
        <f>(C4075-meanrtn)/stdevrtns</f>
        <v>0.38859978736333184</v>
      </c>
    </row>
    <row r="4076" spans="1:4" x14ac:dyDescent="0.3">
      <c r="A4076" s="1">
        <v>43683</v>
      </c>
      <c r="B4076">
        <v>1.2158199999999999</v>
      </c>
      <c r="C4076">
        <f t="shared" si="65"/>
        <v>4.9867759917173794E-4</v>
      </c>
      <c r="D4076">
        <f>(C4076-meanrtn)/stdevrtns</f>
        <v>9.067547229448511E-2</v>
      </c>
    </row>
    <row r="4077" spans="1:4" x14ac:dyDescent="0.3">
      <c r="A4077" s="1">
        <v>43684</v>
      </c>
      <c r="B4077">
        <v>1.216974</v>
      </c>
      <c r="C4077">
        <f t="shared" si="65"/>
        <v>9.4915365761387329E-4</v>
      </c>
      <c r="D4077">
        <f>(C4077-meanrtn)/stdevrtns</f>
        <v>0.16533748943876717</v>
      </c>
    </row>
    <row r="4078" spans="1:4" x14ac:dyDescent="0.3">
      <c r="A4078" s="1">
        <v>43685</v>
      </c>
      <c r="B4078">
        <v>1.214329</v>
      </c>
      <c r="C4078">
        <f t="shared" si="65"/>
        <v>-2.1734235899863175E-3</v>
      </c>
      <c r="D4078">
        <f>(C4078-meanrtn)/stdevrtns</f>
        <v>-0.3521992622388308</v>
      </c>
    </row>
    <row r="4079" spans="1:4" x14ac:dyDescent="0.3">
      <c r="A4079" s="1">
        <v>43686</v>
      </c>
      <c r="B4079">
        <v>1.2143729999999999</v>
      </c>
      <c r="C4079">
        <f t="shared" si="65"/>
        <v>3.6234002481973983E-5</v>
      </c>
      <c r="D4079">
        <f>(C4079-meanrtn)/stdevrtns</f>
        <v>1.4029952300108587E-2</v>
      </c>
    </row>
    <row r="4080" spans="1:4" x14ac:dyDescent="0.3">
      <c r="A4080" s="1">
        <v>43689</v>
      </c>
      <c r="B4080">
        <v>1.2021980000000001</v>
      </c>
      <c r="C4080">
        <f t="shared" si="65"/>
        <v>-1.002574991374135E-2</v>
      </c>
      <c r="D4080">
        <f>(C4080-meanrtn)/stdevrtns</f>
        <v>-1.6536458355243748</v>
      </c>
    </row>
    <row r="4081" spans="1:4" x14ac:dyDescent="0.3">
      <c r="A4081" s="1">
        <v>43690</v>
      </c>
      <c r="B4081">
        <v>1.207875</v>
      </c>
      <c r="C4081">
        <f t="shared" si="65"/>
        <v>4.7221838665510441E-3</v>
      </c>
      <c r="D4081">
        <f>(C4081-meanrtn)/stdevrtns</f>
        <v>0.79068048129445168</v>
      </c>
    </row>
    <row r="4082" spans="1:4" x14ac:dyDescent="0.3">
      <c r="A4082" s="1">
        <v>43691</v>
      </c>
      <c r="B4082">
        <v>1.206418</v>
      </c>
      <c r="C4082">
        <f t="shared" si="65"/>
        <v>-1.2062506467970953E-3</v>
      </c>
      <c r="D4082">
        <f>(C4082-meanrtn)/stdevrtns</f>
        <v>-0.19189977126120961</v>
      </c>
    </row>
    <row r="4083" spans="1:4" x14ac:dyDescent="0.3">
      <c r="A4083" s="1">
        <v>43692</v>
      </c>
      <c r="B4083">
        <v>1.20604</v>
      </c>
      <c r="C4083">
        <f t="shared" si="65"/>
        <v>-3.133242375362349E-4</v>
      </c>
      <c r="D4083">
        <f>(C4083-meanrtn)/stdevrtns</f>
        <v>-4.3905919806881556E-2</v>
      </c>
    </row>
    <row r="4084" spans="1:4" x14ac:dyDescent="0.3">
      <c r="A4084" s="1">
        <v>43693</v>
      </c>
      <c r="B4084">
        <v>1.2091609999999999</v>
      </c>
      <c r="C4084">
        <f t="shared" si="65"/>
        <v>2.5878080329010062E-3</v>
      </c>
      <c r="D4084">
        <f>(C4084-meanrtn)/stdevrtns</f>
        <v>0.43692848471683521</v>
      </c>
    </row>
    <row r="4085" spans="1:4" x14ac:dyDescent="0.3">
      <c r="A4085" s="1">
        <v>43696</v>
      </c>
      <c r="B4085">
        <v>1.2161010000000001</v>
      </c>
      <c r="C4085">
        <f t="shared" si="65"/>
        <v>5.739516904696867E-3</v>
      </c>
      <c r="D4085">
        <f>(C4085-meanrtn)/stdevrtns</f>
        <v>0.95929351923960748</v>
      </c>
    </row>
    <row r="4086" spans="1:4" x14ac:dyDescent="0.3">
      <c r="A4086" s="1">
        <v>43697</v>
      </c>
      <c r="B4086">
        <v>1.2131510000000001</v>
      </c>
      <c r="C4086">
        <f t="shared" si="65"/>
        <v>-2.4257853582885041E-3</v>
      </c>
      <c r="D4086">
        <f>(C4086-meanrtn)/stdevrtns</f>
        <v>-0.39402576626370445</v>
      </c>
    </row>
    <row r="4087" spans="1:4" x14ac:dyDescent="0.3">
      <c r="A4087" s="1">
        <v>43698</v>
      </c>
      <c r="B4087">
        <v>1.216234</v>
      </c>
      <c r="C4087">
        <f t="shared" si="65"/>
        <v>2.5413159614919713E-3</v>
      </c>
      <c r="D4087">
        <f>(C4087-meanrtn)/stdevrtns</f>
        <v>0.42922287691024313</v>
      </c>
    </row>
    <row r="4088" spans="1:4" x14ac:dyDescent="0.3">
      <c r="A4088" s="1">
        <v>43699</v>
      </c>
      <c r="B4088">
        <v>1.2132240000000001</v>
      </c>
      <c r="C4088">
        <f t="shared" si="65"/>
        <v>-2.4748527010426918E-3</v>
      </c>
      <c r="D4088">
        <f>(C4088-meanrtn)/stdevrtns</f>
        <v>-0.40215820020171827</v>
      </c>
    </row>
    <row r="4089" spans="1:4" x14ac:dyDescent="0.3">
      <c r="A4089" s="1">
        <v>43700</v>
      </c>
      <c r="B4089">
        <v>1.22519</v>
      </c>
      <c r="C4089">
        <f t="shared" si="65"/>
        <v>9.86297666383118E-3</v>
      </c>
      <c r="D4089">
        <f>(C4089-meanrtn)/stdevrtns</f>
        <v>1.6427167943741932</v>
      </c>
    </row>
    <row r="4090" spans="1:4" x14ac:dyDescent="0.3">
      <c r="A4090" s="1">
        <v>43703</v>
      </c>
      <c r="B4090">
        <v>1.2262420000000001</v>
      </c>
      <c r="C4090">
        <f t="shared" si="65"/>
        <v>8.586423330259412E-4</v>
      </c>
      <c r="D4090">
        <f>(C4090-meanrtn)/stdevrtns</f>
        <v>0.15033611935151775</v>
      </c>
    </row>
    <row r="4091" spans="1:4" x14ac:dyDescent="0.3">
      <c r="A4091" s="1">
        <v>43704</v>
      </c>
      <c r="B4091">
        <v>1.2221949999999999</v>
      </c>
      <c r="C4091">
        <f t="shared" si="65"/>
        <v>-3.300327341585212E-3</v>
      </c>
      <c r="D4091">
        <f>(C4091-meanrtn)/stdevrtns</f>
        <v>-0.53897257825655653</v>
      </c>
    </row>
    <row r="4092" spans="1:4" x14ac:dyDescent="0.3">
      <c r="A4092" s="1">
        <v>43705</v>
      </c>
      <c r="B4092">
        <v>1.2283200000000001</v>
      </c>
      <c r="C4092">
        <f t="shared" si="65"/>
        <v>5.0114752555853676E-3</v>
      </c>
      <c r="D4092">
        <f>(C4092-meanrtn)/stdevrtns</f>
        <v>0.83862771010494408</v>
      </c>
    </row>
    <row r="4093" spans="1:4" x14ac:dyDescent="0.3">
      <c r="A4093" s="1">
        <v>43706</v>
      </c>
      <c r="B4093">
        <v>1.2218519999999999</v>
      </c>
      <c r="C4093">
        <f t="shared" si="65"/>
        <v>-5.2657288003127361E-3</v>
      </c>
      <c r="D4093">
        <f>(C4093-meanrtn)/stdevrtns</f>
        <v>-0.86471871871600681</v>
      </c>
    </row>
    <row r="4094" spans="1:4" x14ac:dyDescent="0.3">
      <c r="A4094" s="1">
        <v>43707</v>
      </c>
      <c r="B4094">
        <v>1.21865</v>
      </c>
      <c r="C4094">
        <f t="shared" si="65"/>
        <v>-2.6206119890133397E-3</v>
      </c>
      <c r="D4094">
        <f>(C4094-meanrtn)/stdevrtns</f>
        <v>-0.42631638187076865</v>
      </c>
    </row>
    <row r="4095" spans="1:4" x14ac:dyDescent="0.3">
      <c r="A4095" s="1">
        <v>43710</v>
      </c>
      <c r="B4095">
        <v>1.215924</v>
      </c>
      <c r="C4095">
        <f t="shared" si="65"/>
        <v>-2.2369014893529778E-3</v>
      </c>
      <c r="D4095">
        <f>(C4095-meanrtn)/stdevrtns</f>
        <v>-0.36272010551557815</v>
      </c>
    </row>
    <row r="4096" spans="1:4" x14ac:dyDescent="0.3">
      <c r="A4096" s="1">
        <v>43711</v>
      </c>
      <c r="B4096">
        <v>1.206666</v>
      </c>
      <c r="C4096">
        <f t="shared" si="65"/>
        <v>-7.6139627147749269E-3</v>
      </c>
      <c r="D4096">
        <f>(C4096-meanrtn)/stdevrtns</f>
        <v>-1.2539156083058258</v>
      </c>
    </row>
    <row r="4097" spans="1:4" x14ac:dyDescent="0.3">
      <c r="A4097" s="1">
        <v>43712</v>
      </c>
      <c r="B4097">
        <v>1.209044</v>
      </c>
      <c r="C4097">
        <f t="shared" si="65"/>
        <v>1.9707193208393964E-3</v>
      </c>
      <c r="D4097">
        <f>(C4097-meanrtn)/stdevrtns</f>
        <v>0.33465204374720925</v>
      </c>
    </row>
    <row r="4098" spans="1:4" x14ac:dyDescent="0.3">
      <c r="A4098" s="1">
        <v>43713</v>
      </c>
      <c r="B4098">
        <v>1.22489</v>
      </c>
      <c r="C4098">
        <f t="shared" si="65"/>
        <v>1.3106222767740485E-2</v>
      </c>
      <c r="D4098">
        <f>(C4098-meanrtn)/stdevrtns</f>
        <v>2.1802532331598892</v>
      </c>
    </row>
    <row r="4099" spans="1:4" x14ac:dyDescent="0.3">
      <c r="A4099" s="1">
        <v>43714</v>
      </c>
      <c r="B4099">
        <v>1.2323919999999999</v>
      </c>
      <c r="C4099">
        <f t="shared" si="65"/>
        <v>6.124631599572123E-3</v>
      </c>
      <c r="D4099">
        <f>(C4099-meanrtn)/stdevrtns</f>
        <v>1.0231225272688649</v>
      </c>
    </row>
    <row r="4100" spans="1:4" x14ac:dyDescent="0.3">
      <c r="A4100" s="1">
        <v>43717</v>
      </c>
      <c r="B4100">
        <v>1.228305</v>
      </c>
      <c r="C4100">
        <f t="shared" ref="C4100:C4163" si="66">(B4100-B4099)/B4099</f>
        <v>-3.3163149387532148E-3</v>
      </c>
      <c r="D4100">
        <f>(C4100-meanrtn)/stdevrtns</f>
        <v>-0.5416223667003226</v>
      </c>
    </row>
    <row r="4101" spans="1:4" x14ac:dyDescent="0.3">
      <c r="A4101" s="1">
        <v>43718</v>
      </c>
      <c r="B4101">
        <v>1.234537</v>
      </c>
      <c r="C4101">
        <f t="shared" si="66"/>
        <v>5.0736584154587134E-3</v>
      </c>
      <c r="D4101">
        <f>(C4101-meanrtn)/stdevrtns</f>
        <v>0.84893396292691459</v>
      </c>
    </row>
    <row r="4102" spans="1:4" x14ac:dyDescent="0.3">
      <c r="A4102" s="1">
        <v>43719</v>
      </c>
      <c r="B4102">
        <v>1.2354830000000001</v>
      </c>
      <c r="C4102">
        <f t="shared" si="66"/>
        <v>7.6627917996796645E-4</v>
      </c>
      <c r="D4102">
        <f>(C4102-meanrtn)/stdevrtns</f>
        <v>0.13502782674000205</v>
      </c>
    </row>
    <row r="4103" spans="1:4" x14ac:dyDescent="0.3">
      <c r="A4103" s="1">
        <v>43720</v>
      </c>
      <c r="B4103">
        <v>1.233471</v>
      </c>
      <c r="C4103">
        <f t="shared" si="66"/>
        <v>-1.6285128973851722E-3</v>
      </c>
      <c r="D4103">
        <f>(C4103-meanrtn)/stdevrtns</f>
        <v>-0.26188562467552556</v>
      </c>
    </row>
    <row r="4104" spans="1:4" x14ac:dyDescent="0.3">
      <c r="A4104" s="1">
        <v>43721</v>
      </c>
      <c r="B4104">
        <v>1.232939</v>
      </c>
      <c r="C4104">
        <f t="shared" si="66"/>
        <v>-4.313032085877795E-4</v>
      </c>
      <c r="D4104">
        <f>(C4104-meanrtn)/stdevrtns</f>
        <v>-6.3459784644399123E-2</v>
      </c>
    </row>
    <row r="4105" spans="1:4" x14ac:dyDescent="0.3">
      <c r="A4105" s="1">
        <v>43724</v>
      </c>
      <c r="B4105">
        <v>1.2497339999999999</v>
      </c>
      <c r="C4105">
        <f t="shared" si="66"/>
        <v>1.3621922901295111E-2</v>
      </c>
      <c r="D4105">
        <f>(C4105-meanrtn)/stdevrtns</f>
        <v>2.2657255051956513</v>
      </c>
    </row>
    <row r="4106" spans="1:4" x14ac:dyDescent="0.3">
      <c r="A4106" s="1">
        <v>43725</v>
      </c>
      <c r="B4106">
        <v>1.2428539999999999</v>
      </c>
      <c r="C4106">
        <f t="shared" si="66"/>
        <v>-5.5051715004953037E-3</v>
      </c>
      <c r="D4106">
        <f>(C4106-meanrtn)/stdevrtns</f>
        <v>-0.90440401308642981</v>
      </c>
    </row>
    <row r="4107" spans="1:4" x14ac:dyDescent="0.3">
      <c r="A4107" s="1">
        <v>43726</v>
      </c>
      <c r="B4107">
        <v>1.2502660000000001</v>
      </c>
      <c r="C4107">
        <f t="shared" si="66"/>
        <v>5.9636932415232978E-3</v>
      </c>
      <c r="D4107">
        <f>(C4107-meanrtn)/stdevrtns</f>
        <v>0.99644856264271275</v>
      </c>
    </row>
    <row r="4108" spans="1:4" x14ac:dyDescent="0.3">
      <c r="A4108" s="1">
        <v>43727</v>
      </c>
      <c r="B4108">
        <v>1.2470540000000001</v>
      </c>
      <c r="C4108">
        <f t="shared" si="66"/>
        <v>-2.5690533054565927E-3</v>
      </c>
      <c r="D4108">
        <f>(C4108-meanrtn)/stdevrtns</f>
        <v>-0.41777103247092939</v>
      </c>
    </row>
    <row r="4109" spans="1:4" x14ac:dyDescent="0.3">
      <c r="A4109" s="1">
        <v>43728</v>
      </c>
      <c r="B4109">
        <v>1.252505</v>
      </c>
      <c r="C4109">
        <f t="shared" si="66"/>
        <v>4.3711018127521924E-3</v>
      </c>
      <c r="D4109">
        <f>(C4109-meanrtn)/stdevrtns</f>
        <v>0.73249205190171252</v>
      </c>
    </row>
    <row r="4110" spans="1:4" x14ac:dyDescent="0.3">
      <c r="A4110" s="1">
        <v>43731</v>
      </c>
      <c r="B4110">
        <v>1.2471939999999999</v>
      </c>
      <c r="C4110">
        <f t="shared" si="66"/>
        <v>-4.2403024339224722E-3</v>
      </c>
      <c r="D4110">
        <f>(C4110-meanrtn)/stdevrtns</f>
        <v>-0.69476429047759003</v>
      </c>
    </row>
    <row r="4111" spans="1:4" x14ac:dyDescent="0.3">
      <c r="A4111" s="1">
        <v>43732</v>
      </c>
      <c r="B4111">
        <v>1.2434559999999999</v>
      </c>
      <c r="C4111">
        <f t="shared" si="66"/>
        <v>-2.9971279528285249E-3</v>
      </c>
      <c r="D4111">
        <f>(C4111-meanrtn)/stdevrtns</f>
        <v>-0.48872023401483594</v>
      </c>
    </row>
    <row r="4112" spans="1:4" x14ac:dyDescent="0.3">
      <c r="A4112" s="1">
        <v>43733</v>
      </c>
      <c r="B4112">
        <v>1.2485949999999999</v>
      </c>
      <c r="C4112">
        <f t="shared" si="66"/>
        <v>4.1328362242009408E-3</v>
      </c>
      <c r="D4112">
        <f>(C4112-meanrtn)/stdevrtns</f>
        <v>0.69300185231413314</v>
      </c>
    </row>
    <row r="4113" spans="1:4" x14ac:dyDescent="0.3">
      <c r="A4113" s="1">
        <v>43734</v>
      </c>
      <c r="B4113">
        <v>1.2359560000000001</v>
      </c>
      <c r="C4113">
        <f t="shared" si="66"/>
        <v>-1.0122577777421699E-2</v>
      </c>
      <c r="D4113">
        <f>(C4113-meanrtn)/stdevrtns</f>
        <v>-1.6696941104163798</v>
      </c>
    </row>
    <row r="4114" spans="1:4" x14ac:dyDescent="0.3">
      <c r="A4114" s="1">
        <v>43735</v>
      </c>
      <c r="B4114">
        <v>1.233198</v>
      </c>
      <c r="C4114">
        <f t="shared" si="66"/>
        <v>-2.2314710232403403E-3</v>
      </c>
      <c r="D4114">
        <f>(C4114-meanrtn)/stdevrtns</f>
        <v>-0.36182005867312145</v>
      </c>
    </row>
    <row r="4115" spans="1:4" x14ac:dyDescent="0.3">
      <c r="A4115" s="1">
        <v>43738</v>
      </c>
      <c r="B4115">
        <v>1.229317</v>
      </c>
      <c r="C4115">
        <f t="shared" si="66"/>
        <v>-3.1471020874182598E-3</v>
      </c>
      <c r="D4115">
        <f>(C4115-meanrtn)/stdevrtns</f>
        <v>-0.5135769854405634</v>
      </c>
    </row>
    <row r="4116" spans="1:4" x14ac:dyDescent="0.3">
      <c r="A4116" s="1">
        <v>43739</v>
      </c>
      <c r="B4116">
        <v>1.228999</v>
      </c>
      <c r="C4116">
        <f t="shared" si="66"/>
        <v>-2.586802264997885E-4</v>
      </c>
      <c r="D4116">
        <f>(C4116-meanrtn)/stdevrtns</f>
        <v>-3.4849207441423925E-2</v>
      </c>
    </row>
    <row r="4117" spans="1:4" x14ac:dyDescent="0.3">
      <c r="A4117" s="1">
        <v>43740</v>
      </c>
      <c r="B4117">
        <v>1.2292259999999999</v>
      </c>
      <c r="C4117">
        <f t="shared" si="66"/>
        <v>1.8470316086504319E-4</v>
      </c>
      <c r="D4117">
        <f>(C4117-meanrtn)/stdevrtns</f>
        <v>3.863726858441615E-2</v>
      </c>
    </row>
    <row r="4118" spans="1:4" x14ac:dyDescent="0.3">
      <c r="A4118" s="1">
        <v>43741</v>
      </c>
      <c r="B4118">
        <v>1.2304360000000001</v>
      </c>
      <c r="C4118">
        <f t="shared" si="66"/>
        <v>9.8435926347161169E-4</v>
      </c>
      <c r="D4118">
        <f>(C4118-meanrtn)/stdevrtns</f>
        <v>0.17117247555815251</v>
      </c>
    </row>
    <row r="4119" spans="1:4" x14ac:dyDescent="0.3">
      <c r="A4119" s="1">
        <v>43742</v>
      </c>
      <c r="B4119">
        <v>1.2342329999999999</v>
      </c>
      <c r="C4119">
        <f t="shared" si="66"/>
        <v>3.0858980068852243E-3</v>
      </c>
      <c r="D4119">
        <f>(C4119-meanrtn)/stdevrtns</f>
        <v>0.51948204440125434</v>
      </c>
    </row>
    <row r="4120" spans="1:4" x14ac:dyDescent="0.3">
      <c r="A4120" s="1">
        <v>43745</v>
      </c>
      <c r="B4120">
        <v>1.233441</v>
      </c>
      <c r="C4120">
        <f t="shared" si="66"/>
        <v>-6.416940723509288E-4</v>
      </c>
      <c r="D4120">
        <f>(C4120-meanrtn)/stdevrtns</f>
        <v>-9.8330020216091135E-2</v>
      </c>
    </row>
    <row r="4121" spans="1:4" x14ac:dyDescent="0.3">
      <c r="A4121" s="1">
        <v>43746</v>
      </c>
      <c r="B4121">
        <v>1.2288030000000001</v>
      </c>
      <c r="C4121">
        <f t="shared" si="66"/>
        <v>-3.7602122841708034E-3</v>
      </c>
      <c r="D4121">
        <f>(C4121-meanrtn)/stdevrtns</f>
        <v>-0.61519402626528152</v>
      </c>
    </row>
    <row r="4122" spans="1:4" x14ac:dyDescent="0.3">
      <c r="A4122" s="1">
        <v>43747</v>
      </c>
      <c r="B4122">
        <v>1.221956</v>
      </c>
      <c r="C4122">
        <f t="shared" si="66"/>
        <v>-5.5720892608498249E-3</v>
      </c>
      <c r="D4122">
        <f>(C4122-meanrtn)/stdevrtns</f>
        <v>-0.91549497980311711</v>
      </c>
    </row>
    <row r="4123" spans="1:4" x14ac:dyDescent="0.3">
      <c r="A4123" s="1">
        <v>43748</v>
      </c>
      <c r="B4123">
        <v>1.2213000000000001</v>
      </c>
      <c r="C4123">
        <f t="shared" si="66"/>
        <v>-5.3684420715638685E-4</v>
      </c>
      <c r="D4123">
        <f>(C4123-meanrtn)/stdevrtns</f>
        <v>-8.0952176741339379E-2</v>
      </c>
    </row>
    <row r="4124" spans="1:4" x14ac:dyDescent="0.3">
      <c r="A4124" s="1">
        <v>43749</v>
      </c>
      <c r="B4124">
        <v>1.243317</v>
      </c>
      <c r="C4124">
        <f t="shared" si="66"/>
        <v>1.8027511667894826E-2</v>
      </c>
      <c r="D4124">
        <f>(C4124-meanrtn)/stdevrtns</f>
        <v>2.9959089141875768</v>
      </c>
    </row>
    <row r="4125" spans="1:4" x14ac:dyDescent="0.3">
      <c r="A4125" s="1">
        <v>43752</v>
      </c>
      <c r="B4125">
        <v>1.2619</v>
      </c>
      <c r="C4125">
        <f t="shared" si="66"/>
        <v>1.4946308946149707E-2</v>
      </c>
      <c r="D4125">
        <f>(C4125-meanrtn)/stdevrtns</f>
        <v>2.4852295870075447</v>
      </c>
    </row>
    <row r="4126" spans="1:4" x14ac:dyDescent="0.3">
      <c r="A4126" s="1">
        <v>43753</v>
      </c>
      <c r="B4126">
        <v>1.261177</v>
      </c>
      <c r="C4126">
        <f t="shared" si="66"/>
        <v>-5.7294555828514874E-4</v>
      </c>
      <c r="D4126">
        <f>(C4126-meanrtn)/stdevrtns</f>
        <v>-8.6935623911048615E-2</v>
      </c>
    </row>
    <row r="4127" spans="1:4" x14ac:dyDescent="0.3">
      <c r="A4127" s="1">
        <v>43754</v>
      </c>
      <c r="B4127">
        <v>1.2760640000000001</v>
      </c>
      <c r="C4127">
        <f t="shared" si="66"/>
        <v>1.1804052880761459E-2</v>
      </c>
      <c r="D4127">
        <f>(C4127-meanrtn)/stdevrtns</f>
        <v>1.9644312630365106</v>
      </c>
    </row>
    <row r="4128" spans="1:4" x14ac:dyDescent="0.3">
      <c r="A4128" s="1">
        <v>43755</v>
      </c>
      <c r="B4128">
        <v>1.2823800000000001</v>
      </c>
      <c r="C4128">
        <f t="shared" si="66"/>
        <v>4.9495950046392562E-3</v>
      </c>
      <c r="D4128">
        <f>(C4128-meanrtn)/stdevrtns</f>
        <v>0.82837166148604846</v>
      </c>
    </row>
    <row r="4129" spans="1:4" x14ac:dyDescent="0.3">
      <c r="A4129" s="1">
        <v>43756</v>
      </c>
      <c r="B4129">
        <v>1.2868599999999999</v>
      </c>
      <c r="C4129">
        <f t="shared" si="66"/>
        <v>3.4935042655061814E-3</v>
      </c>
      <c r="D4129">
        <f>(C4129-meanrtn)/stdevrtns</f>
        <v>0.58703880995838265</v>
      </c>
    </row>
    <row r="4130" spans="1:4" x14ac:dyDescent="0.3">
      <c r="A4130" s="1">
        <v>43759</v>
      </c>
      <c r="B4130">
        <v>1.2900229999999999</v>
      </c>
      <c r="C4130">
        <f t="shared" si="66"/>
        <v>2.4579208305487987E-3</v>
      </c>
      <c r="D4130">
        <f>(C4130-meanrtn)/stdevrtns</f>
        <v>0.4154009465777822</v>
      </c>
    </row>
    <row r="4131" spans="1:4" x14ac:dyDescent="0.3">
      <c r="A4131" s="1">
        <v>43760</v>
      </c>
      <c r="B4131">
        <v>1.2971680000000001</v>
      </c>
      <c r="C4131">
        <f t="shared" si="66"/>
        <v>5.5386609386035594E-3</v>
      </c>
      <c r="D4131">
        <f>(C4131-meanrtn)/stdevrtns</f>
        <v>0.92600360004645199</v>
      </c>
    </row>
    <row r="4132" spans="1:4" x14ac:dyDescent="0.3">
      <c r="A4132" s="1">
        <v>43761</v>
      </c>
      <c r="B4132">
        <v>1.2884770000000001</v>
      </c>
      <c r="C4132">
        <f t="shared" si="66"/>
        <v>-6.6999802646997182E-3</v>
      </c>
      <c r="D4132">
        <f>(C4132-meanrtn)/stdevrtns</f>
        <v>-1.1024319232614326</v>
      </c>
    </row>
    <row r="4133" spans="1:4" x14ac:dyDescent="0.3">
      <c r="A4133" s="1">
        <v>43762</v>
      </c>
      <c r="B4133">
        <v>1.292324</v>
      </c>
      <c r="C4133">
        <f t="shared" si="66"/>
        <v>2.9856955149373515E-3</v>
      </c>
      <c r="D4133">
        <f>(C4133-meanrtn)/stdevrtns</f>
        <v>0.5028744577570623</v>
      </c>
    </row>
    <row r="4134" spans="1:4" x14ac:dyDescent="0.3">
      <c r="A4134" s="1">
        <v>43763</v>
      </c>
      <c r="B4134">
        <v>1.284027</v>
      </c>
      <c r="C4134">
        <f t="shared" si="66"/>
        <v>-6.4202166020285922E-3</v>
      </c>
      <c r="D4134">
        <f>(C4134-meanrtn)/stdevrtns</f>
        <v>-1.0560638222552792</v>
      </c>
    </row>
    <row r="4135" spans="1:4" x14ac:dyDescent="0.3">
      <c r="A4135" s="1">
        <v>43766</v>
      </c>
      <c r="B4135">
        <v>1.2832030000000001</v>
      </c>
      <c r="C4135">
        <f t="shared" si="66"/>
        <v>-6.4173105394196221E-4</v>
      </c>
      <c r="D4135">
        <f>(C4135-meanrtn)/stdevrtns</f>
        <v>-9.8336149554447777E-2</v>
      </c>
    </row>
    <row r="4136" spans="1:4" x14ac:dyDescent="0.3">
      <c r="A4136" s="1">
        <v>43767</v>
      </c>
      <c r="B4136">
        <v>1.285744</v>
      </c>
      <c r="C4136">
        <f t="shared" si="66"/>
        <v>1.9802011061382371E-3</v>
      </c>
      <c r="D4136">
        <f>(C4136-meanrtn)/stdevrtns</f>
        <v>0.33622355726779157</v>
      </c>
    </row>
    <row r="4137" spans="1:4" x14ac:dyDescent="0.3">
      <c r="A4137" s="1">
        <v>43768</v>
      </c>
      <c r="B4137">
        <v>1.28667</v>
      </c>
      <c r="C4137">
        <f t="shared" si="66"/>
        <v>7.2020557747108475E-4</v>
      </c>
      <c r="D4137">
        <f>(C4137-meanrtn)/stdevrtns</f>
        <v>0.12739157607794185</v>
      </c>
    </row>
    <row r="4138" spans="1:4" x14ac:dyDescent="0.3">
      <c r="A4138" s="1">
        <v>43769</v>
      </c>
      <c r="B4138">
        <v>1.290173</v>
      </c>
      <c r="C4138">
        <f t="shared" si="66"/>
        <v>2.7225318069124438E-3</v>
      </c>
      <c r="D4138">
        <f>(C4138-meanrtn)/stdevrtns</f>
        <v>0.45925763747973708</v>
      </c>
    </row>
    <row r="4139" spans="1:4" x14ac:dyDescent="0.3">
      <c r="A4139" s="1">
        <v>43770</v>
      </c>
      <c r="B4139">
        <v>1.2939620000000001</v>
      </c>
      <c r="C4139">
        <f t="shared" si="66"/>
        <v>2.9368154503311124E-3</v>
      </c>
      <c r="D4139">
        <f>(C4139-meanrtn)/stdevrtns</f>
        <v>0.49477306334718957</v>
      </c>
    </row>
    <row r="4140" spans="1:4" x14ac:dyDescent="0.3">
      <c r="A4140" s="1">
        <v>43773</v>
      </c>
      <c r="B4140">
        <v>1.2937609999999999</v>
      </c>
      <c r="C4140">
        <f t="shared" si="66"/>
        <v>-1.5533686460662504E-4</v>
      </c>
      <c r="D4140">
        <f>(C4140-meanrtn)/stdevrtns</f>
        <v>-1.7721052209160395E-2</v>
      </c>
    </row>
    <row r="4141" spans="1:4" x14ac:dyDescent="0.3">
      <c r="A4141" s="1">
        <v>43774</v>
      </c>
      <c r="B4141">
        <v>1.289158</v>
      </c>
      <c r="C4141">
        <f t="shared" si="66"/>
        <v>-3.5578441458661322E-3</v>
      </c>
      <c r="D4141">
        <f>(C4141-meanrtn)/stdevrtns</f>
        <v>-0.58165347926304689</v>
      </c>
    </row>
    <row r="4142" spans="1:4" x14ac:dyDescent="0.3">
      <c r="A4142" s="1">
        <v>43775</v>
      </c>
      <c r="B4142">
        <v>1.288062</v>
      </c>
      <c r="C4142">
        <f t="shared" si="66"/>
        <v>-8.5016731851331325E-4</v>
      </c>
      <c r="D4142">
        <f>(C4142-meanrtn)/stdevrtns</f>
        <v>-0.13288242935616409</v>
      </c>
    </row>
    <row r="4143" spans="1:4" x14ac:dyDescent="0.3">
      <c r="A4143" s="1">
        <v>43776</v>
      </c>
      <c r="B4143">
        <v>1.2856780000000001</v>
      </c>
      <c r="C4143">
        <f t="shared" si="66"/>
        <v>-1.8508425836644055E-3</v>
      </c>
      <c r="D4143">
        <f>(C4143-meanrtn)/stdevrtns</f>
        <v>-0.29873460374462124</v>
      </c>
    </row>
    <row r="4144" spans="1:4" x14ac:dyDescent="0.3">
      <c r="A4144" s="1">
        <v>43777</v>
      </c>
      <c r="B4144">
        <v>1.2779990000000001</v>
      </c>
      <c r="C4144">
        <f t="shared" si="66"/>
        <v>-5.9727241191029094E-3</v>
      </c>
      <c r="D4144">
        <f>(C4144-meanrtn)/stdevrtns</f>
        <v>-0.98189630368020198</v>
      </c>
    </row>
    <row r="4145" spans="1:4" x14ac:dyDescent="0.3">
      <c r="A4145" s="1">
        <v>43780</v>
      </c>
      <c r="B4145">
        <v>1.2796400000000001</v>
      </c>
      <c r="C4145">
        <f t="shared" si="66"/>
        <v>1.2840385634104593E-3</v>
      </c>
      <c r="D4145">
        <f>(C4145-meanrtn)/stdevrtns</f>
        <v>0.22084139937887265</v>
      </c>
    </row>
    <row r="4146" spans="1:4" x14ac:dyDescent="0.3">
      <c r="A4146" s="1">
        <v>43781</v>
      </c>
      <c r="B4146">
        <v>1.2858430000000001</v>
      </c>
      <c r="C4146">
        <f t="shared" si="66"/>
        <v>4.8474570973085851E-3</v>
      </c>
      <c r="D4146">
        <f>(C4146-meanrtn)/stdevrtns</f>
        <v>0.81144329860129105</v>
      </c>
    </row>
    <row r="4147" spans="1:4" x14ac:dyDescent="0.3">
      <c r="A4147" s="1">
        <v>43782</v>
      </c>
      <c r="B4147">
        <v>1.285215</v>
      </c>
      <c r="C4147">
        <f t="shared" si="66"/>
        <v>-4.8839555062326657E-4</v>
      </c>
      <c r="D4147">
        <f>(C4147-meanrtn)/stdevrtns</f>
        <v>-7.2922284015846398E-2</v>
      </c>
    </row>
    <row r="4148" spans="1:4" x14ac:dyDescent="0.3">
      <c r="A4148" s="1">
        <v>43783</v>
      </c>
      <c r="B4148">
        <v>1.28538</v>
      </c>
      <c r="C4148">
        <f t="shared" si="66"/>
        <v>1.2838318880496315E-4</v>
      </c>
      <c r="D4148">
        <f>(C4148-meanrtn)/stdevrtns</f>
        <v>2.9302782010241599E-2</v>
      </c>
    </row>
    <row r="4149" spans="1:4" x14ac:dyDescent="0.3">
      <c r="A4149" s="1">
        <v>43784</v>
      </c>
      <c r="B4149">
        <v>1.288178</v>
      </c>
      <c r="C4149">
        <f t="shared" si="66"/>
        <v>2.1767881871509426E-3</v>
      </c>
      <c r="D4149">
        <f>(C4149-meanrtn)/stdevrtns</f>
        <v>0.36880595035583696</v>
      </c>
    </row>
    <row r="4150" spans="1:4" x14ac:dyDescent="0.3">
      <c r="A4150" s="1">
        <v>43787</v>
      </c>
      <c r="B4150">
        <v>1.2921229999999999</v>
      </c>
      <c r="C4150">
        <f t="shared" si="66"/>
        <v>3.0624649699031231E-3</v>
      </c>
      <c r="D4150">
        <f>(C4150-meanrtn)/stdevrtns</f>
        <v>0.51559824685838229</v>
      </c>
    </row>
    <row r="4151" spans="1:4" x14ac:dyDescent="0.3">
      <c r="A4151" s="1">
        <v>43788</v>
      </c>
      <c r="B4151">
        <v>1.295085</v>
      </c>
      <c r="C4151">
        <f t="shared" si="66"/>
        <v>2.2923514247483647E-3</v>
      </c>
      <c r="D4151">
        <f>(C4151-meanrtn)/stdevrtns</f>
        <v>0.38795943091279711</v>
      </c>
    </row>
    <row r="4152" spans="1:4" x14ac:dyDescent="0.3">
      <c r="A4152" s="1">
        <v>43789</v>
      </c>
      <c r="B4152">
        <v>1.29295</v>
      </c>
      <c r="C4152">
        <f t="shared" si="66"/>
        <v>-1.6485404432913654E-3</v>
      </c>
      <c r="D4152">
        <f>(C4152-meanrtn)/stdevrtns</f>
        <v>-0.26520499525645547</v>
      </c>
    </row>
    <row r="4153" spans="1:4" x14ac:dyDescent="0.3">
      <c r="A4153" s="1">
        <v>43790</v>
      </c>
      <c r="B4153">
        <v>1.292708</v>
      </c>
      <c r="C4153">
        <f t="shared" si="66"/>
        <v>-1.871688773735067E-4</v>
      </c>
      <c r="D4153">
        <f>(C4153-meanrtn)/stdevrtns</f>
        <v>-2.2996898146804622E-2</v>
      </c>
    </row>
    <row r="4154" spans="1:4" x14ac:dyDescent="0.3">
      <c r="A4154" s="1">
        <v>43791</v>
      </c>
      <c r="B4154">
        <v>1.29199</v>
      </c>
      <c r="C4154">
        <f t="shared" si="66"/>
        <v>-5.5542318915021522E-4</v>
      </c>
      <c r="D4154">
        <f>(C4154-meanrtn)/stdevrtns</f>
        <v>-8.4031461968935336E-2</v>
      </c>
    </row>
    <row r="4155" spans="1:4" x14ac:dyDescent="0.3">
      <c r="A4155" s="1">
        <v>43794</v>
      </c>
      <c r="B4155">
        <v>1.285347</v>
      </c>
      <c r="C4155">
        <f t="shared" si="66"/>
        <v>-5.1416806631629924E-3</v>
      </c>
      <c r="D4155">
        <f>(C4155-meanrtn)/stdevrtns</f>
        <v>-0.84415894873706543</v>
      </c>
    </row>
    <row r="4156" spans="1:4" x14ac:dyDescent="0.3">
      <c r="A4156" s="1">
        <v>43795</v>
      </c>
      <c r="B4156">
        <v>1.2897240000000001</v>
      </c>
      <c r="C4156">
        <f t="shared" si="66"/>
        <v>3.4053061157804662E-3</v>
      </c>
      <c r="D4156">
        <f>(C4156-meanrtn)/stdevrtns</f>
        <v>0.57242082606443689</v>
      </c>
    </row>
    <row r="4157" spans="1:4" x14ac:dyDescent="0.3">
      <c r="A4157" s="1">
        <v>43796</v>
      </c>
      <c r="B4157">
        <v>1.2860910000000001</v>
      </c>
      <c r="C4157">
        <f t="shared" si="66"/>
        <v>-2.8168817514444928E-3</v>
      </c>
      <c r="D4157">
        <f>(C4157-meanrtn)/stdevrtns</f>
        <v>-0.45884618249594711</v>
      </c>
    </row>
    <row r="4158" spans="1:4" x14ac:dyDescent="0.3">
      <c r="A4158" s="1">
        <v>43797</v>
      </c>
      <c r="B4158">
        <v>1.2929919999999999</v>
      </c>
      <c r="C4158">
        <f t="shared" si="66"/>
        <v>5.3658722438768508E-3</v>
      </c>
      <c r="D4158">
        <f>(C4158-meanrtn)/stdevrtns</f>
        <v>0.89736555758835146</v>
      </c>
    </row>
    <row r="4159" spans="1:4" x14ac:dyDescent="0.3">
      <c r="A4159" s="1">
        <v>43798</v>
      </c>
      <c r="B4159">
        <v>1.2912889999999999</v>
      </c>
      <c r="C4159">
        <f t="shared" si="66"/>
        <v>-1.3171001831411256E-3</v>
      </c>
      <c r="D4159">
        <f>(C4159-meanrtn)/stdevrtns</f>
        <v>-0.21027200176681105</v>
      </c>
    </row>
    <row r="4160" spans="1:4" x14ac:dyDescent="0.3">
      <c r="A4160" s="1">
        <v>43801</v>
      </c>
      <c r="B4160">
        <v>1.2912889999999999</v>
      </c>
      <c r="C4160">
        <f t="shared" si="66"/>
        <v>0</v>
      </c>
      <c r="D4160">
        <f>(C4160-meanrtn)/stdevrtns</f>
        <v>8.0245194611897972E-3</v>
      </c>
    </row>
    <row r="4161" spans="1:4" x14ac:dyDescent="0.3">
      <c r="A4161" s="1">
        <v>43802</v>
      </c>
      <c r="B4161">
        <v>1.294063</v>
      </c>
      <c r="C4161">
        <f t="shared" si="66"/>
        <v>2.148241021181203E-3</v>
      </c>
      <c r="D4161">
        <f>(C4161-meanrtn)/stdevrtns</f>
        <v>0.36407453576651505</v>
      </c>
    </row>
    <row r="4162" spans="1:4" x14ac:dyDescent="0.3">
      <c r="A4162" s="1">
        <v>43803</v>
      </c>
      <c r="B4162">
        <v>1.299782</v>
      </c>
      <c r="C4162">
        <f t="shared" si="66"/>
        <v>4.4194138925230299E-3</v>
      </c>
      <c r="D4162">
        <f>(C4162-meanrtn)/stdevrtns</f>
        <v>0.74049930835969258</v>
      </c>
    </row>
    <row r="4163" spans="1:4" x14ac:dyDescent="0.3">
      <c r="A4163" s="1">
        <v>43804</v>
      </c>
      <c r="B4163">
        <v>1.311131</v>
      </c>
      <c r="C4163">
        <f t="shared" si="66"/>
        <v>8.7314641993811674E-3</v>
      </c>
      <c r="D4163">
        <f>(C4163-meanrtn)/stdevrtns</f>
        <v>1.4551796291097545</v>
      </c>
    </row>
    <row r="4164" spans="1:4" x14ac:dyDescent="0.3">
      <c r="A4164" s="1">
        <v>43805</v>
      </c>
      <c r="B4164">
        <v>1.315841</v>
      </c>
      <c r="C4164">
        <f t="shared" ref="C4164:C4227" si="67">(B4164-B4163)/B4163</f>
        <v>3.592318387712587E-3</v>
      </c>
      <c r="D4164">
        <f>(C4164-meanrtn)/stdevrtns</f>
        <v>0.60341628784652113</v>
      </c>
    </row>
    <row r="4165" spans="1:4" x14ac:dyDescent="0.3">
      <c r="A4165" s="1">
        <v>43808</v>
      </c>
      <c r="B4165">
        <v>1.313957</v>
      </c>
      <c r="C4165">
        <f t="shared" si="67"/>
        <v>-1.4317839313412462E-3</v>
      </c>
      <c r="D4165">
        <f>(C4165-meanrtn)/stdevrtns</f>
        <v>-0.22927971552611576</v>
      </c>
    </row>
    <row r="4166" spans="1:4" x14ac:dyDescent="0.3">
      <c r="A4166" s="1">
        <v>43809</v>
      </c>
      <c r="B4166">
        <v>1.3145789999999999</v>
      </c>
      <c r="C4166">
        <f t="shared" si="67"/>
        <v>4.7337926583586857E-4</v>
      </c>
      <c r="D4166">
        <f>(C4166-meanrtn)/stdevrtns</f>
        <v>8.6482520056853446E-2</v>
      </c>
    </row>
    <row r="4167" spans="1:4" x14ac:dyDescent="0.3">
      <c r="A4167" s="1">
        <v>43810</v>
      </c>
      <c r="B4167">
        <v>1.313129</v>
      </c>
      <c r="C4167">
        <f t="shared" si="67"/>
        <v>-1.1030147294304499E-3</v>
      </c>
      <c r="D4167">
        <f>(C4167-meanrtn)/stdevrtns</f>
        <v>-0.17478942391225219</v>
      </c>
    </row>
    <row r="4168" spans="1:4" x14ac:dyDescent="0.3">
      <c r="A4168" s="1">
        <v>43811</v>
      </c>
      <c r="B4168">
        <v>1.3200099999999999</v>
      </c>
      <c r="C4168">
        <f t="shared" si="67"/>
        <v>5.2401553845813431E-3</v>
      </c>
      <c r="D4168">
        <f>(C4168-meanrtn)/stdevrtns</f>
        <v>0.87652921317416288</v>
      </c>
    </row>
    <row r="4169" spans="1:4" x14ac:dyDescent="0.3">
      <c r="A4169" s="1">
        <v>43812</v>
      </c>
      <c r="B4169">
        <v>1.3475269999999999</v>
      </c>
      <c r="C4169">
        <f t="shared" si="67"/>
        <v>2.0846054196559129E-2</v>
      </c>
      <c r="D4169">
        <f>(C4169-meanrtn)/stdevrtns</f>
        <v>3.4630548737859015</v>
      </c>
    </row>
    <row r="4170" spans="1:4" x14ac:dyDescent="0.3">
      <c r="A4170" s="1">
        <v>43815</v>
      </c>
      <c r="B4170">
        <v>1.3353269999999999</v>
      </c>
      <c r="C4170">
        <f t="shared" si="67"/>
        <v>-9.0536219311375503E-3</v>
      </c>
      <c r="D4170">
        <f>(C4170-meanrtn)/stdevrtns</f>
        <v>-1.492525095046833</v>
      </c>
    </row>
    <row r="4171" spans="1:4" x14ac:dyDescent="0.3">
      <c r="A4171" s="1">
        <v>43816</v>
      </c>
      <c r="B4171">
        <v>1.3272459999999999</v>
      </c>
      <c r="C4171">
        <f t="shared" si="67"/>
        <v>-6.0517011937899897E-3</v>
      </c>
      <c r="D4171">
        <f>(C4171-meanrtn)/stdevrtns</f>
        <v>-0.9949859842387736</v>
      </c>
    </row>
    <row r="4172" spans="1:4" x14ac:dyDescent="0.3">
      <c r="A4172" s="1">
        <v>43817</v>
      </c>
      <c r="B4172">
        <v>1.3122149999999999</v>
      </c>
      <c r="C4172">
        <f t="shared" si="67"/>
        <v>-1.1324954077842403E-2</v>
      </c>
      <c r="D4172">
        <f>(C4172-meanrtn)/stdevrtns</f>
        <v>-1.868976265979416</v>
      </c>
    </row>
    <row r="4173" spans="1:4" x14ac:dyDescent="0.3">
      <c r="A4173" s="1">
        <v>43818</v>
      </c>
      <c r="B4173">
        <v>1.308729</v>
      </c>
      <c r="C4173">
        <f t="shared" si="67"/>
        <v>-2.6565768566887884E-3</v>
      </c>
      <c r="D4173">
        <f>(C4173-meanrtn)/stdevrtns</f>
        <v>-0.43227720823801741</v>
      </c>
    </row>
    <row r="4174" spans="1:4" x14ac:dyDescent="0.3">
      <c r="A4174" s="1">
        <v>43819</v>
      </c>
      <c r="B4174">
        <v>1.301744</v>
      </c>
      <c r="C4174">
        <f t="shared" si="67"/>
        <v>-5.3372394132016783E-3</v>
      </c>
      <c r="D4174">
        <f>(C4174-meanrtn)/stdevrtns</f>
        <v>-0.87657090598646104</v>
      </c>
    </row>
    <row r="4175" spans="1:4" x14ac:dyDescent="0.3">
      <c r="A4175" s="1">
        <v>43822</v>
      </c>
      <c r="B4175">
        <v>1.3005420000000001</v>
      </c>
      <c r="C4175">
        <f t="shared" si="67"/>
        <v>-9.233766393391676E-4</v>
      </c>
      <c r="D4175">
        <f>(C4175-meanrtn)/stdevrtns</f>
        <v>-0.1450161609145601</v>
      </c>
    </row>
    <row r="4176" spans="1:4" x14ac:dyDescent="0.3">
      <c r="A4176" s="1">
        <v>43823</v>
      </c>
      <c r="B4176">
        <v>1.2944979999999999</v>
      </c>
      <c r="C4176">
        <f t="shared" si="67"/>
        <v>-4.6472932054483131E-3</v>
      </c>
      <c r="D4176">
        <f>(C4176-meanrtn)/stdevrtns</f>
        <v>-0.76221904504615079</v>
      </c>
    </row>
    <row r="4177" spans="1:4" x14ac:dyDescent="0.3">
      <c r="A4177" s="1">
        <v>43824</v>
      </c>
      <c r="B4177">
        <v>1.2934939999999999</v>
      </c>
      <c r="C4177">
        <f t="shared" si="67"/>
        <v>-7.755902287991213E-4</v>
      </c>
      <c r="D4177">
        <f>(C4177-meanrtn)/stdevrtns</f>
        <v>-0.12052200343238131</v>
      </c>
    </row>
    <row r="4178" spans="1:4" x14ac:dyDescent="0.3">
      <c r="A4178" s="1">
        <v>43825</v>
      </c>
      <c r="B4178">
        <v>1.297353</v>
      </c>
      <c r="C4178">
        <f t="shared" si="67"/>
        <v>2.9833922693109183E-3</v>
      </c>
      <c r="D4178">
        <f>(C4178-meanrtn)/stdevrtns</f>
        <v>0.50249271723783706</v>
      </c>
    </row>
    <row r="4179" spans="1:4" x14ac:dyDescent="0.3">
      <c r="A4179" s="1">
        <v>43826</v>
      </c>
      <c r="B4179">
        <v>1.3002210000000001</v>
      </c>
      <c r="C4179">
        <f t="shared" si="67"/>
        <v>2.2106550799975743E-3</v>
      </c>
      <c r="D4179">
        <f>(C4179-meanrtn)/stdevrtns</f>
        <v>0.37441905783835944</v>
      </c>
    </row>
    <row r="4180" spans="1:4" x14ac:dyDescent="0.3">
      <c r="A4180" s="1">
        <v>43829</v>
      </c>
      <c r="B4180">
        <v>1.3091919999999999</v>
      </c>
      <c r="C4180">
        <f t="shared" si="67"/>
        <v>6.8995962993982094E-3</v>
      </c>
      <c r="D4180">
        <f>(C4180-meanrtn)/stdevrtns</f>
        <v>1.151565374830454</v>
      </c>
    </row>
    <row r="4181" spans="1:4" x14ac:dyDescent="0.3">
      <c r="A4181" s="1">
        <v>43830</v>
      </c>
      <c r="B4181">
        <v>1.3113030000000001</v>
      </c>
      <c r="C4181">
        <f t="shared" si="67"/>
        <v>1.6124449278640538E-3</v>
      </c>
      <c r="D4181">
        <f>(C4181-meanrtn)/stdevrtns</f>
        <v>0.27527155421977678</v>
      </c>
    </row>
    <row r="4182" spans="1:4" x14ac:dyDescent="0.3">
      <c r="A4182" s="1">
        <v>43831</v>
      </c>
      <c r="B4182">
        <v>1.32626</v>
      </c>
      <c r="C4182">
        <f t="shared" si="67"/>
        <v>1.1406211989143536E-2</v>
      </c>
      <c r="D4182">
        <f>(C4182-meanrtn)/stdevrtns</f>
        <v>1.8984930119041492</v>
      </c>
    </row>
    <row r="4183" spans="1:4" x14ac:dyDescent="0.3">
      <c r="A4183" s="1">
        <v>43832</v>
      </c>
      <c r="B4183">
        <v>1.3250299999999999</v>
      </c>
      <c r="C4183">
        <f t="shared" si="67"/>
        <v>-9.2741996290325005E-4</v>
      </c>
      <c r="D4183">
        <f>(C4183-meanrtn)/stdevrtns</f>
        <v>-0.1456863023962304</v>
      </c>
    </row>
    <row r="4184" spans="1:4" x14ac:dyDescent="0.3">
      <c r="A4184" s="1">
        <v>43833</v>
      </c>
      <c r="B4184">
        <v>1.3152699999999999</v>
      </c>
      <c r="C4184">
        <f t="shared" si="67"/>
        <v>-7.3658709614121878E-3</v>
      </c>
      <c r="D4184">
        <f>(C4184-meanrtn)/stdevrtns</f>
        <v>-1.2127968176491561</v>
      </c>
    </row>
    <row r="4185" spans="1:4" x14ac:dyDescent="0.3">
      <c r="A4185" s="1">
        <v>43836</v>
      </c>
      <c r="B4185">
        <v>1.3080099999999999</v>
      </c>
      <c r="C4185">
        <f t="shared" si="67"/>
        <v>-5.5197792088316809E-3</v>
      </c>
      <c r="D4185">
        <f>(C4185-meanrtn)/stdevrtns</f>
        <v>-0.90682509840230874</v>
      </c>
    </row>
    <row r="4186" spans="1:4" x14ac:dyDescent="0.3">
      <c r="A4186" s="1">
        <v>43837</v>
      </c>
      <c r="B4186">
        <v>1.3170029999999999</v>
      </c>
      <c r="C4186">
        <f t="shared" si="67"/>
        <v>6.8753296993142483E-3</v>
      </c>
      <c r="D4186">
        <f>(C4186-meanrtn)/stdevrtns</f>
        <v>1.1475434223258796</v>
      </c>
    </row>
    <row r="4187" spans="1:4" x14ac:dyDescent="0.3">
      <c r="A4187" s="1">
        <v>43838</v>
      </c>
      <c r="B4187">
        <v>1.311372</v>
      </c>
      <c r="C4187">
        <f t="shared" si="67"/>
        <v>-4.2756166842444106E-3</v>
      </c>
      <c r="D4187">
        <f>(C4187-meanrtn)/stdevrtns</f>
        <v>-0.70061728335825979</v>
      </c>
    </row>
    <row r="4188" spans="1:4" x14ac:dyDescent="0.3">
      <c r="A4188" s="1">
        <v>43839</v>
      </c>
      <c r="B4188">
        <v>1.310513</v>
      </c>
      <c r="C4188">
        <f t="shared" si="67"/>
        <v>-6.5503914983692125E-4</v>
      </c>
      <c r="D4188">
        <f>(C4188-meanrtn)/stdevrtns</f>
        <v>-0.10054183677188469</v>
      </c>
    </row>
    <row r="4189" spans="1:4" x14ac:dyDescent="0.3">
      <c r="A4189" s="1">
        <v>43840</v>
      </c>
      <c r="B4189">
        <v>1.3070189999999999</v>
      </c>
      <c r="C4189">
        <f t="shared" si="67"/>
        <v>-2.666131507280056E-3</v>
      </c>
      <c r="D4189">
        <f>(C4189-meanrtn)/stdevrtns</f>
        <v>-0.43386079847080333</v>
      </c>
    </row>
    <row r="4190" spans="1:4" x14ac:dyDescent="0.3">
      <c r="A4190" s="1">
        <v>43843</v>
      </c>
      <c r="B4190">
        <v>1.3045629999999999</v>
      </c>
      <c r="C4190">
        <f t="shared" si="67"/>
        <v>-1.8790851548447375E-3</v>
      </c>
      <c r="D4190">
        <f>(C4190-meanrtn)/stdevrtns</f>
        <v>-0.30341553471564064</v>
      </c>
    </row>
    <row r="4191" spans="1:4" x14ac:dyDescent="0.3">
      <c r="A4191" s="1">
        <v>43844</v>
      </c>
      <c r="B4191">
        <v>1.2988189999999999</v>
      </c>
      <c r="C4191">
        <f t="shared" si="67"/>
        <v>-4.4030069839478599E-3</v>
      </c>
      <c r="D4191">
        <f>(C4191-meanrtn)/stdevrtns</f>
        <v>-0.72173098421367587</v>
      </c>
    </row>
    <row r="4192" spans="1:4" x14ac:dyDescent="0.3">
      <c r="A4192" s="1">
        <v>43845</v>
      </c>
      <c r="B4192">
        <v>1.3022530000000001</v>
      </c>
      <c r="C4192">
        <f t="shared" si="67"/>
        <v>2.6439403796835121E-3</v>
      </c>
      <c r="D4192">
        <f>(C4192-meanrtn)/stdevrtns</f>
        <v>0.44623187422951577</v>
      </c>
    </row>
    <row r="4193" spans="1:4" x14ac:dyDescent="0.3">
      <c r="A4193" s="1">
        <v>43846</v>
      </c>
      <c r="B4193">
        <v>1.3041210000000001</v>
      </c>
      <c r="C4193">
        <f t="shared" si="67"/>
        <v>1.4344370871097864E-3</v>
      </c>
      <c r="D4193">
        <f>(C4193-meanrtn)/stdevrtns</f>
        <v>0.24576848916416977</v>
      </c>
    </row>
    <row r="4194" spans="1:4" x14ac:dyDescent="0.3">
      <c r="A4194" s="1">
        <v>43847</v>
      </c>
      <c r="B4194">
        <v>1.3078730000000001</v>
      </c>
      <c r="C4194">
        <f t="shared" si="67"/>
        <v>2.8770336494849612E-3</v>
      </c>
      <c r="D4194">
        <f>(C4194-meanrtn)/stdevrtns</f>
        <v>0.48486481238458101</v>
      </c>
    </row>
    <row r="4195" spans="1:4" x14ac:dyDescent="0.3">
      <c r="A4195" s="1">
        <v>43850</v>
      </c>
      <c r="B4195">
        <v>1.3007280000000001</v>
      </c>
      <c r="C4195">
        <f t="shared" si="67"/>
        <v>-5.4630686618654537E-3</v>
      </c>
      <c r="D4195">
        <f>(C4195-meanrtn)/stdevrtns</f>
        <v>-0.8974258778432922</v>
      </c>
    </row>
    <row r="4196" spans="1:4" x14ac:dyDescent="0.3">
      <c r="A4196" s="1">
        <v>43851</v>
      </c>
      <c r="B4196">
        <v>1.300559</v>
      </c>
      <c r="C4196">
        <f t="shared" si="67"/>
        <v>-1.2992724074524861E-4</v>
      </c>
      <c r="D4196">
        <f>(C4196-meanrtn)/stdevrtns</f>
        <v>-1.3509654651366462E-2</v>
      </c>
    </row>
    <row r="4197" spans="1:4" x14ac:dyDescent="0.3">
      <c r="A4197" s="1">
        <v>43852</v>
      </c>
      <c r="B4197">
        <v>1.304802</v>
      </c>
      <c r="C4197">
        <f t="shared" si="67"/>
        <v>3.2624433032257642E-3</v>
      </c>
      <c r="D4197">
        <f>(C4197-meanrtn)/stdevrtns</f>
        <v>0.54874270697165572</v>
      </c>
    </row>
    <row r="4198" spans="1:4" x14ac:dyDescent="0.3">
      <c r="A4198" s="1">
        <v>43853</v>
      </c>
      <c r="B4198">
        <v>1.3144750000000001</v>
      </c>
      <c r="C4198">
        <f t="shared" si="67"/>
        <v>7.4133853258962221E-3</v>
      </c>
      <c r="D4198">
        <f>(C4198-meanrtn)/stdevrtns</f>
        <v>1.2367208994938497</v>
      </c>
    </row>
    <row r="4199" spans="1:4" x14ac:dyDescent="0.3">
      <c r="A4199" s="1">
        <v>43854</v>
      </c>
      <c r="B4199">
        <v>1.311992</v>
      </c>
      <c r="C4199">
        <f t="shared" si="67"/>
        <v>-1.8889670781110427E-3</v>
      </c>
      <c r="D4199">
        <f>(C4199-meanrtn)/stdevrtns</f>
        <v>-0.30505336720529369</v>
      </c>
    </row>
    <row r="4200" spans="1:4" x14ac:dyDescent="0.3">
      <c r="A4200" s="1">
        <v>43857</v>
      </c>
      <c r="B4200">
        <v>1.306182</v>
      </c>
      <c r="C4200">
        <f t="shared" si="67"/>
        <v>-4.4283806608577591E-3</v>
      </c>
      <c r="D4200">
        <f>(C4200-meanrtn)/stdevrtns</f>
        <v>-0.72593642391453783</v>
      </c>
    </row>
    <row r="4201" spans="1:4" x14ac:dyDescent="0.3">
      <c r="A4201" s="1">
        <v>43858</v>
      </c>
      <c r="B4201">
        <v>1.306012</v>
      </c>
      <c r="C4201">
        <f t="shared" si="67"/>
        <v>-1.301503159590344E-4</v>
      </c>
      <c r="D4201">
        <f>(C4201-meanrtn)/stdevrtns</f>
        <v>-1.3546627194355178E-2</v>
      </c>
    </row>
    <row r="4202" spans="1:4" x14ac:dyDescent="0.3">
      <c r="A4202" s="1">
        <v>43859</v>
      </c>
      <c r="B4202">
        <v>1.3024560000000001</v>
      </c>
      <c r="C4202">
        <f t="shared" si="67"/>
        <v>-2.7227927461615153E-3</v>
      </c>
      <c r="D4202">
        <f>(C4202-meanrtn)/stdevrtns</f>
        <v>-0.44325184669523893</v>
      </c>
    </row>
    <row r="4203" spans="1:4" x14ac:dyDescent="0.3">
      <c r="A4203" s="1">
        <v>43860</v>
      </c>
      <c r="B4203">
        <v>1.3022020000000001</v>
      </c>
      <c r="C4203">
        <f t="shared" si="67"/>
        <v>-1.9501618480776046E-4</v>
      </c>
      <c r="D4203">
        <f>(C4203-meanrtn)/stdevrtns</f>
        <v>-2.4297512888060546E-2</v>
      </c>
    </row>
    <row r="4204" spans="1:4" x14ac:dyDescent="0.3">
      <c r="A4204" s="1">
        <v>43861</v>
      </c>
      <c r="B4204">
        <v>1.3089</v>
      </c>
      <c r="C4204">
        <f t="shared" si="67"/>
        <v>5.1435952333047184E-3</v>
      </c>
      <c r="D4204">
        <f>(C4204-meanrtn)/stdevrtns</f>
        <v>0.86052530900442359</v>
      </c>
    </row>
    <row r="4205" spans="1:4" x14ac:dyDescent="0.3">
      <c r="A4205" s="1">
        <v>43864</v>
      </c>
      <c r="B4205">
        <v>1.3181659999999999</v>
      </c>
      <c r="C4205">
        <f t="shared" si="67"/>
        <v>7.0792268316907303E-3</v>
      </c>
      <c r="D4205">
        <f>(C4205-meanrtn)/stdevrtns</f>
        <v>1.1813373851966462</v>
      </c>
    </row>
    <row r="4206" spans="1:4" x14ac:dyDescent="0.3">
      <c r="A4206" s="1">
        <v>43865</v>
      </c>
      <c r="B4206">
        <v>1.2997479999999999</v>
      </c>
      <c r="C4206">
        <f t="shared" si="67"/>
        <v>-1.3972443531391376E-2</v>
      </c>
      <c r="D4206">
        <f>(C4206-meanrtn)/stdevrtns</f>
        <v>-2.3077718451579488</v>
      </c>
    </row>
    <row r="4207" spans="1:4" x14ac:dyDescent="0.3">
      <c r="A4207" s="1">
        <v>43866</v>
      </c>
      <c r="B4207">
        <v>1.3032710000000001</v>
      </c>
      <c r="C4207">
        <f t="shared" si="67"/>
        <v>2.7105254249286518E-3</v>
      </c>
      <c r="D4207">
        <f>(C4207-meanrtn)/stdevrtns</f>
        <v>0.45726769665887584</v>
      </c>
    </row>
    <row r="4208" spans="1:4" x14ac:dyDescent="0.3">
      <c r="A4208" s="1">
        <v>43867</v>
      </c>
      <c r="B4208">
        <v>1.299714</v>
      </c>
      <c r="C4208">
        <f t="shared" si="67"/>
        <v>-2.7292865413256584E-3</v>
      </c>
      <c r="D4208">
        <f>(C4208-meanrtn)/stdevrtns</f>
        <v>-0.44432812996665944</v>
      </c>
    </row>
    <row r="4209" spans="1:4" x14ac:dyDescent="0.3">
      <c r="A4209" s="1">
        <v>43868</v>
      </c>
      <c r="B4209">
        <v>1.2930250000000001</v>
      </c>
      <c r="C4209">
        <f t="shared" si="67"/>
        <v>-5.146516849091373E-3</v>
      </c>
      <c r="D4209">
        <f>(C4209-meanrtn)/stdevrtns</f>
        <v>-0.84496049942978457</v>
      </c>
    </row>
    <row r="4210" spans="1:4" x14ac:dyDescent="0.3">
      <c r="A4210" s="1">
        <v>43871</v>
      </c>
      <c r="B4210">
        <v>1.289158</v>
      </c>
      <c r="C4210">
        <f t="shared" si="67"/>
        <v>-2.9906614334603465E-3</v>
      </c>
      <c r="D4210">
        <f>(C4210-meanrtn)/stdevrtns</f>
        <v>-0.48764847144081497</v>
      </c>
    </row>
    <row r="4211" spans="1:4" x14ac:dyDescent="0.3">
      <c r="A4211" s="1">
        <v>43872</v>
      </c>
      <c r="B4211">
        <v>1.2918229999999999</v>
      </c>
      <c r="C4211">
        <f t="shared" si="67"/>
        <v>2.0672407881733019E-3</v>
      </c>
      <c r="D4211">
        <f>(C4211-meanrtn)/stdevrtns</f>
        <v>0.3506495364303881</v>
      </c>
    </row>
    <row r="4212" spans="1:4" x14ac:dyDescent="0.3">
      <c r="A4212" s="1">
        <v>43873</v>
      </c>
      <c r="B4212">
        <v>1.2956559999999999</v>
      </c>
      <c r="C4212">
        <f t="shared" si="67"/>
        <v>2.9671247531588892E-3</v>
      </c>
      <c r="D4212">
        <f>(C4212-meanrtn)/stdevrtns</f>
        <v>0.49979653495006365</v>
      </c>
    </row>
    <row r="4213" spans="1:4" x14ac:dyDescent="0.3">
      <c r="A4213" s="1">
        <v>43874</v>
      </c>
      <c r="B4213">
        <v>1.2957559999999999</v>
      </c>
      <c r="C4213">
        <f t="shared" si="67"/>
        <v>7.7180980136694452E-5</v>
      </c>
      <c r="D4213">
        <f>(C4213-meanrtn)/stdevrtns</f>
        <v>2.0816514849594171E-2</v>
      </c>
    </row>
    <row r="4214" spans="1:4" x14ac:dyDescent="0.3">
      <c r="A4214" s="1">
        <v>43875</v>
      </c>
      <c r="B4214">
        <v>1.3046819999999999</v>
      </c>
      <c r="C4214">
        <f t="shared" si="67"/>
        <v>6.8886426148132753E-3</v>
      </c>
      <c r="D4214">
        <f>(C4214-meanrtn)/stdevrtns</f>
        <v>1.1497499083457274</v>
      </c>
    </row>
    <row r="4215" spans="1:4" x14ac:dyDescent="0.3">
      <c r="A4215" s="1">
        <v>43878</v>
      </c>
      <c r="B4215">
        <v>1.305296</v>
      </c>
      <c r="C4215">
        <f t="shared" si="67"/>
        <v>4.7061276234370864E-4</v>
      </c>
      <c r="D4215">
        <f>(C4215-meanrtn)/stdevrtns</f>
        <v>8.6023999060475351E-2</v>
      </c>
    </row>
    <row r="4216" spans="1:4" x14ac:dyDescent="0.3">
      <c r="A4216" s="1">
        <v>43879</v>
      </c>
      <c r="B4216">
        <v>1.3008980000000001</v>
      </c>
      <c r="C4216">
        <f t="shared" si="67"/>
        <v>-3.3693507066595639E-3</v>
      </c>
      <c r="D4216">
        <f>(C4216-meanrtn)/stdevrtns</f>
        <v>-0.55041252843805821</v>
      </c>
    </row>
    <row r="4217" spans="1:4" x14ac:dyDescent="0.3">
      <c r="A4217" s="1">
        <v>43880</v>
      </c>
      <c r="B4217">
        <v>1.3002210000000001</v>
      </c>
      <c r="C4217">
        <f t="shared" si="67"/>
        <v>-5.2040974772813754E-4</v>
      </c>
      <c r="D4217">
        <f>(C4217-meanrtn)/stdevrtns</f>
        <v>-7.822832523226618E-2</v>
      </c>
    </row>
    <row r="4218" spans="1:4" x14ac:dyDescent="0.3">
      <c r="A4218" s="1">
        <v>43881</v>
      </c>
      <c r="B4218">
        <v>1.2928249999999999</v>
      </c>
      <c r="C4218">
        <f t="shared" si="67"/>
        <v>-5.6882637643909609E-3</v>
      </c>
      <c r="D4218">
        <f>(C4218-meanrtn)/stdevrtns</f>
        <v>-0.9347497717339317</v>
      </c>
    </row>
    <row r="4219" spans="1:4" x14ac:dyDescent="0.3">
      <c r="A4219" s="1">
        <v>43882</v>
      </c>
      <c r="B4219">
        <v>1.2883279999999999</v>
      </c>
      <c r="C4219">
        <f t="shared" si="67"/>
        <v>-3.4784290217159891E-3</v>
      </c>
      <c r="D4219">
        <f>(C4219-meanrtn)/stdevrtns</f>
        <v>-0.56849119627442746</v>
      </c>
    </row>
    <row r="4220" spans="1:4" x14ac:dyDescent="0.3">
      <c r="A4220" s="1">
        <v>43885</v>
      </c>
      <c r="B4220">
        <v>1.2953699999999999</v>
      </c>
      <c r="C4220">
        <f t="shared" si="67"/>
        <v>5.4659993417825225E-3</v>
      </c>
      <c r="D4220">
        <f>(C4220-meanrtn)/stdevrtns</f>
        <v>0.91396064840470559</v>
      </c>
    </row>
    <row r="4221" spans="1:4" x14ac:dyDescent="0.3">
      <c r="A4221" s="1">
        <v>43886</v>
      </c>
      <c r="B4221">
        <v>1.2926580000000001</v>
      </c>
      <c r="C4221">
        <f t="shared" si="67"/>
        <v>-2.0936103198312653E-3</v>
      </c>
      <c r="D4221">
        <f>(C4221-meanrtn)/stdevrtns</f>
        <v>-0.338970990429524</v>
      </c>
    </row>
    <row r="4222" spans="1:4" x14ac:dyDescent="0.3">
      <c r="A4222" s="1">
        <v>43887</v>
      </c>
      <c r="B4222">
        <v>1.3003389999999999</v>
      </c>
      <c r="C4222">
        <f t="shared" si="67"/>
        <v>5.9420202404656345E-3</v>
      </c>
      <c r="D4222">
        <f>(C4222-meanrtn)/stdevrtns</f>
        <v>0.99285647390412068</v>
      </c>
    </row>
    <row r="4223" spans="1:4" x14ac:dyDescent="0.3">
      <c r="A4223" s="1">
        <v>43888</v>
      </c>
      <c r="B4223">
        <v>1.290689</v>
      </c>
      <c r="C4223">
        <f t="shared" si="67"/>
        <v>-7.4211417176597311E-3</v>
      </c>
      <c r="D4223">
        <f>(C4223-meanrtn)/stdevrtns</f>
        <v>-1.2219574069262034</v>
      </c>
    </row>
    <row r="4224" spans="1:4" x14ac:dyDescent="0.3">
      <c r="A4224" s="1">
        <v>43889</v>
      </c>
      <c r="B4224">
        <v>1.2888919999999999</v>
      </c>
      <c r="C4224">
        <f t="shared" si="67"/>
        <v>-1.3922796273928488E-3</v>
      </c>
      <c r="D4224">
        <f>(C4224-meanrtn)/stdevrtns</f>
        <v>-0.22273226208570823</v>
      </c>
    </row>
    <row r="4225" spans="1:4" x14ac:dyDescent="0.3">
      <c r="A4225" s="1">
        <v>43892</v>
      </c>
      <c r="B4225">
        <v>1.280705</v>
      </c>
      <c r="C4225">
        <f t="shared" si="67"/>
        <v>-6.35196742628548E-3</v>
      </c>
      <c r="D4225">
        <f>(C4225-meanrtn)/stdevrtns</f>
        <v>-1.0447521864115512</v>
      </c>
    </row>
    <row r="4226" spans="1:4" x14ac:dyDescent="0.3">
      <c r="A4226" s="1">
        <v>43893</v>
      </c>
      <c r="B4226">
        <v>1.276715</v>
      </c>
      <c r="C4226">
        <f t="shared" si="67"/>
        <v>-3.115471556681623E-3</v>
      </c>
      <c r="D4226">
        <f>(C4226-meanrtn)/stdevrtns</f>
        <v>-0.50833453318614497</v>
      </c>
    </row>
    <row r="4227" spans="1:4" x14ac:dyDescent="0.3">
      <c r="A4227" s="1">
        <v>43894</v>
      </c>
      <c r="B4227">
        <v>1.282084</v>
      </c>
      <c r="C4227">
        <f t="shared" si="67"/>
        <v>4.2053238193331772E-3</v>
      </c>
      <c r="D4227">
        <f>(C4227-meanrtn)/stdevrtns</f>
        <v>0.70501596487147344</v>
      </c>
    </row>
    <row r="4228" spans="1:4" x14ac:dyDescent="0.3">
      <c r="A4228" s="1">
        <v>43895</v>
      </c>
      <c r="B4228">
        <v>1.287498</v>
      </c>
      <c r="C4228">
        <f t="shared" ref="C4228:C4291" si="68">(B4228-B4227)/B4227</f>
        <v>4.2228122338318162E-3</v>
      </c>
      <c r="D4228">
        <f>(C4228-meanrtn)/stdevrtns</f>
        <v>0.7079144991634827</v>
      </c>
    </row>
    <row r="4229" spans="1:4" x14ac:dyDescent="0.3">
      <c r="A4229" s="1">
        <v>43896</v>
      </c>
      <c r="B4229">
        <v>1.2950680000000001</v>
      </c>
      <c r="C4229">
        <f t="shared" si="68"/>
        <v>5.8796207838770053E-3</v>
      </c>
      <c r="D4229">
        <f>(C4229-meanrtn)/stdevrtns</f>
        <v>0.98251437200923708</v>
      </c>
    </row>
    <row r="4230" spans="1:4" x14ac:dyDescent="0.3">
      <c r="A4230" s="1">
        <v>43899</v>
      </c>
      <c r="B4230">
        <v>1.3099289999999999</v>
      </c>
      <c r="C4230">
        <f t="shared" si="68"/>
        <v>1.1475073123573272E-2</v>
      </c>
      <c r="D4230">
        <f>(C4230-meanrtn)/stdevrtns</f>
        <v>1.9099060739371188</v>
      </c>
    </row>
    <row r="4231" spans="1:4" x14ac:dyDescent="0.3">
      <c r="A4231" s="1">
        <v>43900</v>
      </c>
      <c r="B4231">
        <v>1.307531</v>
      </c>
      <c r="C4231">
        <f t="shared" si="68"/>
        <v>-1.8306335686895246E-3</v>
      </c>
      <c r="D4231">
        <f>(C4231-meanrtn)/stdevrtns</f>
        <v>-0.29538515643383273</v>
      </c>
    </row>
    <row r="4232" spans="1:4" x14ac:dyDescent="0.3">
      <c r="A4232" s="1">
        <v>43901</v>
      </c>
      <c r="B4232">
        <v>1.290972</v>
      </c>
      <c r="C4232">
        <f t="shared" si="68"/>
        <v>-1.2664326887851983E-2</v>
      </c>
      <c r="D4232">
        <f>(C4232-meanrtn)/stdevrtns</f>
        <v>-2.0909642580812555</v>
      </c>
    </row>
    <row r="4233" spans="1:4" x14ac:dyDescent="0.3">
      <c r="A4233" s="1">
        <v>43902</v>
      </c>
      <c r="B4233">
        <v>1.2818210000000001</v>
      </c>
      <c r="C4233">
        <f t="shared" si="68"/>
        <v>-7.0884573794008773E-3</v>
      </c>
      <c r="D4233">
        <f>(C4233-meanrtn)/stdevrtns</f>
        <v>-1.16681821961264</v>
      </c>
    </row>
    <row r="4234" spans="1:4" x14ac:dyDescent="0.3">
      <c r="A4234" s="1">
        <v>43903</v>
      </c>
      <c r="B4234">
        <v>1.2570239999999999</v>
      </c>
      <c r="C4234">
        <f t="shared" si="68"/>
        <v>-1.9345134773108084E-2</v>
      </c>
      <c r="D4234">
        <f>(C4234-meanrtn)/stdevrtns</f>
        <v>-3.1982430657311811</v>
      </c>
    </row>
    <row r="4235" spans="1:4" x14ac:dyDescent="0.3">
      <c r="A4235" s="1">
        <v>43906</v>
      </c>
      <c r="B4235">
        <v>1.239987</v>
      </c>
      <c r="C4235">
        <f t="shared" si="68"/>
        <v>-1.3553440507102466E-2</v>
      </c>
      <c r="D4235">
        <f>(C4235-meanrtn)/stdevrtns</f>
        <v>-2.2383261767440676</v>
      </c>
    </row>
    <row r="4236" spans="1:4" x14ac:dyDescent="0.3">
      <c r="A4236" s="1">
        <v>43907</v>
      </c>
      <c r="B4236">
        <v>1.2266630000000001</v>
      </c>
      <c r="C4236">
        <f t="shared" si="68"/>
        <v>-1.0745273942388018E-2</v>
      </c>
      <c r="D4236">
        <f>(C4236-meanrtn)/stdevrtns</f>
        <v>-1.7728999320646484</v>
      </c>
    </row>
    <row r="4237" spans="1:4" x14ac:dyDescent="0.3">
      <c r="A4237" s="1">
        <v>43908</v>
      </c>
      <c r="B4237">
        <v>1.2121649999999999</v>
      </c>
      <c r="C4237">
        <f t="shared" si="68"/>
        <v>-1.1819057067833726E-2</v>
      </c>
      <c r="D4237">
        <f>(C4237-meanrtn)/stdevrtns</f>
        <v>-1.9508690219171034</v>
      </c>
    </row>
    <row r="4238" spans="1:4" x14ac:dyDescent="0.3">
      <c r="A4238" s="1">
        <v>43909</v>
      </c>
      <c r="B4238">
        <v>1.162534</v>
      </c>
      <c r="C4238">
        <f t="shared" si="68"/>
        <v>-4.0944095894535799E-2</v>
      </c>
      <c r="D4238">
        <f>(C4238-meanrtn)/stdevrtns</f>
        <v>-6.7780604063543164</v>
      </c>
    </row>
    <row r="4239" spans="1:4" x14ac:dyDescent="0.3">
      <c r="A4239" s="1">
        <v>43910</v>
      </c>
      <c r="B4239">
        <v>1.1494390000000001</v>
      </c>
      <c r="C4239">
        <f t="shared" si="68"/>
        <v>-1.1264186681851763E-2</v>
      </c>
      <c r="D4239">
        <f>(C4239-meanrtn)/stdevrtns</f>
        <v>-1.8589046622254748</v>
      </c>
    </row>
    <row r="4240" spans="1:4" x14ac:dyDescent="0.3">
      <c r="A4240" s="1">
        <v>43913</v>
      </c>
      <c r="B4240">
        <v>1.162304</v>
      </c>
      <c r="C4240">
        <f t="shared" si="68"/>
        <v>1.1192416474471376E-2</v>
      </c>
      <c r="D4240">
        <f>(C4240-meanrtn)/stdevrtns</f>
        <v>1.8630584886199915</v>
      </c>
    </row>
    <row r="4241" spans="1:4" x14ac:dyDescent="0.3">
      <c r="A4241" s="1">
        <v>43914</v>
      </c>
      <c r="B4241">
        <v>1.1595549999999999</v>
      </c>
      <c r="C4241">
        <f t="shared" si="68"/>
        <v>-2.365129948791463E-3</v>
      </c>
      <c r="D4241">
        <f>(C4241-meanrtn)/stdevrtns</f>
        <v>-0.38397272317985487</v>
      </c>
    </row>
    <row r="4242" spans="1:4" x14ac:dyDescent="0.3">
      <c r="A4242" s="1">
        <v>43915</v>
      </c>
      <c r="B4242">
        <v>1.1792039999999999</v>
      </c>
      <c r="C4242">
        <f t="shared" si="68"/>
        <v>1.6945293668691894E-2</v>
      </c>
      <c r="D4242">
        <f>(C4242-meanrtn)/stdevrtns</f>
        <v>2.816541826201215</v>
      </c>
    </row>
    <row r="4243" spans="1:4" x14ac:dyDescent="0.3">
      <c r="A4243" s="1">
        <v>43916</v>
      </c>
      <c r="B4243">
        <v>1.1851149999999999</v>
      </c>
      <c r="C4243">
        <f t="shared" si="68"/>
        <v>5.0127034847235932E-3</v>
      </c>
      <c r="D4243">
        <f>(C4243-meanrtn)/stdevrtns</f>
        <v>0.83883127711645733</v>
      </c>
    </row>
    <row r="4244" spans="1:4" x14ac:dyDescent="0.3">
      <c r="A4244" s="1">
        <v>43917</v>
      </c>
      <c r="B4244">
        <v>1.2200629999999999</v>
      </c>
      <c r="C4244">
        <f t="shared" si="68"/>
        <v>2.9489121308902497E-2</v>
      </c>
      <c r="D4244">
        <f>(C4244-meanrtn)/stdevrtns</f>
        <v>4.8955590276195338</v>
      </c>
    </row>
    <row r="4245" spans="1:4" x14ac:dyDescent="0.3">
      <c r="A4245" s="1">
        <v>43920</v>
      </c>
      <c r="B4245">
        <v>1.2453190000000001</v>
      </c>
      <c r="C4245">
        <f t="shared" si="68"/>
        <v>2.0700570380382137E-2</v>
      </c>
      <c r="D4245">
        <f>(C4245-meanrtn)/stdevrtns</f>
        <v>3.4389423488823887</v>
      </c>
    </row>
    <row r="4246" spans="1:4" x14ac:dyDescent="0.3">
      <c r="A4246" s="1">
        <v>43921</v>
      </c>
      <c r="B4246">
        <v>1.2371639999999999</v>
      </c>
      <c r="C4246">
        <f t="shared" si="68"/>
        <v>-6.5485229085881884E-3</v>
      </c>
      <c r="D4246">
        <f>(C4246-meanrtn)/stdevrtns</f>
        <v>-1.0773293423213197</v>
      </c>
    </row>
    <row r="4247" spans="1:4" x14ac:dyDescent="0.3">
      <c r="A4247" s="1">
        <v>43922</v>
      </c>
      <c r="B4247">
        <v>1.2408490000000001</v>
      </c>
      <c r="C4247">
        <f t="shared" si="68"/>
        <v>2.9785865091452391E-3</v>
      </c>
      <c r="D4247">
        <f>(C4247-meanrtn)/stdevrtns</f>
        <v>0.50169620931880998</v>
      </c>
    </row>
    <row r="4248" spans="1:4" x14ac:dyDescent="0.3">
      <c r="A4248" s="1">
        <v>43923</v>
      </c>
      <c r="B4248">
        <v>1.238237</v>
      </c>
      <c r="C4248">
        <f t="shared" si="68"/>
        <v>-2.1050103598423808E-3</v>
      </c>
      <c r="D4248">
        <f>(C4248-meanrtn)/stdevrtns</f>
        <v>-0.34086043597675003</v>
      </c>
    </row>
    <row r="4249" spans="1:4" x14ac:dyDescent="0.3">
      <c r="A4249" s="1">
        <v>43924</v>
      </c>
      <c r="B4249">
        <v>1.239495</v>
      </c>
      <c r="C4249">
        <f t="shared" si="68"/>
        <v>1.0159605955887131E-3</v>
      </c>
      <c r="D4249">
        <f>(C4249-meanrtn)/stdevrtns</f>
        <v>0.17641008842590108</v>
      </c>
    </row>
    <row r="4250" spans="1:4" x14ac:dyDescent="0.3">
      <c r="A4250" s="1">
        <v>43927</v>
      </c>
      <c r="B4250">
        <v>1.222016</v>
      </c>
      <c r="C4250">
        <f t="shared" si="68"/>
        <v>-1.4101710777373062E-2</v>
      </c>
      <c r="D4250">
        <f>(C4250-meanrtn)/stdevrtns</f>
        <v>-2.3291966315695856</v>
      </c>
    </row>
    <row r="4251" spans="1:4" x14ac:dyDescent="0.3">
      <c r="A4251" s="1">
        <v>43928</v>
      </c>
      <c r="B4251">
        <v>1.2240500000000001</v>
      </c>
      <c r="C4251">
        <f t="shared" si="68"/>
        <v>1.6644626584268057E-3</v>
      </c>
      <c r="D4251">
        <f>(C4251-meanrtn)/stdevrtns</f>
        <v>0.28389298618780157</v>
      </c>
    </row>
    <row r="4252" spans="1:4" x14ac:dyDescent="0.3">
      <c r="A4252" s="1">
        <v>43929</v>
      </c>
      <c r="B4252">
        <v>1.233867</v>
      </c>
      <c r="C4252">
        <f t="shared" si="68"/>
        <v>8.0200972182508587E-3</v>
      </c>
      <c r="D4252">
        <f>(C4252-meanrtn)/stdevrtns</f>
        <v>1.3372774837111669</v>
      </c>
    </row>
    <row r="4253" spans="1:4" x14ac:dyDescent="0.3">
      <c r="A4253" s="1">
        <v>43930</v>
      </c>
      <c r="B4253">
        <v>1.2393110000000001</v>
      </c>
      <c r="C4253">
        <f t="shared" si="68"/>
        <v>4.4121449070280705E-3</v>
      </c>
      <c r="D4253">
        <f>(C4253-meanrtn)/stdevrtns</f>
        <v>0.73929454484457247</v>
      </c>
    </row>
    <row r="4254" spans="1:4" x14ac:dyDescent="0.3">
      <c r="A4254" s="1">
        <v>43931</v>
      </c>
      <c r="B4254">
        <v>1.245485</v>
      </c>
      <c r="C4254">
        <f t="shared" si="68"/>
        <v>4.9818003713352835E-3</v>
      </c>
      <c r="D4254">
        <f>(C4254-meanrtn)/stdevrtns</f>
        <v>0.8337093871994018</v>
      </c>
    </row>
    <row r="4255" spans="1:4" x14ac:dyDescent="0.3">
      <c r="A4255" s="1">
        <v>43934</v>
      </c>
      <c r="B4255">
        <v>1.2461059999999999</v>
      </c>
      <c r="C4255">
        <f t="shared" si="68"/>
        <v>4.9860094661917462E-4</v>
      </c>
      <c r="D4255">
        <f>(C4255-meanrtn)/stdevrtns</f>
        <v>9.0662767880817868E-2</v>
      </c>
    </row>
    <row r="4256" spans="1:4" x14ac:dyDescent="0.3">
      <c r="A4256" s="1">
        <v>43935</v>
      </c>
      <c r="B4256">
        <v>1.2523949999999999</v>
      </c>
      <c r="C4256">
        <f t="shared" si="68"/>
        <v>5.0469221719500502E-3</v>
      </c>
      <c r="D4256">
        <f>(C4256-meanrtn)/stdevrtns</f>
        <v>0.84450269108947029</v>
      </c>
    </row>
    <row r="4257" spans="1:4" x14ac:dyDescent="0.3">
      <c r="A4257" s="1">
        <v>43936</v>
      </c>
      <c r="B4257">
        <v>1.262626</v>
      </c>
      <c r="C4257">
        <f t="shared" si="68"/>
        <v>8.1691479125995409E-3</v>
      </c>
      <c r="D4257">
        <f>(C4257-meanrtn)/stdevrtns</f>
        <v>1.3619811839151545</v>
      </c>
    </row>
    <row r="4258" spans="1:4" x14ac:dyDescent="0.3">
      <c r="A4258" s="1">
        <v>43937</v>
      </c>
      <c r="B4258">
        <v>1.252097</v>
      </c>
      <c r="C4258">
        <f t="shared" si="68"/>
        <v>-8.3389697345057131E-3</v>
      </c>
      <c r="D4258">
        <f>(C4258-meanrtn)/stdevrtns</f>
        <v>-1.3740784571907638</v>
      </c>
    </row>
    <row r="4259" spans="1:4" x14ac:dyDescent="0.3">
      <c r="A4259" s="1">
        <v>43938</v>
      </c>
      <c r="B4259">
        <v>1.2487820000000001</v>
      </c>
      <c r="C4259">
        <f t="shared" si="68"/>
        <v>-2.6475584559342903E-3</v>
      </c>
      <c r="D4259">
        <f>(C4259-meanrtn)/stdevrtns</f>
        <v>-0.4307824961903341</v>
      </c>
    </row>
    <row r="4260" spans="1:4" x14ac:dyDescent="0.3">
      <c r="A4260" s="1">
        <v>43941</v>
      </c>
      <c r="B4260">
        <v>1.2487509999999999</v>
      </c>
      <c r="C4260">
        <f t="shared" si="68"/>
        <v>-2.4824188689550514E-5</v>
      </c>
      <c r="D4260">
        <f>(C4260-meanrtn)/stdevrtns</f>
        <v>3.9101520785108151E-3</v>
      </c>
    </row>
    <row r="4261" spans="1:4" x14ac:dyDescent="0.3">
      <c r="A4261" s="1">
        <v>43942</v>
      </c>
      <c r="B4261">
        <v>1.2442759999999999</v>
      </c>
      <c r="C4261">
        <f t="shared" si="68"/>
        <v>-3.5835807138492838E-3</v>
      </c>
      <c r="D4261">
        <f>(C4261-meanrtn)/stdevrtns</f>
        <v>-0.58591906462320631</v>
      </c>
    </row>
    <row r="4262" spans="1:4" x14ac:dyDescent="0.3">
      <c r="A4262" s="1">
        <v>43943</v>
      </c>
      <c r="B4262">
        <v>1.2298610000000001</v>
      </c>
      <c r="C4262">
        <f t="shared" si="68"/>
        <v>-1.1585050262160361E-2</v>
      </c>
      <c r="D4262">
        <f>(C4262-meanrtn)/stdevrtns</f>
        <v>-1.9120846740929722</v>
      </c>
    </row>
    <row r="4263" spans="1:4" x14ac:dyDescent="0.3">
      <c r="A4263" s="1">
        <v>43944</v>
      </c>
      <c r="B4263">
        <v>1.2323919999999999</v>
      </c>
      <c r="C4263">
        <f t="shared" si="68"/>
        <v>2.0579561430111521E-3</v>
      </c>
      <c r="D4263">
        <f>(C4263-meanrtn)/stdevrtns</f>
        <v>0.34911069696648339</v>
      </c>
    </row>
    <row r="4264" spans="1:4" x14ac:dyDescent="0.3">
      <c r="A4264" s="1">
        <v>43945</v>
      </c>
      <c r="B4264">
        <v>1.2352240000000001</v>
      </c>
      <c r="C4264">
        <f t="shared" si="68"/>
        <v>2.2979701263884933E-3</v>
      </c>
      <c r="D4264">
        <f>(C4264-meanrtn)/stdevrtns</f>
        <v>0.3888906759597251</v>
      </c>
    </row>
    <row r="4265" spans="1:4" x14ac:dyDescent="0.3">
      <c r="A4265" s="1">
        <v>43948</v>
      </c>
      <c r="B4265">
        <v>1.2366600000000001</v>
      </c>
      <c r="C4265">
        <f t="shared" si="68"/>
        <v>1.1625421785846071E-3</v>
      </c>
      <c r="D4265">
        <f>(C4265-meanrtn)/stdevrtns</f>
        <v>0.20070455748275381</v>
      </c>
    </row>
    <row r="4266" spans="1:4" x14ac:dyDescent="0.3">
      <c r="A4266" s="1">
        <v>43949</v>
      </c>
      <c r="B4266">
        <v>1.242267</v>
      </c>
      <c r="C4266">
        <f t="shared" si="68"/>
        <v>4.5339867061277286E-3</v>
      </c>
      <c r="D4266">
        <f>(C4266-meanrtn)/stdevrtns</f>
        <v>0.75948863579077841</v>
      </c>
    </row>
    <row r="4267" spans="1:4" x14ac:dyDescent="0.3">
      <c r="A4267" s="1">
        <v>43950</v>
      </c>
      <c r="B4267">
        <v>1.243565</v>
      </c>
      <c r="C4267">
        <f t="shared" si="68"/>
        <v>1.0448639463175157E-3</v>
      </c>
      <c r="D4267">
        <f>(C4267-meanrtn)/stdevrtns</f>
        <v>0.18120053716829135</v>
      </c>
    </row>
    <row r="4268" spans="1:4" x14ac:dyDescent="0.3">
      <c r="A4268" s="1">
        <v>43951</v>
      </c>
      <c r="B4268">
        <v>1.247147</v>
      </c>
      <c r="C4268">
        <f t="shared" si="68"/>
        <v>2.8804284456381245E-3</v>
      </c>
      <c r="D4268">
        <f>(C4268-meanrtn)/stdevrtns</f>
        <v>0.48542746676729193</v>
      </c>
    </row>
    <row r="4269" spans="1:4" x14ac:dyDescent="0.3">
      <c r="A4269" s="1">
        <v>43952</v>
      </c>
      <c r="B4269">
        <v>1.2581469999999999</v>
      </c>
      <c r="C4269">
        <f t="shared" si="68"/>
        <v>8.8201310671475758E-3</v>
      </c>
      <c r="D4269">
        <f>(C4269-meanrtn)/stdevrtns</f>
        <v>1.4698752984516485</v>
      </c>
    </row>
    <row r="4270" spans="1:4" x14ac:dyDescent="0.3">
      <c r="A4270" s="1">
        <v>43955</v>
      </c>
      <c r="B4270">
        <v>1.2454229999999999</v>
      </c>
      <c r="C4270">
        <f t="shared" si="68"/>
        <v>-1.0113285649451104E-2</v>
      </c>
      <c r="D4270">
        <f>(C4270-meanrtn)/stdevrtns</f>
        <v>-1.6681540307498897</v>
      </c>
    </row>
    <row r="4271" spans="1:4" x14ac:dyDescent="0.3">
      <c r="A4271" s="1">
        <v>43956</v>
      </c>
      <c r="B4271">
        <v>1.2445550000000001</v>
      </c>
      <c r="C4271">
        <f t="shared" si="68"/>
        <v>-6.9695195929404623E-4</v>
      </c>
      <c r="D4271">
        <f>(C4271-meanrtn)/stdevrtns</f>
        <v>-0.10748847653133121</v>
      </c>
    </row>
    <row r="4272" spans="1:4" x14ac:dyDescent="0.3">
      <c r="A4272" s="1">
        <v>43957</v>
      </c>
      <c r="B4272">
        <v>1.2444200000000001</v>
      </c>
      <c r="C4272">
        <f t="shared" si="68"/>
        <v>-1.0847250623716608E-4</v>
      </c>
      <c r="D4272">
        <f>(C4272-meanrtn)/stdevrtns</f>
        <v>-9.9537414665279416E-3</v>
      </c>
    </row>
    <row r="4273" spans="1:4" x14ac:dyDescent="0.3">
      <c r="A4273" s="1">
        <v>43958</v>
      </c>
      <c r="B4273">
        <v>1.232559</v>
      </c>
      <c r="C4273">
        <f t="shared" si="68"/>
        <v>-9.5313479371917208E-3</v>
      </c>
      <c r="D4273">
        <f>(C4273-meanrtn)/stdevrtns</f>
        <v>-1.571703525478042</v>
      </c>
    </row>
    <row r="4274" spans="1:4" x14ac:dyDescent="0.3">
      <c r="A4274" s="1">
        <v>43959</v>
      </c>
      <c r="B4274">
        <v>1.2375929999999999</v>
      </c>
      <c r="C4274">
        <f t="shared" si="68"/>
        <v>4.0841858280212008E-3</v>
      </c>
      <c r="D4274">
        <f>(C4274-meanrtn)/stdevrtns</f>
        <v>0.68493852320801052</v>
      </c>
    </row>
    <row r="4275" spans="1:4" x14ac:dyDescent="0.3">
      <c r="A4275" s="1">
        <v>43962</v>
      </c>
      <c r="B4275">
        <v>1.2417419999999999</v>
      </c>
      <c r="C4275">
        <f t="shared" si="68"/>
        <v>3.3524753291267473E-3</v>
      </c>
      <c r="D4275">
        <f>(C4275-meanrtn)/stdevrtns</f>
        <v>0.56366463797194022</v>
      </c>
    </row>
    <row r="4276" spans="1:4" x14ac:dyDescent="0.3">
      <c r="A4276" s="1">
        <v>43963</v>
      </c>
      <c r="B4276">
        <v>1.2333499999999999</v>
      </c>
      <c r="C4276">
        <f t="shared" si="68"/>
        <v>-6.7582476875228149E-3</v>
      </c>
      <c r="D4276">
        <f>(C4276-meanrtn)/stdevrtns</f>
        <v>-1.1120891808231681</v>
      </c>
    </row>
    <row r="4277" spans="1:4" x14ac:dyDescent="0.3">
      <c r="A4277" s="1">
        <v>43964</v>
      </c>
      <c r="B4277">
        <v>1.22549</v>
      </c>
      <c r="C4277">
        <f t="shared" si="68"/>
        <v>-6.3728868528803492E-3</v>
      </c>
      <c r="D4277">
        <f>(C4277-meanrtn)/stdevrtns</f>
        <v>-1.0482193775259383</v>
      </c>
    </row>
    <row r="4278" spans="1:4" x14ac:dyDescent="0.3">
      <c r="A4278" s="1">
        <v>43965</v>
      </c>
      <c r="B4278">
        <v>1.2241550000000001</v>
      </c>
      <c r="C4278">
        <f t="shared" si="68"/>
        <v>-1.0893601742975169E-3</v>
      </c>
      <c r="D4278">
        <f>(C4278-meanrtn)/stdevrtns</f>
        <v>-0.17252631445209973</v>
      </c>
    </row>
    <row r="4279" spans="1:4" x14ac:dyDescent="0.3">
      <c r="A4279" s="1">
        <v>43966</v>
      </c>
      <c r="B4279">
        <v>1.2233909999999999</v>
      </c>
      <c r="C4279">
        <f t="shared" si="68"/>
        <v>-6.241039737616633E-4</v>
      </c>
      <c r="D4279">
        <f>(C4279-meanrtn)/stdevrtns</f>
        <v>-9.5414632776893743E-2</v>
      </c>
    </row>
    <row r="4280" spans="1:4" x14ac:dyDescent="0.3">
      <c r="A4280" s="1">
        <v>43969</v>
      </c>
      <c r="B4280">
        <v>1.2085760000000001</v>
      </c>
      <c r="C4280">
        <f t="shared" si="68"/>
        <v>-1.2109783380783251E-2</v>
      </c>
      <c r="D4280">
        <f>(C4280-meanrtn)/stdevrtns</f>
        <v>-1.9990540753843113</v>
      </c>
    </row>
    <row r="4281" spans="1:4" x14ac:dyDescent="0.3">
      <c r="A4281" s="1">
        <v>43970</v>
      </c>
      <c r="B4281">
        <v>1.2200029999999999</v>
      </c>
      <c r="C4281">
        <f t="shared" si="68"/>
        <v>9.4549287756829966E-3</v>
      </c>
      <c r="D4281">
        <f>(C4281-meanrtn)/stdevrtns</f>
        <v>1.5750868330262671</v>
      </c>
    </row>
    <row r="4282" spans="1:4" x14ac:dyDescent="0.3">
      <c r="A4282" s="1">
        <v>43971</v>
      </c>
      <c r="B4282">
        <v>1.225595</v>
      </c>
      <c r="C4282">
        <f t="shared" si="68"/>
        <v>4.5835952862411334E-3</v>
      </c>
      <c r="D4282">
        <f>(C4282-meanrtn)/stdevrtns</f>
        <v>0.76771077454714098</v>
      </c>
    </row>
    <row r="4283" spans="1:4" x14ac:dyDescent="0.3">
      <c r="A4283" s="1">
        <v>43972</v>
      </c>
      <c r="B4283">
        <v>1.2236910000000001</v>
      </c>
      <c r="C4283">
        <f t="shared" si="68"/>
        <v>-1.5535311420166579E-3</v>
      </c>
      <c r="D4283">
        <f>(C4283-meanrtn)/stdevrtns</f>
        <v>-0.24945812936269421</v>
      </c>
    </row>
    <row r="4284" spans="1:4" x14ac:dyDescent="0.3">
      <c r="A4284" s="1">
        <v>43973</v>
      </c>
      <c r="B4284">
        <v>1.222345</v>
      </c>
      <c r="C4284">
        <f t="shared" si="68"/>
        <v>-1.0999508862940639E-3</v>
      </c>
      <c r="D4284">
        <f>(C4284-meanrtn)/stdevrtns</f>
        <v>-0.17428162176718964</v>
      </c>
    </row>
    <row r="4285" spans="1:4" x14ac:dyDescent="0.3">
      <c r="A4285" s="1">
        <v>43976</v>
      </c>
      <c r="B4285">
        <v>1.2186060000000001</v>
      </c>
      <c r="C4285">
        <f t="shared" si="68"/>
        <v>-3.0588745403302151E-3</v>
      </c>
      <c r="D4285">
        <f>(C4285-meanrtn)/stdevrtns</f>
        <v>-0.49895412922026622</v>
      </c>
    </row>
    <row r="4286" spans="1:4" x14ac:dyDescent="0.3">
      <c r="A4286" s="1">
        <v>43977</v>
      </c>
      <c r="B4286">
        <v>1.220137</v>
      </c>
      <c r="C4286">
        <f t="shared" si="68"/>
        <v>1.2563535712116541E-3</v>
      </c>
      <c r="D4286">
        <f>(C4286-meanrtn)/stdevrtns</f>
        <v>0.21625288169086321</v>
      </c>
    </row>
    <row r="4287" spans="1:4" x14ac:dyDescent="0.3">
      <c r="A4287" s="1">
        <v>43978</v>
      </c>
      <c r="B4287">
        <v>1.2335020000000001</v>
      </c>
      <c r="C4287">
        <f t="shared" si="68"/>
        <v>1.0953687987496545E-2</v>
      </c>
      <c r="D4287">
        <f>(C4287-meanrtn)/stdevrtns</f>
        <v>1.8234915681292927</v>
      </c>
    </row>
    <row r="4288" spans="1:4" x14ac:dyDescent="0.3">
      <c r="A4288" s="1">
        <v>43979</v>
      </c>
      <c r="B4288">
        <v>1.2264820000000001</v>
      </c>
      <c r="C4288">
        <f t="shared" si="68"/>
        <v>-5.6911135936545103E-3</v>
      </c>
      <c r="D4288">
        <f>(C4288-meanrtn)/stdevrtns</f>
        <v>-0.93522210316497201</v>
      </c>
    </row>
    <row r="4289" spans="1:4" x14ac:dyDescent="0.3">
      <c r="A4289" s="1">
        <v>43980</v>
      </c>
      <c r="B4289">
        <v>1.2321489999999999</v>
      </c>
      <c r="C4289">
        <f t="shared" si="68"/>
        <v>4.6205325475627574E-3</v>
      </c>
      <c r="D4289">
        <f>(C4289-meanrtn)/stdevrtns</f>
        <v>0.77383276568601556</v>
      </c>
    </row>
    <row r="4290" spans="1:4" x14ac:dyDescent="0.3">
      <c r="A4290" s="1">
        <v>43983</v>
      </c>
      <c r="B4290">
        <v>1.2347999999999999</v>
      </c>
      <c r="C4290">
        <f t="shared" si="68"/>
        <v>2.1515255054380266E-3</v>
      </c>
      <c r="D4290">
        <f>(C4290-meanrtn)/stdevrtns</f>
        <v>0.3646189070273122</v>
      </c>
    </row>
    <row r="4291" spans="1:4" x14ac:dyDescent="0.3">
      <c r="A4291" s="1">
        <v>43984</v>
      </c>
      <c r="B4291">
        <v>1.248704</v>
      </c>
      <c r="C4291">
        <f t="shared" si="68"/>
        <v>1.1260123096857904E-2</v>
      </c>
      <c r="D4291">
        <f>(C4291-meanrtn)/stdevrtns</f>
        <v>1.8742802015316307</v>
      </c>
    </row>
    <row r="4292" spans="1:4" x14ac:dyDescent="0.3">
      <c r="A4292" s="1">
        <v>43985</v>
      </c>
      <c r="B4292">
        <v>1.2581469999999999</v>
      </c>
      <c r="C4292">
        <f t="shared" ref="C4292:C4355" si="69">(B4292-B4291)/B4291</f>
        <v>7.5622405309824165E-3</v>
      </c>
      <c r="D4292">
        <f>(C4292-meanrtn)/stdevrtns</f>
        <v>1.2613921992574724</v>
      </c>
    </row>
    <row r="4293" spans="1:4" x14ac:dyDescent="0.3">
      <c r="A4293" s="1">
        <v>43986</v>
      </c>
      <c r="B4293">
        <v>1.257514</v>
      </c>
      <c r="C4293">
        <f t="shared" si="69"/>
        <v>-5.0312085948612021E-4</v>
      </c>
      <c r="D4293">
        <f>(C4293-meanrtn)/stdevrtns</f>
        <v>-7.5362860473062149E-2</v>
      </c>
    </row>
    <row r="4294" spans="1:4" x14ac:dyDescent="0.3">
      <c r="A4294" s="1">
        <v>43987</v>
      </c>
      <c r="B4294">
        <v>1.260907</v>
      </c>
      <c r="C4294">
        <f t="shared" si="69"/>
        <v>2.6981806961989922E-3</v>
      </c>
      <c r="D4294">
        <f>(C4294-meanrtn)/stdevrtns</f>
        <v>0.45522167816181569</v>
      </c>
    </row>
    <row r="4295" spans="1:4" x14ac:dyDescent="0.3">
      <c r="A4295" s="1">
        <v>43990</v>
      </c>
      <c r="B4295">
        <v>1.272572</v>
      </c>
      <c r="C4295">
        <f t="shared" si="69"/>
        <v>9.2512770569122358E-3</v>
      </c>
      <c r="D4295">
        <f>(C4295-meanrtn)/stdevrtns</f>
        <v>1.541333545069282</v>
      </c>
    </row>
    <row r="4296" spans="1:4" x14ac:dyDescent="0.3">
      <c r="A4296" s="1">
        <v>43991</v>
      </c>
      <c r="B4296">
        <v>1.273528</v>
      </c>
      <c r="C4296">
        <f t="shared" si="69"/>
        <v>7.5123450775276912E-4</v>
      </c>
      <c r="D4296">
        <f>(C4296-meanrtn)/stdevrtns</f>
        <v>0.1325343189190854</v>
      </c>
    </row>
    <row r="4297" spans="1:4" x14ac:dyDescent="0.3">
      <c r="A4297" s="1">
        <v>43992</v>
      </c>
      <c r="B4297">
        <v>1.2711330000000001</v>
      </c>
      <c r="C4297">
        <f t="shared" si="69"/>
        <v>-1.8806025466263207E-3</v>
      </c>
      <c r="D4297">
        <f>(C4297-meanrtn)/stdevrtns</f>
        <v>-0.30366702761762299</v>
      </c>
    </row>
    <row r="4298" spans="1:4" x14ac:dyDescent="0.3">
      <c r="A4298" s="1">
        <v>43993</v>
      </c>
      <c r="B4298">
        <v>1.2710680000000001</v>
      </c>
      <c r="C4298">
        <f t="shared" si="69"/>
        <v>-5.1135483069027187E-5</v>
      </c>
      <c r="D4298">
        <f>(C4298-meanrtn)/stdevrtns</f>
        <v>-4.5068858157296099E-4</v>
      </c>
    </row>
    <row r="4299" spans="1:4" x14ac:dyDescent="0.3">
      <c r="A4299" s="1">
        <v>43994</v>
      </c>
      <c r="B4299">
        <v>1.257703</v>
      </c>
      <c r="C4299">
        <f t="shared" si="69"/>
        <v>-1.0514779697073698E-2</v>
      </c>
      <c r="D4299">
        <f>(C4299-meanrtn)/stdevrtns</f>
        <v>-1.7346977568928315</v>
      </c>
    </row>
    <row r="4300" spans="1:4" x14ac:dyDescent="0.3">
      <c r="A4300" s="1">
        <v>43997</v>
      </c>
      <c r="B4300">
        <v>1.2508760000000001</v>
      </c>
      <c r="C4300">
        <f t="shared" si="69"/>
        <v>-5.4281495710830907E-3</v>
      </c>
      <c r="D4300">
        <f>(C4300-meanrtn)/stdevrtns</f>
        <v>-0.89163837880578134</v>
      </c>
    </row>
    <row r="4301" spans="1:4" x14ac:dyDescent="0.3">
      <c r="A4301" s="1">
        <v>43998</v>
      </c>
      <c r="B4301">
        <v>1.2637750000000001</v>
      </c>
      <c r="C4301">
        <f t="shared" si="69"/>
        <v>1.0311973369062954E-2</v>
      </c>
      <c r="D4301">
        <f>(C4301-meanrtn)/stdevrtns</f>
        <v>1.7171336231390164</v>
      </c>
    </row>
    <row r="4302" spans="1:4" x14ac:dyDescent="0.3">
      <c r="A4302" s="1">
        <v>43999</v>
      </c>
      <c r="B4302">
        <v>1.2585109999999999</v>
      </c>
      <c r="C4302">
        <f t="shared" si="69"/>
        <v>-4.1652984115053372E-3</v>
      </c>
      <c r="D4302">
        <f>(C4302-meanrtn)/stdevrtns</f>
        <v>-0.682333104618425</v>
      </c>
    </row>
    <row r="4303" spans="1:4" x14ac:dyDescent="0.3">
      <c r="A4303" s="1">
        <v>44000</v>
      </c>
      <c r="B4303">
        <v>1.2552719999999999</v>
      </c>
      <c r="C4303">
        <f t="shared" si="69"/>
        <v>-2.5736763524514222E-3</v>
      </c>
      <c r="D4303">
        <f>(C4303-meanrtn)/stdevrtns</f>
        <v>-0.41853725746228732</v>
      </c>
    </row>
    <row r="4304" spans="1:4" x14ac:dyDescent="0.3">
      <c r="A4304" s="1">
        <v>44001</v>
      </c>
      <c r="B4304">
        <v>1.2426839999999999</v>
      </c>
      <c r="C4304">
        <f t="shared" si="69"/>
        <v>-1.002810546240181E-2</v>
      </c>
      <c r="D4304">
        <f>(C4304-meanrtn)/stdevrtns</f>
        <v>-1.6540362447618371</v>
      </c>
    </row>
    <row r="4305" spans="1:4" x14ac:dyDescent="0.3">
      <c r="A4305" s="1">
        <v>44004</v>
      </c>
      <c r="B4305">
        <v>1.234812</v>
      </c>
      <c r="C4305">
        <f t="shared" si="69"/>
        <v>-6.3346755892888934E-3</v>
      </c>
      <c r="D4305">
        <f>(C4305-meanrtn)/stdevrtns</f>
        <v>-1.0418862329250107</v>
      </c>
    </row>
    <row r="4306" spans="1:4" x14ac:dyDescent="0.3">
      <c r="A4306" s="1">
        <v>44005</v>
      </c>
      <c r="B4306">
        <v>1.250156</v>
      </c>
      <c r="C4306">
        <f t="shared" si="69"/>
        <v>1.2426183095078461E-2</v>
      </c>
      <c r="D4306">
        <f>(C4306-meanrtn)/stdevrtns</f>
        <v>2.0675432838794086</v>
      </c>
    </row>
    <row r="4307" spans="1:4" x14ac:dyDescent="0.3">
      <c r="A4307" s="1">
        <v>44006</v>
      </c>
      <c r="B4307">
        <v>1.252489</v>
      </c>
      <c r="C4307">
        <f t="shared" si="69"/>
        <v>1.8661671023455619E-3</v>
      </c>
      <c r="D4307">
        <f>(C4307-meanrtn)/stdevrtns</f>
        <v>0.31732353231276172</v>
      </c>
    </row>
    <row r="4308" spans="1:4" x14ac:dyDescent="0.3">
      <c r="A4308" s="1">
        <v>44007</v>
      </c>
      <c r="B4308">
        <v>1.241295</v>
      </c>
      <c r="C4308">
        <f t="shared" si="69"/>
        <v>-8.9374038414708045E-3</v>
      </c>
      <c r="D4308">
        <f>(C4308-meanrtn)/stdevrtns</f>
        <v>-1.4732630791404118</v>
      </c>
    </row>
    <row r="4309" spans="1:4" x14ac:dyDescent="0.3">
      <c r="A4309" s="1">
        <v>44008</v>
      </c>
      <c r="B4309">
        <v>1.242545</v>
      </c>
      <c r="C4309">
        <f t="shared" si="69"/>
        <v>1.0070128373996297E-3</v>
      </c>
      <c r="D4309">
        <f>(C4309-meanrtn)/stdevrtns</f>
        <v>0.17492708469507784</v>
      </c>
    </row>
    <row r="4310" spans="1:4" x14ac:dyDescent="0.3">
      <c r="A4310" s="1">
        <v>44011</v>
      </c>
      <c r="B4310">
        <v>1.2342169999999999</v>
      </c>
      <c r="C4310">
        <f t="shared" si="69"/>
        <v>-6.7023729522875334E-3</v>
      </c>
      <c r="D4310">
        <f>(C4310-meanrtn)/stdevrtns</f>
        <v>-1.1028284879142138</v>
      </c>
    </row>
    <row r="4311" spans="1:4" x14ac:dyDescent="0.3">
      <c r="A4311" s="1">
        <v>44012</v>
      </c>
      <c r="B4311">
        <v>1.2310570000000001</v>
      </c>
      <c r="C4311">
        <f t="shared" si="69"/>
        <v>-2.5603277219482714E-3</v>
      </c>
      <c r="D4311">
        <f>(C4311-meanrtn)/stdevrtns</f>
        <v>-0.41632485202852115</v>
      </c>
    </row>
    <row r="4312" spans="1:4" x14ac:dyDescent="0.3">
      <c r="A4312" s="1">
        <v>44013</v>
      </c>
      <c r="B4312">
        <v>1.2389269999999999</v>
      </c>
      <c r="C4312">
        <f t="shared" si="69"/>
        <v>6.3928802646829683E-3</v>
      </c>
      <c r="D4312">
        <f>(C4312-meanrtn)/stdevrtns</f>
        <v>1.067582129634191</v>
      </c>
    </row>
    <row r="4313" spans="1:4" x14ac:dyDescent="0.3">
      <c r="A4313" s="1">
        <v>44014</v>
      </c>
      <c r="B4313">
        <v>1.2464789999999999</v>
      </c>
      <c r="C4313">
        <f t="shared" si="69"/>
        <v>6.0955972385782244E-3</v>
      </c>
      <c r="D4313">
        <f>(C4313-meanrtn)/stdevrtns</f>
        <v>1.0183103648516292</v>
      </c>
    </row>
    <row r="4314" spans="1:4" x14ac:dyDescent="0.3">
      <c r="A4314" s="1">
        <v>44015</v>
      </c>
      <c r="B4314">
        <v>1.24664</v>
      </c>
      <c r="C4314">
        <f t="shared" si="69"/>
        <v>1.2916382867266739E-4</v>
      </c>
      <c r="D4314">
        <f>(C4314-meanrtn)/stdevrtns</f>
        <v>2.9432165461578848E-2</v>
      </c>
    </row>
    <row r="4315" spans="1:4" x14ac:dyDescent="0.3">
      <c r="A4315" s="1">
        <v>44018</v>
      </c>
      <c r="B4315">
        <v>1.247552</v>
      </c>
      <c r="C4315">
        <f t="shared" si="69"/>
        <v>7.3156645061928376E-4</v>
      </c>
      <c r="D4315">
        <f>(C4315-meanrtn)/stdevrtns</f>
        <v>0.12927453009929038</v>
      </c>
    </row>
    <row r="4316" spans="1:4" x14ac:dyDescent="0.3">
      <c r="A4316" s="1">
        <v>44019</v>
      </c>
      <c r="B4316">
        <v>1.249547</v>
      </c>
      <c r="C4316">
        <f t="shared" si="69"/>
        <v>1.5991317395988055E-3</v>
      </c>
      <c r="D4316">
        <f>(C4316-meanrtn)/stdevrtns</f>
        <v>0.27306502299158564</v>
      </c>
    </row>
    <row r="4317" spans="1:4" x14ac:dyDescent="0.3">
      <c r="A4317" s="1">
        <v>44020</v>
      </c>
      <c r="B4317">
        <v>1.2542800000000001</v>
      </c>
      <c r="C4317">
        <f t="shared" si="69"/>
        <v>3.7877726888225082E-3</v>
      </c>
      <c r="D4317">
        <f>(C4317-meanrtn)/stdevrtns</f>
        <v>0.63581093370374842</v>
      </c>
    </row>
    <row r="4318" spans="1:4" x14ac:dyDescent="0.3">
      <c r="A4318" s="1">
        <v>44021</v>
      </c>
      <c r="B4318">
        <v>1.261352</v>
      </c>
      <c r="C4318">
        <f t="shared" si="69"/>
        <v>5.6382944797014759E-3</v>
      </c>
      <c r="D4318">
        <f>(C4318-meanrtn)/stdevrtns</f>
        <v>0.94251688863125194</v>
      </c>
    </row>
    <row r="4319" spans="1:4" x14ac:dyDescent="0.3">
      <c r="A4319" s="1">
        <v>44022</v>
      </c>
      <c r="B4319">
        <v>1.2605090000000001</v>
      </c>
      <c r="C4319">
        <f t="shared" si="69"/>
        <v>-6.6833048982356004E-4</v>
      </c>
      <c r="D4319">
        <f>(C4319-meanrtn)/stdevrtns</f>
        <v>-0.10274474686079095</v>
      </c>
    </row>
    <row r="4320" spans="1:4" x14ac:dyDescent="0.3">
      <c r="A4320" s="1">
        <v>44025</v>
      </c>
      <c r="B4320">
        <v>1.262751</v>
      </c>
      <c r="C4320">
        <f t="shared" si="69"/>
        <v>1.7786465626186366E-3</v>
      </c>
      <c r="D4320">
        <f>(C4320-meanrtn)/stdevrtns</f>
        <v>0.30281785567332742</v>
      </c>
    </row>
    <row r="4321" spans="1:4" x14ac:dyDescent="0.3">
      <c r="A4321" s="1">
        <v>44026</v>
      </c>
      <c r="B4321">
        <v>1.2551779999999999</v>
      </c>
      <c r="C4321">
        <f t="shared" si="69"/>
        <v>-5.9972235222938266E-3</v>
      </c>
      <c r="D4321">
        <f>(C4321-meanrtn)/stdevrtns</f>
        <v>-0.98595684103126713</v>
      </c>
    </row>
    <row r="4322" spans="1:4" x14ac:dyDescent="0.3">
      <c r="A4322" s="1">
        <v>44027</v>
      </c>
      <c r="B4322">
        <v>1.256929</v>
      </c>
      <c r="C4322">
        <f t="shared" si="69"/>
        <v>1.3950212639163993E-3</v>
      </c>
      <c r="D4322">
        <f>(C4322-meanrtn)/stdevrtns</f>
        <v>0.23923570054672838</v>
      </c>
    </row>
    <row r="4323" spans="1:4" x14ac:dyDescent="0.3">
      <c r="A4323" s="1">
        <v>44028</v>
      </c>
      <c r="B4323">
        <v>1.2591000000000001</v>
      </c>
      <c r="C4323">
        <f t="shared" si="69"/>
        <v>1.7272256428168538E-3</v>
      </c>
      <c r="D4323">
        <f>(C4323-meanrtn)/stdevrtns</f>
        <v>0.29429533927347173</v>
      </c>
    </row>
    <row r="4324" spans="1:4" x14ac:dyDescent="0.3">
      <c r="A4324" s="1">
        <v>44029</v>
      </c>
      <c r="B4324">
        <v>1.2559499999999999</v>
      </c>
      <c r="C4324">
        <f t="shared" si="69"/>
        <v>-2.5017869907078133E-3</v>
      </c>
      <c r="D4324">
        <f>(C4324-meanrtn)/stdevrtns</f>
        <v>-0.40662229625978807</v>
      </c>
    </row>
    <row r="4325" spans="1:4" x14ac:dyDescent="0.3">
      <c r="A4325" s="1">
        <v>44032</v>
      </c>
      <c r="B4325">
        <v>1.257118</v>
      </c>
      <c r="C4325">
        <f t="shared" si="69"/>
        <v>9.2997332696369913E-4</v>
      </c>
      <c r="D4325">
        <f>(C4325-meanrtn)/stdevrtns</f>
        <v>0.16215853653106171</v>
      </c>
    </row>
    <row r="4326" spans="1:4" x14ac:dyDescent="0.3">
      <c r="A4326" s="1">
        <v>44033</v>
      </c>
      <c r="B4326">
        <v>1.2661750000000001</v>
      </c>
      <c r="C4326">
        <f t="shared" si="69"/>
        <v>7.2045742722640941E-3</v>
      </c>
      <c r="D4326">
        <f>(C4326-meanrtn)/stdevrtns</f>
        <v>1.2021125020573407</v>
      </c>
    </row>
    <row r="4327" spans="1:4" x14ac:dyDescent="0.3">
      <c r="A4327" s="1">
        <v>44034</v>
      </c>
      <c r="B4327">
        <v>1.273075</v>
      </c>
      <c r="C4327">
        <f t="shared" si="69"/>
        <v>5.449483681165641E-3</v>
      </c>
      <c r="D4327">
        <f>(C4327-meanrtn)/stdevrtns</f>
        <v>0.91122333858985971</v>
      </c>
    </row>
    <row r="4328" spans="1:4" x14ac:dyDescent="0.3">
      <c r="A4328" s="1">
        <v>44035</v>
      </c>
      <c r="B4328">
        <v>1.272993</v>
      </c>
      <c r="C4328">
        <f t="shared" si="69"/>
        <v>-6.441097343040707E-5</v>
      </c>
      <c r="D4328">
        <f>(C4328-meanrtn)/stdevrtns</f>
        <v>-2.6509717495349595E-3</v>
      </c>
    </row>
    <row r="4329" spans="1:4" x14ac:dyDescent="0.3">
      <c r="A4329" s="1">
        <v>44036</v>
      </c>
      <c r="B4329">
        <v>1.273075</v>
      </c>
      <c r="C4329">
        <f t="shared" si="69"/>
        <v>6.4415122471149066E-5</v>
      </c>
      <c r="D4329">
        <f>(C4329-meanrtn)/stdevrtns</f>
        <v>1.8700698334988334E-2</v>
      </c>
    </row>
    <row r="4330" spans="1:4" x14ac:dyDescent="0.3">
      <c r="A4330" s="1">
        <v>44039</v>
      </c>
      <c r="B4330">
        <v>1.2795909999999999</v>
      </c>
      <c r="C4330">
        <f t="shared" si="69"/>
        <v>5.11831588869467E-3</v>
      </c>
      <c r="D4330">
        <f>(C4330-meanrtn)/stdevrtns</f>
        <v>0.85633550396306624</v>
      </c>
    </row>
    <row r="4331" spans="1:4" x14ac:dyDescent="0.3">
      <c r="A4331" s="1">
        <v>44040</v>
      </c>
      <c r="B4331">
        <v>1.288975</v>
      </c>
      <c r="C4331">
        <f t="shared" si="69"/>
        <v>7.3335933122380976E-3</v>
      </c>
      <c r="D4331">
        <f>(C4331-meanrtn)/stdevrtns</f>
        <v>1.2234961507417805</v>
      </c>
    </row>
    <row r="4332" spans="1:4" x14ac:dyDescent="0.3">
      <c r="A4332" s="1">
        <v>44041</v>
      </c>
      <c r="B4332">
        <v>1.2923739999999999</v>
      </c>
      <c r="C4332">
        <f t="shared" si="69"/>
        <v>2.636978994937784E-3</v>
      </c>
      <c r="D4332">
        <f>(C4332-meanrtn)/stdevrtns</f>
        <v>0.44507809254124819</v>
      </c>
    </row>
    <row r="4333" spans="1:4" x14ac:dyDescent="0.3">
      <c r="A4333" s="1">
        <v>44042</v>
      </c>
      <c r="B4333">
        <v>1.298246</v>
      </c>
      <c r="C4333">
        <f t="shared" si="69"/>
        <v>4.5435763950683779E-3</v>
      </c>
      <c r="D4333">
        <f>(C4333-meanrtn)/stdevrtns</f>
        <v>0.7610780332885525</v>
      </c>
    </row>
    <row r="4334" spans="1:4" x14ac:dyDescent="0.3">
      <c r="A4334" s="1">
        <v>44043</v>
      </c>
      <c r="B4334">
        <v>1.311785</v>
      </c>
      <c r="C4334">
        <f t="shared" si="69"/>
        <v>1.0428686088768976E-2</v>
      </c>
      <c r="D4334">
        <f>(C4334-meanrtn)/stdevrtns</f>
        <v>1.7364776191546585</v>
      </c>
    </row>
    <row r="4335" spans="1:4" x14ac:dyDescent="0.3">
      <c r="A4335" s="1">
        <v>44046</v>
      </c>
      <c r="B4335">
        <v>1.3101700000000001</v>
      </c>
      <c r="C4335">
        <f t="shared" si="69"/>
        <v>-1.2311468723913766E-3</v>
      </c>
      <c r="D4335">
        <f>(C4335-meanrtn)/stdevrtns</f>
        <v>-0.19602607805890351</v>
      </c>
    </row>
    <row r="4336" spans="1:4" x14ac:dyDescent="0.3">
      <c r="A4336" s="1">
        <v>44047</v>
      </c>
      <c r="B4336">
        <v>1.3078730000000001</v>
      </c>
      <c r="C4336">
        <f t="shared" si="69"/>
        <v>-1.7532075990138634E-3</v>
      </c>
      <c r="D4336">
        <f>(C4336-meanrtn)/stdevrtns</f>
        <v>-0.28255255641657911</v>
      </c>
    </row>
    <row r="4337" spans="1:4" x14ac:dyDescent="0.3">
      <c r="A4337" s="1">
        <v>44048</v>
      </c>
      <c r="B4337">
        <v>1.3086089999999999</v>
      </c>
      <c r="C4337">
        <f t="shared" si="69"/>
        <v>5.6274577118714726E-4</v>
      </c>
      <c r="D4337">
        <f>(C4337-meanrtn)/stdevrtns</f>
        <v>0.10129414751100996</v>
      </c>
    </row>
    <row r="4338" spans="1:4" x14ac:dyDescent="0.3">
      <c r="A4338" s="1">
        <v>44049</v>
      </c>
      <c r="B4338">
        <v>1.3126800000000001</v>
      </c>
      <c r="C4338">
        <f t="shared" si="69"/>
        <v>3.1109368803058498E-3</v>
      </c>
      <c r="D4338">
        <f>(C4338-meanrtn)/stdevrtns</f>
        <v>0.52363199368617153</v>
      </c>
    </row>
    <row r="4339" spans="1:4" x14ac:dyDescent="0.3">
      <c r="A4339" s="1">
        <v>44050</v>
      </c>
      <c r="B4339">
        <v>1.3138019999999999</v>
      </c>
      <c r="C4339">
        <f t="shared" si="69"/>
        <v>8.5473992138209256E-4</v>
      </c>
      <c r="D4339">
        <f>(C4339-meanrtn)/stdevrtns</f>
        <v>0.149689332647548</v>
      </c>
    </row>
    <row r="4340" spans="1:4" x14ac:dyDescent="0.3">
      <c r="A4340" s="1">
        <v>44053</v>
      </c>
      <c r="B4340">
        <v>1.3052269999999999</v>
      </c>
      <c r="C4340">
        <f t="shared" si="69"/>
        <v>-6.5268586895133361E-3</v>
      </c>
      <c r="D4340">
        <f>(C4340-meanrtn)/stdevrtns</f>
        <v>-1.073738709110805</v>
      </c>
    </row>
    <row r="4341" spans="1:4" x14ac:dyDescent="0.3">
      <c r="A4341" s="1">
        <v>44054</v>
      </c>
      <c r="B4341">
        <v>1.3077190000000001</v>
      </c>
      <c r="C4341">
        <f t="shared" si="69"/>
        <v>1.9092464375929711E-3</v>
      </c>
      <c r="D4341">
        <f>(C4341-meanrtn)/stdevrtns</f>
        <v>0.32446351235505183</v>
      </c>
    </row>
    <row r="4342" spans="1:4" x14ac:dyDescent="0.3">
      <c r="A4342" s="1">
        <v>44055</v>
      </c>
      <c r="B4342">
        <v>1.3050740000000001</v>
      </c>
      <c r="C4342">
        <f t="shared" si="69"/>
        <v>-2.0226057738703868E-3</v>
      </c>
      <c r="D4342">
        <f>(C4342-meanrtn)/stdevrtns</f>
        <v>-0.3272026788211635</v>
      </c>
    </row>
    <row r="4343" spans="1:4" x14ac:dyDescent="0.3">
      <c r="A4343" s="1">
        <v>44056</v>
      </c>
      <c r="B4343">
        <v>1.304802</v>
      </c>
      <c r="C4343">
        <f t="shared" si="69"/>
        <v>-2.0841730047495389E-4</v>
      </c>
      <c r="D4343">
        <f>(C4343-meanrtn)/stdevrtns</f>
        <v>-2.6518617226339216E-2</v>
      </c>
    </row>
    <row r="4344" spans="1:4" x14ac:dyDescent="0.3">
      <c r="A4344" s="1">
        <v>44057</v>
      </c>
      <c r="B4344">
        <v>1.307053</v>
      </c>
      <c r="C4344">
        <f t="shared" si="69"/>
        <v>1.7251659638780467E-3</v>
      </c>
      <c r="D4344">
        <f>(C4344-meanrtn)/stdevrtns</f>
        <v>0.29395396755935055</v>
      </c>
    </row>
    <row r="4345" spans="1:4" x14ac:dyDescent="0.3">
      <c r="A4345" s="1">
        <v>44060</v>
      </c>
      <c r="B4345">
        <v>1.3107</v>
      </c>
      <c r="C4345">
        <f t="shared" si="69"/>
        <v>2.7902464551934434E-3</v>
      </c>
      <c r="D4345">
        <f>(C4345-meanrtn)/stdevrtns</f>
        <v>0.47048068060517861</v>
      </c>
    </row>
    <row r="4346" spans="1:4" x14ac:dyDescent="0.3">
      <c r="A4346" s="1">
        <v>44061</v>
      </c>
      <c r="B4346">
        <v>1.3107880000000001</v>
      </c>
      <c r="C4346">
        <f t="shared" si="69"/>
        <v>6.7139696345531403E-5</v>
      </c>
      <c r="D4346">
        <f>(C4346-meanrtn)/stdevrtns</f>
        <v>1.9152269905791639E-2</v>
      </c>
    </row>
    <row r="4347" spans="1:4" x14ac:dyDescent="0.3">
      <c r="A4347" s="1">
        <v>44062</v>
      </c>
      <c r="B4347">
        <v>1.325399</v>
      </c>
      <c r="C4347">
        <f t="shared" si="69"/>
        <v>1.114673005856014E-2</v>
      </c>
      <c r="D4347">
        <f>(C4347-meanrtn)/stdevrtns</f>
        <v>1.8554864103616668</v>
      </c>
    </row>
    <row r="4348" spans="1:4" x14ac:dyDescent="0.3">
      <c r="A4348" s="1">
        <v>44063</v>
      </c>
      <c r="B4348">
        <v>1.31108</v>
      </c>
      <c r="C4348">
        <f t="shared" si="69"/>
        <v>-1.0803539160660278E-2</v>
      </c>
      <c r="D4348">
        <f>(C4348-meanrtn)/stdevrtns</f>
        <v>-1.7825568242435645</v>
      </c>
    </row>
    <row r="4349" spans="1:4" x14ac:dyDescent="0.3">
      <c r="A4349" s="1">
        <v>44064</v>
      </c>
      <c r="B4349">
        <v>1.3220339999999999</v>
      </c>
      <c r="C4349">
        <f t="shared" si="69"/>
        <v>8.3549440156206398E-3</v>
      </c>
      <c r="D4349">
        <f>(C4349-meanrtn)/stdevrtns</f>
        <v>1.3927750775508669</v>
      </c>
    </row>
    <row r="4350" spans="1:4" x14ac:dyDescent="0.3">
      <c r="A4350" s="1">
        <v>44067</v>
      </c>
      <c r="B4350">
        <v>1.309415</v>
      </c>
      <c r="C4350">
        <f t="shared" si="69"/>
        <v>-9.5451402913994173E-3</v>
      </c>
      <c r="D4350">
        <f>(C4350-meanrtn)/stdevrtns</f>
        <v>-1.5739894737920905</v>
      </c>
    </row>
    <row r="4351" spans="1:4" x14ac:dyDescent="0.3">
      <c r="A4351" s="1">
        <v>44068</v>
      </c>
      <c r="B4351">
        <v>1.3071379999999999</v>
      </c>
      <c r="C4351">
        <f t="shared" si="69"/>
        <v>-1.738944490478637E-3</v>
      </c>
      <c r="D4351">
        <f>(C4351-meanrtn)/stdevrtns</f>
        <v>-0.2801885851598811</v>
      </c>
    </row>
    <row r="4352" spans="1:4" x14ac:dyDescent="0.3">
      <c r="A4352" s="1">
        <v>44069</v>
      </c>
      <c r="B4352">
        <v>1.315218</v>
      </c>
      <c r="C4352">
        <f t="shared" si="69"/>
        <v>6.1814437343265119E-3</v>
      </c>
      <c r="D4352">
        <f>(C4352-meanrtn)/stdevrtns</f>
        <v>1.0325385850138744</v>
      </c>
    </row>
    <row r="4353" spans="1:4" x14ac:dyDescent="0.3">
      <c r="A4353" s="1">
        <v>44070</v>
      </c>
      <c r="B4353">
        <v>1.321982</v>
      </c>
      <c r="C4353">
        <f t="shared" si="69"/>
        <v>5.1428736528849155E-3</v>
      </c>
      <c r="D4353">
        <f>(C4353-meanrtn)/stdevrtns</f>
        <v>0.86040571408108713</v>
      </c>
    </row>
    <row r="4354" spans="1:4" x14ac:dyDescent="0.3">
      <c r="A4354" s="1">
        <v>44071</v>
      </c>
      <c r="B4354">
        <v>1.319958</v>
      </c>
      <c r="C4354">
        <f t="shared" si="69"/>
        <v>-1.5310344618913313E-3</v>
      </c>
      <c r="D4354">
        <f>(C4354-meanrtn)/stdevrtns</f>
        <v>-0.24572952384475563</v>
      </c>
    </row>
    <row r="4355" spans="1:4" x14ac:dyDescent="0.3">
      <c r="A4355" s="1">
        <v>44074</v>
      </c>
      <c r="B4355">
        <v>1.3356479999999999</v>
      </c>
      <c r="C4355">
        <f t="shared" si="69"/>
        <v>1.1886741850877059E-2</v>
      </c>
      <c r="D4355">
        <f>(C4355-meanrtn)/stdevrtns</f>
        <v>1.9781361540927953</v>
      </c>
    </row>
    <row r="4356" spans="1:4" x14ac:dyDescent="0.3">
      <c r="A4356" s="1">
        <v>44075</v>
      </c>
      <c r="B4356">
        <v>1.336452</v>
      </c>
      <c r="C4356">
        <f t="shared" ref="C4356:C4419" si="70">(B4356-B4355)/B4355</f>
        <v>6.0195500610941424E-4</v>
      </c>
      <c r="D4356">
        <f>(C4356-meanrtn)/stdevrtns</f>
        <v>0.10779269613555693</v>
      </c>
    </row>
    <row r="4357" spans="1:4" x14ac:dyDescent="0.3">
      <c r="A4357" s="1">
        <v>44076</v>
      </c>
      <c r="B4357">
        <v>1.339944</v>
      </c>
      <c r="C4357">
        <f t="shared" si="70"/>
        <v>2.6128884539063512E-3</v>
      </c>
      <c r="D4357">
        <f>(C4357-meanrtn)/stdevrtns</f>
        <v>0.44108532010907042</v>
      </c>
    </row>
    <row r="4358" spans="1:4" x14ac:dyDescent="0.3">
      <c r="A4358" s="1">
        <v>44077</v>
      </c>
      <c r="B4358">
        <v>1.3351310000000001</v>
      </c>
      <c r="C4358">
        <f t="shared" si="70"/>
        <v>-3.5919411557497598E-3</v>
      </c>
      <c r="D4358">
        <f>(C4358-meanrtn)/stdevrtns</f>
        <v>-0.58730472640213804</v>
      </c>
    </row>
    <row r="4359" spans="1:4" x14ac:dyDescent="0.3">
      <c r="A4359" s="1">
        <v>44078</v>
      </c>
      <c r="B4359">
        <v>1.326225</v>
      </c>
      <c r="C4359">
        <f t="shared" si="70"/>
        <v>-6.6705064896254223E-3</v>
      </c>
      <c r="D4359">
        <f>(C4359-meanrtn)/stdevrtns</f>
        <v>-1.097546932242123</v>
      </c>
    </row>
    <row r="4360" spans="1:4" x14ac:dyDescent="0.3">
      <c r="A4360" s="1">
        <v>44081</v>
      </c>
      <c r="B4360">
        <v>1.3245739999999999</v>
      </c>
      <c r="C4360">
        <f t="shared" si="70"/>
        <v>-1.2448868027673051E-3</v>
      </c>
      <c r="D4360">
        <f>(C4360-meanrtn)/stdevrtns</f>
        <v>-0.19830333763366642</v>
      </c>
    </row>
    <row r="4361" spans="1:4" x14ac:dyDescent="0.3">
      <c r="A4361" s="1">
        <v>44082</v>
      </c>
      <c r="B4361">
        <v>1.316222</v>
      </c>
      <c r="C4361">
        <f t="shared" si="70"/>
        <v>-6.305423479548833E-3</v>
      </c>
      <c r="D4361">
        <f>(C4361-meanrtn)/stdevrtns</f>
        <v>-1.0370379807748926</v>
      </c>
    </row>
    <row r="4362" spans="1:4" x14ac:dyDescent="0.3">
      <c r="A4362" s="1">
        <v>44083</v>
      </c>
      <c r="B4362">
        <v>1.2968489999999999</v>
      </c>
      <c r="C4362">
        <f t="shared" si="70"/>
        <v>-1.4718641688104351E-2</v>
      </c>
      <c r="D4362">
        <f>(C4362-meanrtn)/stdevrtns</f>
        <v>-2.4314469185063636</v>
      </c>
    </row>
    <row r="4363" spans="1:4" x14ac:dyDescent="0.3">
      <c r="A4363" s="1">
        <v>44084</v>
      </c>
      <c r="B4363">
        <v>1.299917</v>
      </c>
      <c r="C4363">
        <f t="shared" si="70"/>
        <v>2.3657341756828055E-3</v>
      </c>
      <c r="D4363">
        <f>(C4363-meanrtn)/stdevrtns</f>
        <v>0.40012190682174842</v>
      </c>
    </row>
    <row r="4364" spans="1:4" x14ac:dyDescent="0.3">
      <c r="A4364" s="1">
        <v>44085</v>
      </c>
      <c r="B4364">
        <v>1.2808299999999999</v>
      </c>
      <c r="C4364">
        <f t="shared" si="70"/>
        <v>-1.4683245161037263E-2</v>
      </c>
      <c r="D4364">
        <f>(C4364-meanrtn)/stdevrtns</f>
        <v>-2.4255802890569087</v>
      </c>
    </row>
    <row r="4365" spans="1:4" x14ac:dyDescent="0.3">
      <c r="A4365" s="1">
        <v>44088</v>
      </c>
      <c r="B4365">
        <v>1.280656</v>
      </c>
      <c r="C4365">
        <f t="shared" si="70"/>
        <v>-1.3584941014802625E-4</v>
      </c>
      <c r="D4365">
        <f>(C4365-meanrtn)/stdevrtns</f>
        <v>-1.4491196522893745E-2</v>
      </c>
    </row>
    <row r="4366" spans="1:4" x14ac:dyDescent="0.3">
      <c r="A4366" s="1">
        <v>44089</v>
      </c>
      <c r="B4366">
        <v>1.284967</v>
      </c>
      <c r="C4366">
        <f t="shared" si="70"/>
        <v>3.3662435501804963E-3</v>
      </c>
      <c r="D4366">
        <f>(C4366-meanrtn)/stdevrtns</f>
        <v>0.56594658645088092</v>
      </c>
    </row>
    <row r="4367" spans="1:4" x14ac:dyDescent="0.3">
      <c r="A4367" s="1">
        <v>44090</v>
      </c>
      <c r="B4367">
        <v>1.2884770000000001</v>
      </c>
      <c r="C4367">
        <f t="shared" si="70"/>
        <v>2.7315876594497168E-3</v>
      </c>
      <c r="D4367">
        <f>(C4367-meanrtn)/stdevrtns</f>
        <v>0.4607585567954765</v>
      </c>
    </row>
    <row r="4368" spans="1:4" x14ac:dyDescent="0.3">
      <c r="A4368" s="1">
        <v>44091</v>
      </c>
      <c r="B4368">
        <v>1.296</v>
      </c>
      <c r="C4368">
        <f t="shared" si="70"/>
        <v>5.8386762045422201E-3</v>
      </c>
      <c r="D4368">
        <f>(C4368-meanrtn)/stdevrtns</f>
        <v>0.97572820695791096</v>
      </c>
    </row>
    <row r="4369" spans="1:4" x14ac:dyDescent="0.3">
      <c r="A4369" s="1">
        <v>44092</v>
      </c>
      <c r="B4369">
        <v>1.297555</v>
      </c>
      <c r="C4369">
        <f t="shared" si="70"/>
        <v>1.1998456790123248E-3</v>
      </c>
      <c r="D4369">
        <f>(C4369-meanrtn)/stdevrtns</f>
        <v>0.20688724918474524</v>
      </c>
    </row>
    <row r="4370" spans="1:4" x14ac:dyDescent="0.3">
      <c r="A4370" s="1">
        <v>44095</v>
      </c>
      <c r="B4370">
        <v>1.2932760000000001</v>
      </c>
      <c r="C4370">
        <f t="shared" si="70"/>
        <v>-3.2977407508736982E-3</v>
      </c>
      <c r="D4370">
        <f>(C4370-meanrtn)/stdevrtns</f>
        <v>-0.53854387605045895</v>
      </c>
    </row>
    <row r="4371" spans="1:4" x14ac:dyDescent="0.3">
      <c r="A4371" s="1">
        <v>44096</v>
      </c>
      <c r="B4371">
        <v>1.2820510000000001</v>
      </c>
      <c r="C4371">
        <f t="shared" si="70"/>
        <v>-8.6795084730560534E-3</v>
      </c>
      <c r="D4371">
        <f>(C4371-meanrtn)/stdevrtns</f>
        <v>-1.4305194348175552</v>
      </c>
    </row>
    <row r="4372" spans="1:4" x14ac:dyDescent="0.3">
      <c r="A4372" s="1">
        <v>44097</v>
      </c>
      <c r="B4372">
        <v>1.274405</v>
      </c>
      <c r="C4372">
        <f t="shared" si="70"/>
        <v>-5.9638813120539208E-3</v>
      </c>
      <c r="D4372">
        <f>(C4372-meanrtn)/stdevrtns</f>
        <v>-0.98043069457818133</v>
      </c>
    </row>
    <row r="4373" spans="1:4" x14ac:dyDescent="0.3">
      <c r="A4373" s="1">
        <v>44098</v>
      </c>
      <c r="B4373">
        <v>1.271747</v>
      </c>
      <c r="C4373">
        <f t="shared" si="70"/>
        <v>-2.0856791993126588E-3</v>
      </c>
      <c r="D4373">
        <f>(C4373-meanrtn)/stdevrtns</f>
        <v>-0.33765648448623065</v>
      </c>
    </row>
    <row r="4374" spans="1:4" x14ac:dyDescent="0.3">
      <c r="A4374" s="1">
        <v>44099</v>
      </c>
      <c r="B4374">
        <v>1.2757050000000001</v>
      </c>
      <c r="C4374">
        <f t="shared" si="70"/>
        <v>3.1122542455379316E-3</v>
      </c>
      <c r="D4374">
        <f>(C4374-meanrtn)/stdevrtns</f>
        <v>0.5238503341366787</v>
      </c>
    </row>
    <row r="4375" spans="1:4" x14ac:dyDescent="0.3">
      <c r="A4375" s="1">
        <v>44102</v>
      </c>
      <c r="B4375">
        <v>1.276683</v>
      </c>
      <c r="C4375">
        <f t="shared" si="70"/>
        <v>7.6663491951503159E-4</v>
      </c>
      <c r="D4375">
        <f>(C4375-meanrtn)/stdevrtns</f>
        <v>0.13508678710351998</v>
      </c>
    </row>
    <row r="4376" spans="1:4" x14ac:dyDescent="0.3">
      <c r="A4376" s="1">
        <v>44103</v>
      </c>
      <c r="B4376">
        <v>1.2873490000000001</v>
      </c>
      <c r="C4376">
        <f t="shared" si="70"/>
        <v>8.3544623058347794E-3</v>
      </c>
      <c r="D4376">
        <f>(C4376-meanrtn)/stdevrtns</f>
        <v>1.3926952388477516</v>
      </c>
    </row>
    <row r="4377" spans="1:4" x14ac:dyDescent="0.3">
      <c r="A4377" s="1">
        <v>44104</v>
      </c>
      <c r="B4377">
        <v>1.286654</v>
      </c>
      <c r="C4377">
        <f t="shared" si="70"/>
        <v>-5.3986914193440325E-4</v>
      </c>
      <c r="D4377">
        <f>(C4377-meanrtn)/stdevrtns</f>
        <v>-8.1453530205134184E-2</v>
      </c>
    </row>
    <row r="4378" spans="1:4" x14ac:dyDescent="0.3">
      <c r="A4378" s="1">
        <v>44105</v>
      </c>
      <c r="B4378">
        <v>1.2917559999999999</v>
      </c>
      <c r="C4378">
        <f t="shared" si="70"/>
        <v>3.9653240109617195E-3</v>
      </c>
      <c r="D4378">
        <f>(C4378-meanrtn)/stdevrtns</f>
        <v>0.66523833524733245</v>
      </c>
    </row>
    <row r="4379" spans="1:4" x14ac:dyDescent="0.3">
      <c r="A4379" s="1">
        <v>44106</v>
      </c>
      <c r="B4379">
        <v>1.288627</v>
      </c>
      <c r="C4379">
        <f t="shared" si="70"/>
        <v>-2.422284084610358E-3</v>
      </c>
      <c r="D4379">
        <f>(C4379-meanrtn)/stdevrtns</f>
        <v>-0.39344546426876914</v>
      </c>
    </row>
    <row r="4380" spans="1:4" x14ac:dyDescent="0.3">
      <c r="A4380" s="1">
        <v>44109</v>
      </c>
      <c r="B4380">
        <v>1.2931090000000001</v>
      </c>
      <c r="C4380">
        <f t="shared" si="70"/>
        <v>3.4781205112108448E-3</v>
      </c>
      <c r="D4380">
        <f>(C4380-meanrtn)/stdevrtns</f>
        <v>0.58448910258677678</v>
      </c>
    </row>
    <row r="4381" spans="1:4" x14ac:dyDescent="0.3">
      <c r="A4381" s="1">
        <v>44110</v>
      </c>
      <c r="B4381">
        <v>1.299258</v>
      </c>
      <c r="C4381">
        <f t="shared" si="70"/>
        <v>4.7552062509811314E-3</v>
      </c>
      <c r="D4381">
        <f>(C4381-meanrtn)/stdevrtns</f>
        <v>0.7961536197360165</v>
      </c>
    </row>
    <row r="4382" spans="1:4" x14ac:dyDescent="0.3">
      <c r="A4382" s="1">
        <v>44111</v>
      </c>
      <c r="B4382">
        <v>1.2883279999999999</v>
      </c>
      <c r="C4382">
        <f t="shared" si="70"/>
        <v>-8.4124939003647516E-3</v>
      </c>
      <c r="D4382">
        <f>(C4382-meanrtn)/stdevrtns</f>
        <v>-1.3862643712454874</v>
      </c>
    </row>
    <row r="4383" spans="1:4" x14ac:dyDescent="0.3">
      <c r="A4383" s="1">
        <v>44112</v>
      </c>
      <c r="B4383">
        <v>1.2917559999999999</v>
      </c>
      <c r="C4383">
        <f t="shared" si="70"/>
        <v>2.6608130848665766E-3</v>
      </c>
      <c r="D4383">
        <f>(C4383-meanrtn)/stdevrtns</f>
        <v>0.44902836070208202</v>
      </c>
    </row>
    <row r="4384" spans="1:4" x14ac:dyDescent="0.3">
      <c r="A4384" s="1">
        <v>44113</v>
      </c>
      <c r="B4384">
        <v>1.294046</v>
      </c>
      <c r="C4384">
        <f t="shared" si="70"/>
        <v>1.7727806180115482E-3</v>
      </c>
      <c r="D4384">
        <f>(C4384-meanrtn)/stdevrtns</f>
        <v>0.3018456325138183</v>
      </c>
    </row>
    <row r="4385" spans="1:4" x14ac:dyDescent="0.3">
      <c r="A4385" s="1">
        <v>44116</v>
      </c>
      <c r="B4385">
        <v>1.303169</v>
      </c>
      <c r="C4385">
        <f t="shared" si="70"/>
        <v>7.0499812216876312E-3</v>
      </c>
      <c r="D4385">
        <f>(C4385-meanrtn)/stdevrtns</f>
        <v>1.1764902103145944</v>
      </c>
    </row>
    <row r="4386" spans="1:4" x14ac:dyDescent="0.3">
      <c r="A4386" s="1">
        <v>44117</v>
      </c>
      <c r="B4386">
        <v>1.306575</v>
      </c>
      <c r="C4386">
        <f t="shared" si="70"/>
        <v>2.6136287772345872E-3</v>
      </c>
      <c r="D4386">
        <f>(C4386-meanrtn)/stdevrtns</f>
        <v>0.44120802148684446</v>
      </c>
    </row>
    <row r="4387" spans="1:4" x14ac:dyDescent="0.3">
      <c r="A4387" s="1">
        <v>44118</v>
      </c>
      <c r="B4387">
        <v>1.2935270000000001</v>
      </c>
      <c r="C4387">
        <f t="shared" si="70"/>
        <v>-9.9864148632875637E-3</v>
      </c>
      <c r="D4387">
        <f>(C4387-meanrtn)/stdevrtns</f>
        <v>-1.647126434201454</v>
      </c>
    </row>
    <row r="4388" spans="1:4" x14ac:dyDescent="0.3">
      <c r="A4388" s="1">
        <v>44119</v>
      </c>
      <c r="B4388">
        <v>1.3012360000000001</v>
      </c>
      <c r="C4388">
        <f t="shared" si="70"/>
        <v>5.9596745951185906E-3</v>
      </c>
      <c r="D4388">
        <f>(C4388-meanrtn)/stdevrtns</f>
        <v>0.99578251115974892</v>
      </c>
    </row>
    <row r="4389" spans="1:4" x14ac:dyDescent="0.3">
      <c r="A4389" s="1">
        <v>44120</v>
      </c>
      <c r="B4389">
        <v>1.290206</v>
      </c>
      <c r="C4389">
        <f t="shared" si="70"/>
        <v>-8.4765561358585949E-3</v>
      </c>
      <c r="D4389">
        <f>(C4389-meanrtn)/stdevrtns</f>
        <v>-1.3968820625414096</v>
      </c>
    </row>
    <row r="4390" spans="1:4" x14ac:dyDescent="0.3">
      <c r="A4390" s="1">
        <v>44123</v>
      </c>
      <c r="B4390">
        <v>1.292775</v>
      </c>
      <c r="C4390">
        <f t="shared" si="70"/>
        <v>1.9911549008453252E-3</v>
      </c>
      <c r="D4390">
        <f>(C4390-meanrtn)/stdevrtns</f>
        <v>0.33803904200419205</v>
      </c>
    </row>
    <row r="4391" spans="1:4" x14ac:dyDescent="0.3">
      <c r="A4391" s="1">
        <v>44124</v>
      </c>
      <c r="B4391">
        <v>1.294867</v>
      </c>
      <c r="C4391">
        <f t="shared" si="70"/>
        <v>1.6182243623213497E-3</v>
      </c>
      <c r="D4391">
        <f>(C4391-meanrtn)/stdevrtns</f>
        <v>0.27622943916493264</v>
      </c>
    </row>
    <row r="4392" spans="1:4" x14ac:dyDescent="0.3">
      <c r="A4392" s="1">
        <v>44125</v>
      </c>
      <c r="B4392">
        <v>1.295404</v>
      </c>
      <c r="C4392">
        <f t="shared" si="70"/>
        <v>4.1471440696226695E-4</v>
      </c>
      <c r="D4392">
        <f>(C4392-meanrtn)/stdevrtns</f>
        <v>7.6759391342455061E-2</v>
      </c>
    </row>
    <row r="4393" spans="1:4" x14ac:dyDescent="0.3">
      <c r="A4393" s="1">
        <v>44126</v>
      </c>
      <c r="B4393">
        <v>1.3131980000000001</v>
      </c>
      <c r="C4393">
        <f t="shared" si="70"/>
        <v>1.3736255253187489E-2</v>
      </c>
      <c r="D4393">
        <f>(C4393-meanrtn)/stdevrtns</f>
        <v>2.2846749784410343</v>
      </c>
    </row>
    <row r="4394" spans="1:4" x14ac:dyDescent="0.3">
      <c r="A4394" s="1">
        <v>44127</v>
      </c>
      <c r="B4394">
        <v>1.3078050000000001</v>
      </c>
      <c r="C4394">
        <f t="shared" si="70"/>
        <v>-4.1067683624251491E-3</v>
      </c>
      <c r="D4394">
        <f>(C4394-meanrtn)/stdevrtns</f>
        <v>-0.67263231931366729</v>
      </c>
    </row>
    <row r="4395" spans="1:4" x14ac:dyDescent="0.3">
      <c r="A4395" s="1">
        <v>44130</v>
      </c>
      <c r="B4395">
        <v>1.305466</v>
      </c>
      <c r="C4395">
        <f t="shared" si="70"/>
        <v>-1.7884929328149768E-3</v>
      </c>
      <c r="D4395">
        <f>(C4395-meanrtn)/stdevrtns</f>
        <v>-0.28840075666569148</v>
      </c>
    </row>
    <row r="4396" spans="1:4" x14ac:dyDescent="0.3">
      <c r="A4396" s="1">
        <v>44131</v>
      </c>
      <c r="B4396">
        <v>1.3015749999999999</v>
      </c>
      <c r="C4396">
        <f t="shared" si="70"/>
        <v>-2.9805448782274594E-3</v>
      </c>
      <c r="D4396">
        <f>(C4396-meanrtn)/stdevrtns</f>
        <v>-0.48597175098900897</v>
      </c>
    </row>
    <row r="4397" spans="1:4" x14ac:dyDescent="0.3">
      <c r="A4397" s="1">
        <v>44132</v>
      </c>
      <c r="B4397">
        <v>1.303186</v>
      </c>
      <c r="C4397">
        <f t="shared" si="70"/>
        <v>1.2377312102645097E-3</v>
      </c>
      <c r="D4397">
        <f>(C4397-meanrtn)/stdevrtns</f>
        <v>0.21316640682444965</v>
      </c>
    </row>
    <row r="4398" spans="1:4" x14ac:dyDescent="0.3">
      <c r="A4398" s="1">
        <v>44133</v>
      </c>
      <c r="B4398">
        <v>1.298988</v>
      </c>
      <c r="C4398">
        <f t="shared" si="70"/>
        <v>-3.2213360180357404E-3</v>
      </c>
      <c r="D4398">
        <f>(C4398-meanrtn)/stdevrtns</f>
        <v>-0.52588053608788765</v>
      </c>
    </row>
    <row r="4399" spans="1:4" x14ac:dyDescent="0.3">
      <c r="A4399" s="1">
        <v>44134</v>
      </c>
      <c r="B4399">
        <v>1.293193</v>
      </c>
      <c r="C4399">
        <f t="shared" si="70"/>
        <v>-4.4611651531807793E-3</v>
      </c>
      <c r="D4399">
        <f>(C4399-meanrtn)/stdevrtns</f>
        <v>-0.73137013405743179</v>
      </c>
    </row>
    <row r="4400" spans="1:4" x14ac:dyDescent="0.3">
      <c r="A4400" s="1">
        <v>44137</v>
      </c>
      <c r="B4400">
        <v>1.2926740000000001</v>
      </c>
      <c r="C4400">
        <f t="shared" si="70"/>
        <v>-4.0133220640688292E-4</v>
      </c>
      <c r="D4400">
        <f>(C4400-meanrtn)/stdevrtns</f>
        <v>-5.8492383077266001E-2</v>
      </c>
    </row>
    <row r="4401" spans="1:4" x14ac:dyDescent="0.3">
      <c r="A4401" s="1">
        <v>44138</v>
      </c>
      <c r="B4401">
        <v>1.2923899999999999</v>
      </c>
      <c r="C4401">
        <f t="shared" si="70"/>
        <v>-2.1969963037871341E-4</v>
      </c>
      <c r="D4401">
        <f>(C4401-meanrtn)/stdevrtns</f>
        <v>-2.8388553470265355E-2</v>
      </c>
    </row>
    <row r="4402" spans="1:4" x14ac:dyDescent="0.3">
      <c r="A4402" s="1">
        <v>44139</v>
      </c>
      <c r="B4402">
        <v>1.3121640000000001</v>
      </c>
      <c r="C4402">
        <f t="shared" si="70"/>
        <v>1.5300335038185208E-2</v>
      </c>
      <c r="D4402">
        <f>(C4402-meanrtn)/stdevrtns</f>
        <v>2.5439059620506215</v>
      </c>
    </row>
    <row r="4403" spans="1:4" x14ac:dyDescent="0.3">
      <c r="A4403" s="1">
        <v>44140</v>
      </c>
      <c r="B4403">
        <v>1.2966800000000001</v>
      </c>
      <c r="C4403">
        <f t="shared" si="70"/>
        <v>-1.1800354224014721E-2</v>
      </c>
      <c r="D4403">
        <f>(C4403-meanrtn)/stdevrtns</f>
        <v>-1.9477692077989226</v>
      </c>
    </row>
    <row r="4404" spans="1:4" x14ac:dyDescent="0.3">
      <c r="A4404" s="1">
        <v>44141</v>
      </c>
      <c r="B4404">
        <v>1.3139400000000001</v>
      </c>
      <c r="C4404">
        <f t="shared" si="70"/>
        <v>1.3310917111392212E-2</v>
      </c>
      <c r="D4404">
        <f>(C4404-meanrtn)/stdevrtns</f>
        <v>2.2141793260313172</v>
      </c>
    </row>
    <row r="4405" spans="1:4" x14ac:dyDescent="0.3">
      <c r="A4405" s="1">
        <v>44144</v>
      </c>
      <c r="B4405">
        <v>1.3180609999999999</v>
      </c>
      <c r="C4405">
        <f t="shared" si="70"/>
        <v>3.1363684795346963E-3</v>
      </c>
      <c r="D4405">
        <f>(C4405-meanrtn)/stdevrtns</f>
        <v>0.52784703344699058</v>
      </c>
    </row>
    <row r="4406" spans="1:4" x14ac:dyDescent="0.3">
      <c r="A4406" s="1">
        <v>44145</v>
      </c>
      <c r="B4406">
        <v>1.3169679999999999</v>
      </c>
      <c r="C4406">
        <f t="shared" si="70"/>
        <v>-8.2924841869990134E-4</v>
      </c>
      <c r="D4406">
        <f>(C4406-meanrtn)/stdevrtns</f>
        <v>-0.12941532555067051</v>
      </c>
    </row>
    <row r="4407" spans="1:4" x14ac:dyDescent="0.3">
      <c r="A4407" s="1">
        <v>44146</v>
      </c>
      <c r="B4407">
        <v>1.3261540000000001</v>
      </c>
      <c r="C4407">
        <f t="shared" si="70"/>
        <v>6.9751125312081533E-3</v>
      </c>
      <c r="D4407">
        <f>(C4407-meanrtn)/stdevrtns</f>
        <v>1.1640814544053906</v>
      </c>
    </row>
    <row r="4408" spans="1:4" x14ac:dyDescent="0.3">
      <c r="A4408" s="1">
        <v>44147</v>
      </c>
      <c r="B4408">
        <v>1.322419</v>
      </c>
      <c r="C4408">
        <f t="shared" si="70"/>
        <v>-2.8164149864948139E-3</v>
      </c>
      <c r="D4408">
        <f>(C4408-meanrtn)/stdevrtns</f>
        <v>-0.45876882075380304</v>
      </c>
    </row>
    <row r="4409" spans="1:4" x14ac:dyDescent="0.3">
      <c r="A4409" s="1">
        <v>44148</v>
      </c>
      <c r="B4409">
        <v>1.3121640000000001</v>
      </c>
      <c r="C4409">
        <f t="shared" si="70"/>
        <v>-7.7547282669107919E-3</v>
      </c>
      <c r="D4409">
        <f>(C4409-meanrtn)/stdevrtns</f>
        <v>-1.2772461269203734</v>
      </c>
    </row>
    <row r="4410" spans="1:4" x14ac:dyDescent="0.3">
      <c r="A4410" s="1">
        <v>44151</v>
      </c>
      <c r="B4410">
        <v>1.322052</v>
      </c>
      <c r="C4410">
        <f t="shared" si="70"/>
        <v>7.5356434104272762E-3</v>
      </c>
      <c r="D4410">
        <f>(C4410-meanrtn)/stdevrtns</f>
        <v>1.2569839856939284</v>
      </c>
    </row>
    <row r="4411" spans="1:4" x14ac:dyDescent="0.3">
      <c r="A4411" s="1">
        <v>44152</v>
      </c>
      <c r="B4411">
        <v>1.322209</v>
      </c>
      <c r="C4411">
        <f t="shared" si="70"/>
        <v>1.1875478422933645E-4</v>
      </c>
      <c r="D4411">
        <f>(C4411-meanrtn)/stdevrtns</f>
        <v>2.7706967773224012E-2</v>
      </c>
    </row>
    <row r="4412" spans="1:4" x14ac:dyDescent="0.3">
      <c r="A4412" s="1">
        <v>44153</v>
      </c>
      <c r="B4412">
        <v>1.3259080000000001</v>
      </c>
      <c r="C4412">
        <f t="shared" si="70"/>
        <v>2.797591001120185E-3</v>
      </c>
      <c r="D4412">
        <f>(C4412-meanrtn)/stdevrtns</f>
        <v>0.47169796752558835</v>
      </c>
    </row>
    <row r="4413" spans="1:4" x14ac:dyDescent="0.3">
      <c r="A4413" s="1">
        <v>44154</v>
      </c>
      <c r="B4413">
        <v>1.325645</v>
      </c>
      <c r="C4413">
        <f t="shared" si="70"/>
        <v>-1.9835463697339802E-4</v>
      </c>
      <c r="D4413">
        <f>(C4413-meanrtn)/stdevrtns</f>
        <v>-2.4850828803867901E-2</v>
      </c>
    </row>
    <row r="4414" spans="1:4" x14ac:dyDescent="0.3">
      <c r="A4414" s="1">
        <v>44155</v>
      </c>
      <c r="B4414">
        <v>1.324924</v>
      </c>
      <c r="C4414">
        <f t="shared" si="70"/>
        <v>-5.4388618370677802E-4</v>
      </c>
      <c r="D4414">
        <f>(C4414-meanrtn)/stdevrtns</f>
        <v>-8.211931573592475E-2</v>
      </c>
    </row>
    <row r="4415" spans="1:4" x14ac:dyDescent="0.3">
      <c r="A4415" s="1">
        <v>44158</v>
      </c>
      <c r="B4415">
        <v>1.3305130000000001</v>
      </c>
      <c r="C4415">
        <f t="shared" si="70"/>
        <v>4.2183551660322149E-3</v>
      </c>
      <c r="D4415">
        <f>(C4415-meanrtn)/stdevrtns</f>
        <v>0.70717578360639433</v>
      </c>
    </row>
    <row r="4416" spans="1:4" x14ac:dyDescent="0.3">
      <c r="A4416" s="1">
        <v>44159</v>
      </c>
      <c r="B4416">
        <v>1.3329070000000001</v>
      </c>
      <c r="C4416">
        <f t="shared" si="70"/>
        <v>1.7993059819783851E-3</v>
      </c>
      <c r="D4416">
        <f>(C4416-meanrtn)/stdevrtns</f>
        <v>0.30624195312206365</v>
      </c>
    </row>
    <row r="4417" spans="1:4" x14ac:dyDescent="0.3">
      <c r="A4417" s="1">
        <v>44160</v>
      </c>
      <c r="B4417">
        <v>1.336327</v>
      </c>
      <c r="C4417">
        <f t="shared" si="70"/>
        <v>2.5658204210796242E-3</v>
      </c>
      <c r="D4417">
        <f>(C4417-meanrtn)/stdevrtns</f>
        <v>0.43328425230979661</v>
      </c>
    </row>
    <row r="4418" spans="1:4" x14ac:dyDescent="0.3">
      <c r="A4418" s="1">
        <v>44161</v>
      </c>
      <c r="B4418">
        <v>1.3385450000000001</v>
      </c>
      <c r="C4418">
        <f t="shared" si="70"/>
        <v>1.6597733937876382E-3</v>
      </c>
      <c r="D4418">
        <f>(C4418-meanrtn)/stdevrtns</f>
        <v>0.28311578626713457</v>
      </c>
    </row>
    <row r="4419" spans="1:4" x14ac:dyDescent="0.3">
      <c r="A4419" s="1">
        <v>44162</v>
      </c>
      <c r="B4419">
        <v>1.3354520000000001</v>
      </c>
      <c r="C4419">
        <f t="shared" si="70"/>
        <v>-2.3107179810914181E-3</v>
      </c>
      <c r="D4419">
        <f>(C4419-meanrtn)/stdevrtns</f>
        <v>-0.37495446973632202</v>
      </c>
    </row>
    <row r="4420" spans="1:4" x14ac:dyDescent="0.3">
      <c r="A4420" s="1">
        <v>44165</v>
      </c>
      <c r="B4420">
        <v>1.333191</v>
      </c>
      <c r="C4420">
        <f t="shared" ref="C4420:C4483" si="71">(B4420-B4419)/B4419</f>
        <v>-1.6930597280921129E-3</v>
      </c>
      <c r="D4420">
        <f>(C4420-meanrtn)/stdevrtns</f>
        <v>-0.27258363290601118</v>
      </c>
    </row>
    <row r="4421" spans="1:4" x14ac:dyDescent="0.3">
      <c r="A4421" s="1">
        <v>44166</v>
      </c>
      <c r="B4421">
        <v>1.3336889999999999</v>
      </c>
      <c r="C4421">
        <f t="shared" si="71"/>
        <v>3.7353987538161256E-4</v>
      </c>
      <c r="D4421">
        <f>(C4421-meanrtn)/stdevrtns</f>
        <v>6.9935113947083807E-2</v>
      </c>
    </row>
    <row r="4422" spans="1:4" x14ac:dyDescent="0.3">
      <c r="A4422" s="1">
        <v>44167</v>
      </c>
      <c r="B4422">
        <v>1.3422639999999999</v>
      </c>
      <c r="C4422">
        <f t="shared" si="71"/>
        <v>6.4295349215596738E-3</v>
      </c>
      <c r="D4422">
        <f>(C4422-meanrtn)/stdevrtns</f>
        <v>1.0736572818400831</v>
      </c>
    </row>
    <row r="4423" spans="1:4" x14ac:dyDescent="0.3">
      <c r="A4423" s="1">
        <v>44168</v>
      </c>
      <c r="B4423">
        <v>1.3370770000000001</v>
      </c>
      <c r="C4423">
        <f t="shared" si="71"/>
        <v>-3.8643664733612991E-3</v>
      </c>
      <c r="D4423">
        <f>(C4423-meanrtn)/stdevrtns</f>
        <v>-0.6324565682211899</v>
      </c>
    </row>
    <row r="4424" spans="1:4" x14ac:dyDescent="0.3">
      <c r="A4424" s="1">
        <v>44169</v>
      </c>
      <c r="B4424">
        <v>1.3454969999999999</v>
      </c>
      <c r="C4424">
        <f t="shared" si="71"/>
        <v>6.2973187034104034E-3</v>
      </c>
      <c r="D4424">
        <f>(C4424-meanrtn)/stdevrtns</f>
        <v>1.0517437320271334</v>
      </c>
    </row>
    <row r="4425" spans="1:4" x14ac:dyDescent="0.3">
      <c r="A4425" s="1">
        <v>44172</v>
      </c>
      <c r="B4425">
        <v>1.341742</v>
      </c>
      <c r="C4425">
        <f t="shared" si="71"/>
        <v>-2.7907903176298075E-3</v>
      </c>
      <c r="D4425">
        <f>(C4425-meanrtn)/stdevrtns</f>
        <v>-0.45452178158210549</v>
      </c>
    </row>
    <row r="4426" spans="1:4" x14ac:dyDescent="0.3">
      <c r="A4426" s="1">
        <v>44173</v>
      </c>
      <c r="B4426">
        <v>1.3357380000000001</v>
      </c>
      <c r="C4426">
        <f t="shared" si="71"/>
        <v>-4.4747798011837581E-3</v>
      </c>
      <c r="D4426">
        <f>(C4426-meanrtn)/stdevrtns</f>
        <v>-0.73362662929965861</v>
      </c>
    </row>
    <row r="4427" spans="1:4" x14ac:dyDescent="0.3">
      <c r="A4427" s="1">
        <v>44174</v>
      </c>
      <c r="B4427">
        <v>1.3365590000000001</v>
      </c>
      <c r="C4427">
        <f t="shared" si="71"/>
        <v>6.1464149406542342E-4</v>
      </c>
      <c r="D4427">
        <f>(C4427-meanrtn)/stdevrtns</f>
        <v>0.10989535789420388</v>
      </c>
    </row>
    <row r="4428" spans="1:4" x14ac:dyDescent="0.3">
      <c r="A4428" s="1">
        <v>44175</v>
      </c>
      <c r="B4428">
        <v>1.3367020000000001</v>
      </c>
      <c r="C4428">
        <f t="shared" si="71"/>
        <v>1.0699116163222442E-4</v>
      </c>
      <c r="D4428">
        <f>(C4428-meanrtn)/stdevrtns</f>
        <v>2.5757261955201588E-2</v>
      </c>
    </row>
    <row r="4429" spans="1:4" x14ac:dyDescent="0.3">
      <c r="A4429" s="1">
        <v>44176</v>
      </c>
      <c r="B4429">
        <v>1.3305659999999999</v>
      </c>
      <c r="C4429">
        <f t="shared" si="71"/>
        <v>-4.5904023484667046E-3</v>
      </c>
      <c r="D4429">
        <f>(C4429-meanrtn)/stdevrtns</f>
        <v>-0.75278993985906717</v>
      </c>
    </row>
    <row r="4430" spans="1:4" x14ac:dyDescent="0.3">
      <c r="A4430" s="1">
        <v>44179</v>
      </c>
      <c r="B4430">
        <v>1.3318239999999999</v>
      </c>
      <c r="C4430">
        <f t="shared" si="71"/>
        <v>9.4546230701820231E-4</v>
      </c>
      <c r="D4430">
        <f>(C4430-meanrtn)/stdevrtns</f>
        <v>0.16472568404690535</v>
      </c>
    </row>
    <row r="4431" spans="1:4" x14ac:dyDescent="0.3">
      <c r="A4431" s="1">
        <v>44180</v>
      </c>
      <c r="B4431">
        <v>1.3330839999999999</v>
      </c>
      <c r="C4431">
        <f t="shared" si="71"/>
        <v>9.4607095231805322E-4</v>
      </c>
      <c r="D4431">
        <f>(C4431-meanrtn)/stdevrtns</f>
        <v>0.16482656107457561</v>
      </c>
    </row>
    <row r="4432" spans="1:4" x14ac:dyDescent="0.3">
      <c r="A4432" s="1">
        <v>44181</v>
      </c>
      <c r="B4432">
        <v>1.3444469999999999</v>
      </c>
      <c r="C4432">
        <f t="shared" si="71"/>
        <v>8.5238439588203093E-3</v>
      </c>
      <c r="D4432">
        <f>(C4432-meanrtn)/stdevrtns</f>
        <v>1.4207685973362514</v>
      </c>
    </row>
    <row r="4433" spans="1:4" x14ac:dyDescent="0.3">
      <c r="A4433" s="1">
        <v>44182</v>
      </c>
      <c r="B4433">
        <v>1.350293</v>
      </c>
      <c r="C4433">
        <f t="shared" si="71"/>
        <v>4.3482561975295552E-3</v>
      </c>
      <c r="D4433">
        <f>(C4433-meanrtn)/stdevrtns</f>
        <v>0.72870561379149879</v>
      </c>
    </row>
    <row r="4434" spans="1:4" x14ac:dyDescent="0.3">
      <c r="A4434" s="1">
        <v>44183</v>
      </c>
      <c r="B4434">
        <v>1.3570180000000001</v>
      </c>
      <c r="C4434">
        <f t="shared" si="71"/>
        <v>4.9804005501028975E-3</v>
      </c>
      <c r="D4434">
        <f>(C4434-meanrtn)/stdevrtns</f>
        <v>0.8334773804703145</v>
      </c>
    </row>
    <row r="4435" spans="1:4" x14ac:dyDescent="0.3">
      <c r="A4435" s="1">
        <v>44186</v>
      </c>
      <c r="B4435">
        <v>1.340195</v>
      </c>
      <c r="C4435">
        <f t="shared" si="71"/>
        <v>-1.2397035264086425E-2</v>
      </c>
      <c r="D4435">
        <f>(C4435-meanrtn)/stdevrtns</f>
        <v>-2.0466632759932795</v>
      </c>
    </row>
    <row r="4436" spans="1:4" x14ac:dyDescent="0.3">
      <c r="A4436" s="1">
        <v>44187</v>
      </c>
      <c r="B4436">
        <v>1.344954</v>
      </c>
      <c r="C4436">
        <f t="shared" si="71"/>
        <v>3.5509757908363765E-3</v>
      </c>
      <c r="D4436">
        <f>(C4436-meanrtn)/stdevrtns</f>
        <v>0.59656415526607831</v>
      </c>
    </row>
    <row r="4437" spans="1:4" x14ac:dyDescent="0.3">
      <c r="A4437" s="1">
        <v>44188</v>
      </c>
      <c r="B4437">
        <v>1.339944</v>
      </c>
      <c r="C4437">
        <f t="shared" si="71"/>
        <v>-3.7250344621451432E-3</v>
      </c>
      <c r="D4437">
        <f>(C4437-meanrtn)/stdevrtns</f>
        <v>-0.60936364504533103</v>
      </c>
    </row>
    <row r="4438" spans="1:4" x14ac:dyDescent="0.3">
      <c r="A4438" s="1">
        <v>44189</v>
      </c>
      <c r="B4438">
        <v>1.35053</v>
      </c>
      <c r="C4438">
        <f t="shared" si="71"/>
        <v>7.900330163051578E-3</v>
      </c>
      <c r="D4438">
        <f>(C4438-meanrtn)/stdevrtns</f>
        <v>1.317427261349666</v>
      </c>
    </row>
    <row r="4439" spans="1:4" x14ac:dyDescent="0.3">
      <c r="A4439" s="1">
        <v>44190</v>
      </c>
      <c r="B4439">
        <v>1.3552010000000001</v>
      </c>
      <c r="C4439">
        <f t="shared" si="71"/>
        <v>3.458642162706561E-3</v>
      </c>
      <c r="D4439">
        <f>(C4439-meanrtn)/stdevrtns</f>
        <v>0.58126075612370731</v>
      </c>
    </row>
    <row r="4440" spans="1:4" x14ac:dyDescent="0.3">
      <c r="A4440" s="1">
        <v>44193</v>
      </c>
      <c r="B4440">
        <v>1.3572390000000001</v>
      </c>
      <c r="C4440">
        <f t="shared" si="71"/>
        <v>1.50383596234063E-3</v>
      </c>
      <c r="D4440">
        <f>(C4440-meanrtn)/stdevrtns</f>
        <v>0.25727067649505253</v>
      </c>
    </row>
    <row r="4441" spans="1:4" x14ac:dyDescent="0.3">
      <c r="A4441" s="1">
        <v>44194</v>
      </c>
      <c r="B4441">
        <v>1.3466020000000001</v>
      </c>
      <c r="C4441">
        <f t="shared" si="71"/>
        <v>-7.837234267509265E-3</v>
      </c>
      <c r="D4441">
        <f>(C4441-meanrtn)/stdevrtns</f>
        <v>-1.2909206925620913</v>
      </c>
    </row>
    <row r="4442" spans="1:4" x14ac:dyDescent="0.3">
      <c r="A4442" s="1">
        <v>44195</v>
      </c>
      <c r="B4442">
        <v>1.34999</v>
      </c>
      <c r="C4442">
        <f t="shared" si="71"/>
        <v>2.5159624001746222E-3</v>
      </c>
      <c r="D4442">
        <f>(C4442-meanrtn)/stdevrtns</f>
        <v>0.42502077117283538</v>
      </c>
    </row>
    <row r="4443" spans="1:4" x14ac:dyDescent="0.3">
      <c r="A4443" s="1">
        <v>44196</v>
      </c>
      <c r="B4443">
        <v>1.3630660000000001</v>
      </c>
      <c r="C4443">
        <f t="shared" si="71"/>
        <v>9.6859976740569093E-3</v>
      </c>
      <c r="D4443">
        <f>(C4443-meanrtn)/stdevrtns</f>
        <v>1.6133842513431595</v>
      </c>
    </row>
    <row r="4444" spans="1:4" x14ac:dyDescent="0.3">
      <c r="A4444" s="1">
        <v>44197</v>
      </c>
      <c r="B4444">
        <v>1.3673010000000001</v>
      </c>
      <c r="C4444">
        <f t="shared" si="71"/>
        <v>3.1069662070655336E-3</v>
      </c>
      <c r="D4444">
        <f>(C4444-meanrtn)/stdevrtns</f>
        <v>0.52297389328774402</v>
      </c>
    </row>
    <row r="4445" spans="1:4" x14ac:dyDescent="0.3">
      <c r="A4445" s="1">
        <v>44200</v>
      </c>
      <c r="B4445">
        <v>1.36842</v>
      </c>
      <c r="C4445">
        <f t="shared" si="71"/>
        <v>8.1840063014644907E-4</v>
      </c>
      <c r="D4445">
        <f>(C4445-meanrtn)/stdevrtns</f>
        <v>0.14366644922366636</v>
      </c>
    </row>
    <row r="4446" spans="1:4" x14ac:dyDescent="0.3">
      <c r="A4446" s="1">
        <v>44201</v>
      </c>
      <c r="B4446">
        <v>1.3571599999999999</v>
      </c>
      <c r="C4446">
        <f t="shared" si="71"/>
        <v>-8.2284678680522409E-3</v>
      </c>
      <c r="D4446">
        <f>(C4446-meanrtn)/stdevrtns</f>
        <v>-1.3557638495817468</v>
      </c>
    </row>
    <row r="4447" spans="1:4" x14ac:dyDescent="0.3">
      <c r="A4447" s="1">
        <v>44202</v>
      </c>
      <c r="B4447">
        <v>1.3629549999999999</v>
      </c>
      <c r="C4447">
        <f t="shared" si="71"/>
        <v>4.2699460638391902E-3</v>
      </c>
      <c r="D4447">
        <f>(C4447-meanrtn)/stdevrtns</f>
        <v>0.71572647220430585</v>
      </c>
    </row>
    <row r="4448" spans="1:4" x14ac:dyDescent="0.3">
      <c r="A4448" s="1">
        <v>44203</v>
      </c>
      <c r="B4448">
        <v>1.362528</v>
      </c>
      <c r="C4448">
        <f t="shared" si="71"/>
        <v>-3.132898738402627E-4</v>
      </c>
      <c r="D4448">
        <f>(C4448-meanrtn)/stdevrtns</f>
        <v>-4.3900224359121935E-2</v>
      </c>
    </row>
    <row r="4449" spans="1:4" x14ac:dyDescent="0.3">
      <c r="A4449" s="1">
        <v>44204</v>
      </c>
      <c r="B4449">
        <v>1.3569629999999999</v>
      </c>
      <c r="C4449">
        <f t="shared" si="71"/>
        <v>-4.084319735080705E-3</v>
      </c>
      <c r="D4449">
        <f>(C4449-meanrtn)/stdevrtns</f>
        <v>-0.66891167807592256</v>
      </c>
    </row>
    <row r="4450" spans="1:4" x14ac:dyDescent="0.3">
      <c r="A4450" s="1">
        <v>44207</v>
      </c>
      <c r="B4450">
        <v>1.3516250000000001</v>
      </c>
      <c r="C4450">
        <f t="shared" si="71"/>
        <v>-3.9337844878599071E-3</v>
      </c>
      <c r="D4450">
        <f>(C4450-meanrtn)/stdevrtns</f>
        <v>-0.64396192769920713</v>
      </c>
    </row>
    <row r="4451" spans="1:4" x14ac:dyDescent="0.3">
      <c r="A4451" s="1">
        <v>44208</v>
      </c>
      <c r="B4451">
        <v>1.352411</v>
      </c>
      <c r="C4451">
        <f t="shared" si="71"/>
        <v>5.8152224174601189E-4</v>
      </c>
      <c r="D4451">
        <f>(C4451-meanrtn)/stdevrtns</f>
        <v>0.1044061645438866</v>
      </c>
    </row>
    <row r="4452" spans="1:4" x14ac:dyDescent="0.3">
      <c r="A4452" s="1">
        <v>44209</v>
      </c>
      <c r="B4452">
        <v>1.367054</v>
      </c>
      <c r="C4452">
        <f t="shared" si="71"/>
        <v>1.082732985756546E-2</v>
      </c>
      <c r="D4452">
        <f>(C4452-meanrtn)/stdevrtns</f>
        <v>1.802548939355946</v>
      </c>
    </row>
    <row r="4453" spans="1:4" x14ac:dyDescent="0.3">
      <c r="A4453" s="1">
        <v>44210</v>
      </c>
      <c r="B4453">
        <v>1.364927</v>
      </c>
      <c r="C4453">
        <f t="shared" si="71"/>
        <v>-1.5559004984440922E-3</v>
      </c>
      <c r="D4453">
        <f>(C4453-meanrtn)/stdevrtns</f>
        <v>-0.24985082710298653</v>
      </c>
    </row>
    <row r="4454" spans="1:4" x14ac:dyDescent="0.3">
      <c r="A4454" s="1">
        <v>44211</v>
      </c>
      <c r="B4454">
        <v>1.368363</v>
      </c>
      <c r="C4454">
        <f t="shared" si="71"/>
        <v>2.5173507447651005E-3</v>
      </c>
      <c r="D4454">
        <f>(C4454-meanrtn)/stdevrtns</f>
        <v>0.42525087576035764</v>
      </c>
    </row>
    <row r="4455" spans="1:4" x14ac:dyDescent="0.3">
      <c r="A4455" s="1">
        <v>44214</v>
      </c>
      <c r="B4455">
        <v>1.357534</v>
      </c>
      <c r="C4455">
        <f t="shared" si="71"/>
        <v>-7.9138357292618828E-3</v>
      </c>
      <c r="D4455">
        <f>(C4455-meanrtn)/stdevrtns</f>
        <v>-1.3036166384252956</v>
      </c>
    </row>
    <row r="4456" spans="1:4" x14ac:dyDescent="0.3">
      <c r="A4456" s="1">
        <v>44215</v>
      </c>
      <c r="B4456">
        <v>1.3581240000000001</v>
      </c>
      <c r="C4456">
        <f t="shared" si="71"/>
        <v>4.3461158247240251E-4</v>
      </c>
      <c r="D4456">
        <f>(C4456-meanrtn)/stdevrtns</f>
        <v>8.0057154300597608E-2</v>
      </c>
    </row>
    <row r="4457" spans="1:4" x14ac:dyDescent="0.3">
      <c r="A4457" s="1">
        <v>44216</v>
      </c>
      <c r="B4457">
        <v>1.3644240000000001</v>
      </c>
      <c r="C4457">
        <f t="shared" si="71"/>
        <v>4.6387516898309519E-3</v>
      </c>
      <c r="D4457">
        <f>(C4457-meanrtn)/stdevrtns</f>
        <v>0.77685241098544888</v>
      </c>
    </row>
    <row r="4458" spans="1:4" x14ac:dyDescent="0.3">
      <c r="A4458" s="1">
        <v>44217</v>
      </c>
      <c r="B4458">
        <v>1.3668480000000001</v>
      </c>
      <c r="C4458">
        <f t="shared" si="71"/>
        <v>1.7765738509436814E-3</v>
      </c>
      <c r="D4458">
        <f>(C4458-meanrtn)/stdevrtns</f>
        <v>0.30247432391018375</v>
      </c>
    </row>
    <row r="4459" spans="1:4" x14ac:dyDescent="0.3">
      <c r="A4459" s="1">
        <v>44218</v>
      </c>
      <c r="B4459">
        <v>1.3729469999999999</v>
      </c>
      <c r="C4459">
        <f t="shared" si="71"/>
        <v>4.4620908835509539E-3</v>
      </c>
      <c r="D4459">
        <f>(C4459-meanrtn)/stdevrtns</f>
        <v>0.74757260376813783</v>
      </c>
    </row>
    <row r="4460" spans="1:4" x14ac:dyDescent="0.3">
      <c r="A4460" s="1">
        <v>44221</v>
      </c>
      <c r="B4460">
        <v>1.3688199999999999</v>
      </c>
      <c r="C4460">
        <f t="shared" si="71"/>
        <v>-3.0059426911599589E-3</v>
      </c>
      <c r="D4460">
        <f>(C4460-meanrtn)/stdevrtns</f>
        <v>-0.49018119100042995</v>
      </c>
    </row>
    <row r="4461" spans="1:4" x14ac:dyDescent="0.3">
      <c r="A4461" s="1">
        <v>44222</v>
      </c>
      <c r="B4461">
        <v>1.367899</v>
      </c>
      <c r="C4461">
        <f t="shared" si="71"/>
        <v>-6.7284230212880417E-4</v>
      </c>
      <c r="D4461">
        <f>(C4461-meanrtn)/stdevrtns</f>
        <v>-0.10349253578624655</v>
      </c>
    </row>
    <row r="4462" spans="1:4" x14ac:dyDescent="0.3">
      <c r="A4462" s="1">
        <v>44223</v>
      </c>
      <c r="B4462">
        <v>1.374155</v>
      </c>
      <c r="C4462">
        <f t="shared" si="71"/>
        <v>4.5734370739360427E-3</v>
      </c>
      <c r="D4462">
        <f>(C4462-meanrtn)/stdevrtns</f>
        <v>0.76602714984153331</v>
      </c>
    </row>
    <row r="4463" spans="1:4" x14ac:dyDescent="0.3">
      <c r="A4463" s="1">
        <v>44224</v>
      </c>
      <c r="B4463">
        <v>1.3669420000000001</v>
      </c>
      <c r="C4463">
        <f t="shared" si="71"/>
        <v>-5.2490439579231697E-3</v>
      </c>
      <c r="D4463">
        <f>(C4463-meanrtn)/stdevrtns</f>
        <v>-0.86195336867088446</v>
      </c>
    </row>
    <row r="4464" spans="1:4" x14ac:dyDescent="0.3">
      <c r="A4464" s="1">
        <v>44225</v>
      </c>
      <c r="B4464">
        <v>1.372501</v>
      </c>
      <c r="C4464">
        <f t="shared" si="71"/>
        <v>4.0667416759451892E-3</v>
      </c>
      <c r="D4464">
        <f>(C4464-meanrtn)/stdevrtns</f>
        <v>0.68204732498124854</v>
      </c>
    </row>
    <row r="4465" spans="1:4" x14ac:dyDescent="0.3">
      <c r="A4465" s="1">
        <v>44228</v>
      </c>
      <c r="B4465">
        <v>1.369769</v>
      </c>
      <c r="C4465">
        <f t="shared" si="71"/>
        <v>-1.9905267828584147E-3</v>
      </c>
      <c r="D4465">
        <f>(C4465-meanrtn)/stdevrtns</f>
        <v>-0.32188589864600847</v>
      </c>
    </row>
    <row r="4466" spans="1:4" x14ac:dyDescent="0.3">
      <c r="A4466" s="1">
        <v>44229</v>
      </c>
      <c r="B4466">
        <v>1.367877</v>
      </c>
      <c r="C4466">
        <f t="shared" si="71"/>
        <v>-1.3812547955166198E-3</v>
      </c>
      <c r="D4466">
        <f>(C4466-meanrtn)/stdevrtns</f>
        <v>-0.22090500363072518</v>
      </c>
    </row>
    <row r="4467" spans="1:4" x14ac:dyDescent="0.3">
      <c r="A4467" s="1">
        <v>44230</v>
      </c>
      <c r="B4467">
        <v>1.365934</v>
      </c>
      <c r="C4467">
        <f t="shared" si="71"/>
        <v>-1.4204493532678948E-3</v>
      </c>
      <c r="D4467">
        <f>(C4467-meanrtn)/stdevrtns</f>
        <v>-0.22740111965719798</v>
      </c>
    </row>
    <row r="4468" spans="1:4" x14ac:dyDescent="0.3">
      <c r="A4468" s="1">
        <v>44231</v>
      </c>
      <c r="B4468">
        <v>1.364908</v>
      </c>
      <c r="C4468">
        <f t="shared" si="71"/>
        <v>-7.511343886307621E-4</v>
      </c>
      <c r="D4468">
        <f>(C4468-meanrtn)/stdevrtns</f>
        <v>-0.11646868622781693</v>
      </c>
    </row>
    <row r="4469" spans="1:4" x14ac:dyDescent="0.3">
      <c r="A4469" s="1">
        <v>44232</v>
      </c>
      <c r="B4469">
        <v>1.367615</v>
      </c>
      <c r="C4469">
        <f t="shared" si="71"/>
        <v>1.9832838550290677E-3</v>
      </c>
      <c r="D4469">
        <f>(C4469-meanrtn)/stdevrtns</f>
        <v>0.33673449285743129</v>
      </c>
    </row>
    <row r="4470" spans="1:4" x14ac:dyDescent="0.3">
      <c r="A4470" s="1">
        <v>44235</v>
      </c>
      <c r="B4470">
        <v>1.373872</v>
      </c>
      <c r="C4470">
        <f t="shared" si="71"/>
        <v>4.5751179973895851E-3</v>
      </c>
      <c r="D4470">
        <f>(C4470-meanrtn)/stdevrtns</f>
        <v>0.76630574652465255</v>
      </c>
    </row>
    <row r="4471" spans="1:4" x14ac:dyDescent="0.3">
      <c r="A4471" s="1">
        <v>44236</v>
      </c>
      <c r="B4471">
        <v>1.3745700000000001</v>
      </c>
      <c r="C4471">
        <f t="shared" si="71"/>
        <v>5.0805315196764144E-4</v>
      </c>
      <c r="D4471">
        <f>(C4471-meanrtn)/stdevrtns</f>
        <v>9.2229378812859572E-2</v>
      </c>
    </row>
    <row r="4472" spans="1:4" x14ac:dyDescent="0.3">
      <c r="A4472" s="1">
        <v>44237</v>
      </c>
      <c r="B4472">
        <v>1.381799</v>
      </c>
      <c r="C4472">
        <f t="shared" si="71"/>
        <v>5.2590992092071921E-3</v>
      </c>
      <c r="D4472">
        <f>(C4472-meanrtn)/stdevrtns</f>
        <v>0.87966896751290558</v>
      </c>
    </row>
    <row r="4473" spans="1:4" x14ac:dyDescent="0.3">
      <c r="A4473" s="1">
        <v>44238</v>
      </c>
      <c r="B4473">
        <v>1.3832599999999999</v>
      </c>
      <c r="C4473">
        <f t="shared" si="71"/>
        <v>1.0573173088125947E-3</v>
      </c>
      <c r="D4473">
        <f>(C4473-meanrtn)/stdevrtns</f>
        <v>0.18326456065341734</v>
      </c>
    </row>
    <row r="4474" spans="1:4" x14ac:dyDescent="0.3">
      <c r="A4474" s="1">
        <v>44239</v>
      </c>
      <c r="B4474">
        <v>1.3810249999999999</v>
      </c>
      <c r="C4474">
        <f t="shared" si="71"/>
        <v>-1.6157483047293979E-3</v>
      </c>
      <c r="D4474">
        <f>(C4474-meanrtn)/stdevrtns</f>
        <v>-0.25977001782396275</v>
      </c>
    </row>
    <row r="4475" spans="1:4" x14ac:dyDescent="0.3">
      <c r="A4475" s="1">
        <v>44242</v>
      </c>
      <c r="B4475">
        <v>1.3871549999999999</v>
      </c>
      <c r="C4475">
        <f t="shared" si="71"/>
        <v>4.438732101156727E-3</v>
      </c>
      <c r="D4475">
        <f>(C4475-meanrtn)/stdevrtns</f>
        <v>0.74370111319965215</v>
      </c>
    </row>
    <row r="4476" spans="1:4" x14ac:dyDescent="0.3">
      <c r="A4476" s="1">
        <v>44243</v>
      </c>
      <c r="B4476">
        <v>1.3914789999999999</v>
      </c>
      <c r="C4476">
        <f t="shared" si="71"/>
        <v>3.1171714768717228E-3</v>
      </c>
      <c r="D4476">
        <f>(C4476-meanrtn)/stdevrtns</f>
        <v>0.52466531731561961</v>
      </c>
    </row>
    <row r="4477" spans="1:4" x14ac:dyDescent="0.3">
      <c r="A4477" s="1">
        <v>44244</v>
      </c>
      <c r="B4477">
        <v>1.3888119999999999</v>
      </c>
      <c r="C4477">
        <f t="shared" si="71"/>
        <v>-1.9166656485652856E-3</v>
      </c>
      <c r="D4477">
        <f>(C4477-meanrtn)/stdevrtns</f>
        <v>-0.30964413535683227</v>
      </c>
    </row>
    <row r="4478" spans="1:4" x14ac:dyDescent="0.3">
      <c r="A4478" s="1">
        <v>44245</v>
      </c>
      <c r="B4478">
        <v>1.386636</v>
      </c>
      <c r="C4478">
        <f t="shared" si="71"/>
        <v>-1.5668067384210073E-3</v>
      </c>
      <c r="D4478">
        <f>(C4478-meanrtn)/stdevrtns</f>
        <v>-0.25165843010624511</v>
      </c>
    </row>
    <row r="4479" spans="1:4" x14ac:dyDescent="0.3">
      <c r="A4479" s="1">
        <v>44246</v>
      </c>
      <c r="B4479">
        <v>1.396746</v>
      </c>
      <c r="C4479">
        <f t="shared" si="71"/>
        <v>7.2910266284735605E-3</v>
      </c>
      <c r="D4479">
        <f>(C4479-meanrtn)/stdevrtns</f>
        <v>1.2164411376873825</v>
      </c>
    </row>
    <row r="4480" spans="1:4" x14ac:dyDescent="0.3">
      <c r="A4480" s="1">
        <v>44249</v>
      </c>
      <c r="B4480">
        <v>1.4031149999999999</v>
      </c>
      <c r="C4480">
        <f t="shared" si="71"/>
        <v>4.5598841879624834E-3</v>
      </c>
      <c r="D4480">
        <f>(C4480-meanrtn)/stdevrtns</f>
        <v>0.76378089105385927</v>
      </c>
    </row>
    <row r="4481" spans="1:4" x14ac:dyDescent="0.3">
      <c r="A4481" s="1">
        <v>44250</v>
      </c>
      <c r="B4481">
        <v>1.4071229999999999</v>
      </c>
      <c r="C4481">
        <f t="shared" si="71"/>
        <v>2.856501427181672E-3</v>
      </c>
      <c r="D4481">
        <f>(C4481-meanrtn)/stdevrtns</f>
        <v>0.48146179660851551</v>
      </c>
    </row>
    <row r="4482" spans="1:4" x14ac:dyDescent="0.3">
      <c r="A4482" s="1">
        <v>44251</v>
      </c>
      <c r="B4482">
        <v>1.412031</v>
      </c>
      <c r="C4482">
        <f t="shared" si="71"/>
        <v>3.4879680027972925E-3</v>
      </c>
      <c r="D4482">
        <f>(C4482-meanrtn)/stdevrtns</f>
        <v>0.58612122836100367</v>
      </c>
    </row>
    <row r="4483" spans="1:4" x14ac:dyDescent="0.3">
      <c r="A4483" s="1">
        <v>44252</v>
      </c>
      <c r="B4483">
        <v>1.4148270000000001</v>
      </c>
      <c r="C4483">
        <f t="shared" si="71"/>
        <v>1.9801264986392089E-3</v>
      </c>
      <c r="D4483">
        <f>(C4483-meanrtn)/stdevrtns</f>
        <v>0.3362111918018203</v>
      </c>
    </row>
    <row r="4484" spans="1:4" x14ac:dyDescent="0.3">
      <c r="A4484" s="1">
        <v>44253</v>
      </c>
      <c r="B4484">
        <v>1.4008149999999999</v>
      </c>
      <c r="C4484">
        <f t="shared" ref="C4484:C4547" si="72">(B4484-B4483)/B4483</f>
        <v>-9.9036843373784458E-3</v>
      </c>
      <c r="D4484">
        <f>(C4484-meanrtn)/stdevrtns</f>
        <v>-1.633414655677323</v>
      </c>
    </row>
    <row r="4485" spans="1:4" x14ac:dyDescent="0.3">
      <c r="A4485" s="1">
        <v>44256</v>
      </c>
      <c r="B4485">
        <v>1.3972530000000001</v>
      </c>
      <c r="C4485">
        <f t="shared" si="72"/>
        <v>-2.5428054382626137E-3</v>
      </c>
      <c r="D4485">
        <f>(C4485-meanrtn)/stdevrtns</f>
        <v>-0.41342070424879274</v>
      </c>
    </row>
    <row r="4486" spans="1:4" x14ac:dyDescent="0.3">
      <c r="A4486" s="1">
        <v>44257</v>
      </c>
      <c r="B4486">
        <v>1.392952</v>
      </c>
      <c r="C4486">
        <f t="shared" si="72"/>
        <v>-3.0781826913236971E-3</v>
      </c>
      <c r="D4486">
        <f>(C4486-meanrtn)/stdevrtns</f>
        <v>-0.50215426710436406</v>
      </c>
    </row>
    <row r="4487" spans="1:4" x14ac:dyDescent="0.3">
      <c r="A4487" s="1">
        <v>44258</v>
      </c>
      <c r="B4487">
        <v>1.3954979999999999</v>
      </c>
      <c r="C4487">
        <f t="shared" si="72"/>
        <v>1.8277729598722263E-3</v>
      </c>
      <c r="D4487">
        <f>(C4487-meanrtn)/stdevrtns</f>
        <v>0.31096007731917652</v>
      </c>
    </row>
    <row r="4488" spans="1:4" x14ac:dyDescent="0.3">
      <c r="A4488" s="1">
        <v>44259</v>
      </c>
      <c r="B4488">
        <v>1.3926989999999999</v>
      </c>
      <c r="C4488">
        <f t="shared" si="72"/>
        <v>-2.0057355868657611E-3</v>
      </c>
      <c r="D4488">
        <f>(C4488-meanrtn)/stdevrtns</f>
        <v>-0.32440660971213581</v>
      </c>
    </row>
    <row r="4489" spans="1:4" x14ac:dyDescent="0.3">
      <c r="A4489" s="1">
        <v>44260</v>
      </c>
      <c r="B4489">
        <v>1.38941</v>
      </c>
      <c r="C4489">
        <f t="shared" si="72"/>
        <v>-2.3616014659304527E-3</v>
      </c>
      <c r="D4489">
        <f>(C4489-meanrtn)/stdevrtns</f>
        <v>-0.38338791152799234</v>
      </c>
    </row>
    <row r="4490" spans="1:4" x14ac:dyDescent="0.3">
      <c r="A4490" s="1">
        <v>44263</v>
      </c>
      <c r="B4490">
        <v>1.3853679999999999</v>
      </c>
      <c r="C4490">
        <f t="shared" si="72"/>
        <v>-2.9091484874875675E-3</v>
      </c>
      <c r="D4490">
        <f>(C4490-meanrtn)/stdevrtns</f>
        <v>-0.47413849492675275</v>
      </c>
    </row>
    <row r="4491" spans="1:4" x14ac:dyDescent="0.3">
      <c r="A4491" s="1">
        <v>44264</v>
      </c>
      <c r="B4491">
        <v>1.382361</v>
      </c>
      <c r="C4491">
        <f t="shared" si="72"/>
        <v>-2.1705424118356872E-3</v>
      </c>
      <c r="D4491">
        <f>(C4491-meanrtn)/stdevrtns</f>
        <v>-0.35172173503522752</v>
      </c>
    </row>
    <row r="4492" spans="1:4" x14ac:dyDescent="0.3">
      <c r="A4492" s="1">
        <v>44265</v>
      </c>
      <c r="B4492">
        <v>1.389043</v>
      </c>
      <c r="C4492">
        <f t="shared" si="72"/>
        <v>4.8337590542557821E-3</v>
      </c>
      <c r="D4492">
        <f>(C4492-meanrtn)/stdevrtns</f>
        <v>0.80917298144217642</v>
      </c>
    </row>
    <row r="4493" spans="1:4" x14ac:dyDescent="0.3">
      <c r="A4493" s="1">
        <v>44266</v>
      </c>
      <c r="B4493">
        <v>1.393146</v>
      </c>
      <c r="C4493">
        <f t="shared" si="72"/>
        <v>2.9538322427743184E-3</v>
      </c>
      <c r="D4493">
        <f>(C4493-meanrtn)/stdevrtns</f>
        <v>0.49759343087910479</v>
      </c>
    </row>
    <row r="4494" spans="1:4" x14ac:dyDescent="0.3">
      <c r="A4494" s="1">
        <v>44267</v>
      </c>
      <c r="B4494">
        <v>1.3989929999999999</v>
      </c>
      <c r="C4494">
        <f t="shared" si="72"/>
        <v>4.1969757656411715E-3</v>
      </c>
      <c r="D4494">
        <f>(C4494-meanrtn)/stdevrtns</f>
        <v>0.70363235631738208</v>
      </c>
    </row>
    <row r="4495" spans="1:4" x14ac:dyDescent="0.3">
      <c r="A4495" s="1">
        <v>44270</v>
      </c>
      <c r="B4495">
        <v>1.392952</v>
      </c>
      <c r="C4495">
        <f t="shared" si="72"/>
        <v>-4.318105951923965E-3</v>
      </c>
      <c r="D4495">
        <f>(C4495-meanrtn)/stdevrtns</f>
        <v>-0.70765946545093228</v>
      </c>
    </row>
    <row r="4496" spans="1:4" x14ac:dyDescent="0.3">
      <c r="A4496" s="1">
        <v>44271</v>
      </c>
      <c r="B4496">
        <v>1.389912</v>
      </c>
      <c r="C4496">
        <f t="shared" si="72"/>
        <v>-2.1824154744743045E-3</v>
      </c>
      <c r="D4496">
        <f>(C4496-meanrtn)/stdevrtns</f>
        <v>-0.35368957947372048</v>
      </c>
    </row>
    <row r="4497" spans="1:4" x14ac:dyDescent="0.3">
      <c r="A4497" s="1">
        <v>44272</v>
      </c>
      <c r="B4497">
        <v>1.3902209999999999</v>
      </c>
      <c r="C4497">
        <f t="shared" si="72"/>
        <v>2.2231623297006765E-4</v>
      </c>
      <c r="D4497">
        <f>(C4497-meanrtn)/stdevrtns</f>
        <v>4.4871268775383409E-2</v>
      </c>
    </row>
    <row r="4498" spans="1:4" x14ac:dyDescent="0.3">
      <c r="A4498" s="1">
        <v>44273</v>
      </c>
      <c r="B4498">
        <v>1.3975850000000001</v>
      </c>
      <c r="C4498">
        <f t="shared" si="72"/>
        <v>5.2969995417995758E-3</v>
      </c>
      <c r="D4498">
        <f>(C4498-meanrtn)/stdevrtns</f>
        <v>0.88595057833052027</v>
      </c>
    </row>
    <row r="4499" spans="1:4" x14ac:dyDescent="0.3">
      <c r="A4499" s="1">
        <v>44274</v>
      </c>
      <c r="B4499">
        <v>1.392506</v>
      </c>
      <c r="C4499">
        <f t="shared" si="72"/>
        <v>-3.6341260102248202E-3</v>
      </c>
      <c r="D4499">
        <f>(C4499-meanrtn)/stdevrtns</f>
        <v>-0.59429645497243799</v>
      </c>
    </row>
    <row r="4500" spans="1:4" x14ac:dyDescent="0.3">
      <c r="A4500" s="1">
        <v>44277</v>
      </c>
      <c r="B4500">
        <v>1.3832599999999999</v>
      </c>
      <c r="C4500">
        <f t="shared" si="72"/>
        <v>-6.6398277637583518E-3</v>
      </c>
      <c r="D4500">
        <f>(C4500-meanrtn)/stdevrtns</f>
        <v>-1.0924622323702291</v>
      </c>
    </row>
    <row r="4501" spans="1:4" x14ac:dyDescent="0.3">
      <c r="A4501" s="1">
        <v>44278</v>
      </c>
      <c r="B4501">
        <v>1.3862509999999999</v>
      </c>
      <c r="C4501">
        <f t="shared" si="72"/>
        <v>2.1622833017653702E-3</v>
      </c>
      <c r="D4501">
        <f>(C4501-meanrtn)/stdevrtns</f>
        <v>0.36640190694212343</v>
      </c>
    </row>
    <row r="4502" spans="1:4" x14ac:dyDescent="0.3">
      <c r="A4502" s="1">
        <v>44279</v>
      </c>
      <c r="B4502">
        <v>1.3730420000000001</v>
      </c>
      <c r="C4502">
        <f t="shared" si="72"/>
        <v>-9.5285774365535571E-3</v>
      </c>
      <c r="D4502">
        <f>(C4502-meanrtn)/stdevrtns</f>
        <v>-1.5712443419936628</v>
      </c>
    </row>
    <row r="4503" spans="1:4" x14ac:dyDescent="0.3">
      <c r="A4503" s="1">
        <v>44280</v>
      </c>
      <c r="B4503">
        <v>1.3688880000000001</v>
      </c>
      <c r="C4503">
        <f t="shared" si="72"/>
        <v>-3.0253990773770872E-3</v>
      </c>
      <c r="D4503">
        <f>(C4503-meanrtn)/stdevrtns</f>
        <v>-0.49340589742840896</v>
      </c>
    </row>
    <row r="4504" spans="1:4" x14ac:dyDescent="0.3">
      <c r="A4504" s="1">
        <v>44281</v>
      </c>
      <c r="B4504">
        <v>1.374911</v>
      </c>
      <c r="C4504">
        <f t="shared" si="72"/>
        <v>4.3999216882607559E-3</v>
      </c>
      <c r="D4504">
        <f>(C4504-meanrtn)/stdevrtns</f>
        <v>0.73726866543975</v>
      </c>
    </row>
    <row r="4505" spans="1:4" x14ac:dyDescent="0.3">
      <c r="A4505" s="1">
        <v>44284</v>
      </c>
      <c r="B4505">
        <v>1.3791009999999999</v>
      </c>
      <c r="C4505">
        <f t="shared" si="72"/>
        <v>3.0474699816932993E-3</v>
      </c>
      <c r="D4505">
        <f>(C4505-meanrtn)/stdevrtns</f>
        <v>0.51311297367722397</v>
      </c>
    </row>
    <row r="4506" spans="1:4" x14ac:dyDescent="0.3">
      <c r="A4506" s="1">
        <v>44285</v>
      </c>
      <c r="B4506">
        <v>1.377505</v>
      </c>
      <c r="C4506">
        <f t="shared" si="72"/>
        <v>-1.1572756455110473E-3</v>
      </c>
      <c r="D4506">
        <f>(C4506-meanrtn)/stdevrtns</f>
        <v>-0.18378264202174338</v>
      </c>
    </row>
    <row r="4507" spans="1:4" x14ac:dyDescent="0.3">
      <c r="A4507" s="1">
        <v>44286</v>
      </c>
      <c r="B4507">
        <v>1.374665</v>
      </c>
      <c r="C4507">
        <f t="shared" si="72"/>
        <v>-2.0616985056315248E-3</v>
      </c>
      <c r="D4507">
        <f>(C4507-meanrtn)/stdevrtns</f>
        <v>-0.333681918181987</v>
      </c>
    </row>
    <row r="4508" spans="1:4" x14ac:dyDescent="0.3">
      <c r="A4508" s="1">
        <v>44287</v>
      </c>
      <c r="B4508">
        <v>1.3786259999999999</v>
      </c>
      <c r="C4508">
        <f t="shared" si="72"/>
        <v>2.8814292936823744E-3</v>
      </c>
      <c r="D4508">
        <f>(C4508-meanrtn)/stdevrtns</f>
        <v>0.48559334757813244</v>
      </c>
    </row>
    <row r="4509" spans="1:4" x14ac:dyDescent="0.3">
      <c r="A4509" s="1">
        <v>44288</v>
      </c>
      <c r="B4509">
        <v>1.3835090000000001</v>
      </c>
      <c r="C4509">
        <f t="shared" si="72"/>
        <v>3.5419323297255331E-3</v>
      </c>
      <c r="D4509">
        <f>(C4509-meanrtn)/stdevrtns</f>
        <v>0.59506528970852468</v>
      </c>
    </row>
    <row r="4510" spans="1:4" x14ac:dyDescent="0.3">
      <c r="A4510" s="1">
        <v>44291</v>
      </c>
      <c r="B4510">
        <v>1.3831260000000001</v>
      </c>
      <c r="C4510">
        <f t="shared" si="72"/>
        <v>-2.7683231551079335E-4</v>
      </c>
      <c r="D4510">
        <f>(C4510-meanrtn)/stdevrtns</f>
        <v>-3.785773931686047E-2</v>
      </c>
    </row>
    <row r="4511" spans="1:4" x14ac:dyDescent="0.3">
      <c r="A4511" s="1">
        <v>44292</v>
      </c>
      <c r="B4511">
        <v>1.3914010000000001</v>
      </c>
      <c r="C4511">
        <f t="shared" si="72"/>
        <v>5.9828244136832303E-3</v>
      </c>
      <c r="D4511">
        <f>(C4511-meanrtn)/stdevrtns</f>
        <v>0.99961936800967222</v>
      </c>
    </row>
    <row r="4512" spans="1:4" x14ac:dyDescent="0.3">
      <c r="A4512" s="1">
        <v>44293</v>
      </c>
      <c r="B4512">
        <v>1.3831260000000001</v>
      </c>
      <c r="C4512">
        <f t="shared" si="72"/>
        <v>-5.9472431024557492E-3</v>
      </c>
      <c r="D4512">
        <f>(C4512-meanrtn)/stdevrtns</f>
        <v>-0.97767307346383214</v>
      </c>
    </row>
    <row r="4513" spans="1:4" x14ac:dyDescent="0.3">
      <c r="A4513" s="1">
        <v>44294</v>
      </c>
      <c r="B4513">
        <v>1.374382</v>
      </c>
      <c r="C4513">
        <f t="shared" si="72"/>
        <v>-6.3219113804527461E-3</v>
      </c>
      <c r="D4513">
        <f>(C4513-meanrtn)/stdevrtns</f>
        <v>-1.0397706896878109</v>
      </c>
    </row>
    <row r="4514" spans="1:4" x14ac:dyDescent="0.3">
      <c r="A4514" s="1">
        <v>44295</v>
      </c>
      <c r="B4514">
        <v>1.3734379999999999</v>
      </c>
      <c r="C4514">
        <f t="shared" si="72"/>
        <v>-6.868541642716915E-4</v>
      </c>
      <c r="D4514">
        <f>(C4514-meanrtn)/stdevrtns</f>
        <v>-0.10581486540161712</v>
      </c>
    </row>
    <row r="4515" spans="1:4" x14ac:dyDescent="0.3">
      <c r="A4515" s="1">
        <v>44298</v>
      </c>
      <c r="B4515">
        <v>1.3712150000000001</v>
      </c>
      <c r="C4515">
        <f t="shared" si="72"/>
        <v>-1.6185659636618937E-3</v>
      </c>
      <c r="D4515">
        <f>(C4515-meanrtn)/stdevrtns</f>
        <v>-0.2602370173361061</v>
      </c>
    </row>
    <row r="4516" spans="1:4" x14ac:dyDescent="0.3">
      <c r="A4516" s="1">
        <v>44299</v>
      </c>
      <c r="B4516">
        <v>1.375383</v>
      </c>
      <c r="C4516">
        <f t="shared" si="72"/>
        <v>3.0396400272750439E-3</v>
      </c>
      <c r="D4516">
        <f>(C4516-meanrtn)/stdevrtns</f>
        <v>0.51181523502927795</v>
      </c>
    </row>
    <row r="4517" spans="1:4" x14ac:dyDescent="0.3">
      <c r="A4517" s="1">
        <v>44300</v>
      </c>
      <c r="B4517">
        <v>1.3759699999999999</v>
      </c>
      <c r="C4517">
        <f t="shared" si="72"/>
        <v>4.2679021043585182E-4</v>
      </c>
      <c r="D4517">
        <f>(C4517-meanrtn)/stdevrtns</f>
        <v>7.8760838098790475E-2</v>
      </c>
    </row>
    <row r="4518" spans="1:4" x14ac:dyDescent="0.3">
      <c r="A4518" s="1">
        <v>44301</v>
      </c>
      <c r="B4518">
        <v>1.377923</v>
      </c>
      <c r="C4518">
        <f t="shared" si="72"/>
        <v>1.4193623407487762E-3</v>
      </c>
      <c r="D4518">
        <f>(C4518-meanrtn)/stdevrtns</f>
        <v>0.24326999684663406</v>
      </c>
    </row>
    <row r="4519" spans="1:4" x14ac:dyDescent="0.3">
      <c r="A4519" s="1">
        <v>44302</v>
      </c>
      <c r="B4519">
        <v>1.3785499999999999</v>
      </c>
      <c r="C4519">
        <f t="shared" si="72"/>
        <v>4.5503268324858007E-4</v>
      </c>
      <c r="D4519">
        <f>(C4519-meanrtn)/stdevrtns</f>
        <v>8.3441752766338112E-2</v>
      </c>
    </row>
    <row r="4520" spans="1:4" x14ac:dyDescent="0.3">
      <c r="A4520" s="1">
        <v>44305</v>
      </c>
      <c r="B4520">
        <v>1.381845</v>
      </c>
      <c r="C4520">
        <f t="shared" si="72"/>
        <v>2.3901925936672939E-3</v>
      </c>
      <c r="D4520">
        <f>(C4520-meanrtn)/stdevrtns</f>
        <v>0.40417565127421734</v>
      </c>
    </row>
    <row r="4521" spans="1:4" x14ac:dyDescent="0.3">
      <c r="A4521" s="1">
        <v>44306</v>
      </c>
      <c r="B4521">
        <v>1.399384</v>
      </c>
      <c r="C4521">
        <f t="shared" si="72"/>
        <v>1.2692451034667398E-2</v>
      </c>
      <c r="D4521">
        <f>(C4521-meanrtn)/stdevrtns</f>
        <v>2.1116746002901237</v>
      </c>
    </row>
    <row r="4522" spans="1:4" x14ac:dyDescent="0.3">
      <c r="A4522" s="1">
        <v>44307</v>
      </c>
      <c r="B4522">
        <v>1.3938839999999999</v>
      </c>
      <c r="C4522">
        <f t="shared" si="72"/>
        <v>-3.9303007609062706E-3</v>
      </c>
      <c r="D4522">
        <f>(C4522-meanrtn)/stdevrtns</f>
        <v>-0.64338453390287997</v>
      </c>
    </row>
    <row r="4523" spans="1:4" x14ac:dyDescent="0.3">
      <c r="A4523" s="1">
        <v>44308</v>
      </c>
      <c r="B4523">
        <v>1.3931849999999999</v>
      </c>
      <c r="C4523">
        <f t="shared" si="72"/>
        <v>-5.0147644997718978E-4</v>
      </c>
      <c r="D4523">
        <f>(C4523-meanrtn)/stdevrtns</f>
        <v>-7.5090315620462061E-2</v>
      </c>
    </row>
    <row r="4524" spans="1:4" x14ac:dyDescent="0.3">
      <c r="A4524" s="1">
        <v>44309</v>
      </c>
      <c r="B4524">
        <v>1.384026</v>
      </c>
      <c r="C4524">
        <f t="shared" si="72"/>
        <v>-6.5741448551340405E-3</v>
      </c>
      <c r="D4524">
        <f>(C4524-meanrtn)/stdevrtns</f>
        <v>-1.0815759302951444</v>
      </c>
    </row>
    <row r="4525" spans="1:4" x14ac:dyDescent="0.3">
      <c r="A4525" s="1">
        <v>44312</v>
      </c>
      <c r="B4525">
        <v>1.386636</v>
      </c>
      <c r="C4525">
        <f t="shared" si="72"/>
        <v>1.8858027233592443E-3</v>
      </c>
      <c r="D4525">
        <f>(C4525-meanrtn)/stdevrtns</f>
        <v>0.32057794516176441</v>
      </c>
    </row>
    <row r="4526" spans="1:4" x14ac:dyDescent="0.3">
      <c r="A4526" s="1">
        <v>44313</v>
      </c>
      <c r="B4526">
        <v>1.389564</v>
      </c>
      <c r="C4526">
        <f t="shared" si="72"/>
        <v>2.1115851600564542E-3</v>
      </c>
      <c r="D4526">
        <f>(C4526-meanrtn)/stdevrtns</f>
        <v>0.35799918396824415</v>
      </c>
    </row>
    <row r="4527" spans="1:4" x14ac:dyDescent="0.3">
      <c r="A4527" s="1">
        <v>44314</v>
      </c>
      <c r="B4527">
        <v>1.3903559999999999</v>
      </c>
      <c r="C4527">
        <f t="shared" si="72"/>
        <v>5.6996295240802433E-4</v>
      </c>
      <c r="D4527">
        <f>(C4527-meanrtn)/stdevrtns</f>
        <v>0.1024903249724937</v>
      </c>
    </row>
    <row r="4528" spans="1:4" x14ac:dyDescent="0.3">
      <c r="A4528" s="1">
        <v>44315</v>
      </c>
      <c r="B4528">
        <v>1.3956729999999999</v>
      </c>
      <c r="C4528">
        <f t="shared" si="72"/>
        <v>3.8242004206117111E-3</v>
      </c>
      <c r="D4528">
        <f>(C4528-meanrtn)/stdevrtns</f>
        <v>0.64184847528759736</v>
      </c>
    </row>
    <row r="4529" spans="1:4" x14ac:dyDescent="0.3">
      <c r="A4529" s="1">
        <v>44316</v>
      </c>
      <c r="B4529">
        <v>1.395284</v>
      </c>
      <c r="C4529">
        <f t="shared" si="72"/>
        <v>-2.7871858236132156E-4</v>
      </c>
      <c r="D4529">
        <f>(C4529-meanrtn)/stdevrtns</f>
        <v>-3.8170369667116739E-2</v>
      </c>
    </row>
    <row r="4530" spans="1:4" x14ac:dyDescent="0.3">
      <c r="A4530" s="1">
        <v>44319</v>
      </c>
      <c r="B4530">
        <v>1.3819790000000001</v>
      </c>
      <c r="C4530">
        <f t="shared" si="72"/>
        <v>-9.5356930918722646E-3</v>
      </c>
      <c r="D4530">
        <f>(C4530-meanrtn)/stdevrtns</f>
        <v>-1.5724236925261539</v>
      </c>
    </row>
    <row r="4531" spans="1:4" x14ac:dyDescent="0.3">
      <c r="A4531" s="1">
        <v>44320</v>
      </c>
      <c r="B4531">
        <v>1.3903760000000001</v>
      </c>
      <c r="C4531">
        <f t="shared" si="72"/>
        <v>6.0760691732652866E-3</v>
      </c>
      <c r="D4531">
        <f>(C4531-meanrtn)/stdevrtns</f>
        <v>1.0150737783119774</v>
      </c>
    </row>
    <row r="4532" spans="1:4" x14ac:dyDescent="0.3">
      <c r="A4532" s="1">
        <v>44321</v>
      </c>
      <c r="B4532">
        <v>1.3888119999999999</v>
      </c>
      <c r="C4532">
        <f t="shared" si="72"/>
        <v>-1.1248755732263221E-3</v>
      </c>
      <c r="D4532">
        <f>(C4532-meanrtn)/stdevrtns</f>
        <v>-0.17841264575431939</v>
      </c>
    </row>
    <row r="4533" spans="1:4" x14ac:dyDescent="0.3">
      <c r="A4533" s="1">
        <v>44322</v>
      </c>
      <c r="B4533">
        <v>1.3909750000000001</v>
      </c>
      <c r="C4533">
        <f t="shared" si="72"/>
        <v>1.5574462202228502E-3</v>
      </c>
      <c r="D4533">
        <f>(C4533-meanrtn)/stdevrtns</f>
        <v>0.26615605434832612</v>
      </c>
    </row>
    <row r="4534" spans="1:4" x14ac:dyDescent="0.3">
      <c r="A4534" s="1">
        <v>44323</v>
      </c>
      <c r="B4534">
        <v>1.3898539999999999</v>
      </c>
      <c r="C4534">
        <f t="shared" si="72"/>
        <v>-8.0590952389521708E-4</v>
      </c>
      <c r="D4534">
        <f>(C4534-meanrtn)/stdevrtns</f>
        <v>-0.12554713115636229</v>
      </c>
    </row>
    <row r="4535" spans="1:4" x14ac:dyDescent="0.3">
      <c r="A4535" s="1">
        <v>44326</v>
      </c>
      <c r="B4535">
        <v>1.40412</v>
      </c>
      <c r="C4535">
        <f t="shared" si="72"/>
        <v>1.0264387482426293E-2</v>
      </c>
      <c r="D4535">
        <f>(C4535-meanrtn)/stdevrtns</f>
        <v>1.7092467261168329</v>
      </c>
    </row>
    <row r="4536" spans="1:4" x14ac:dyDescent="0.3">
      <c r="A4536" s="1">
        <v>44327</v>
      </c>
      <c r="B4536">
        <v>1.4131279999999999</v>
      </c>
      <c r="C4536">
        <f t="shared" si="72"/>
        <v>6.4154060906474551E-3</v>
      </c>
      <c r="D4536">
        <f>(C4536-meanrtn)/stdevrtns</f>
        <v>1.0713155657909665</v>
      </c>
    </row>
    <row r="4537" spans="1:4" x14ac:dyDescent="0.3">
      <c r="A4537" s="1">
        <v>44328</v>
      </c>
      <c r="B4537">
        <v>1.4138269999999999</v>
      </c>
      <c r="C4537">
        <f t="shared" si="72"/>
        <v>4.9464733555630146E-4</v>
      </c>
      <c r="D4537">
        <f>(C4537-meanrtn)/stdevrtns</f>
        <v>9.000749537204375E-2</v>
      </c>
    </row>
    <row r="4538" spans="1:4" x14ac:dyDescent="0.3">
      <c r="A4538" s="1">
        <v>44329</v>
      </c>
      <c r="B4538">
        <v>1.406371</v>
      </c>
      <c r="C4538">
        <f t="shared" si="72"/>
        <v>-5.273629659074206E-3</v>
      </c>
      <c r="D4538">
        <f>(C4538-meanrtn)/stdevrtns</f>
        <v>-0.86602820906793232</v>
      </c>
    </row>
    <row r="4539" spans="1:4" x14ac:dyDescent="0.3">
      <c r="A4539" s="1">
        <v>44330</v>
      </c>
      <c r="B4539">
        <v>1.4050860000000001</v>
      </c>
      <c r="C4539">
        <f t="shared" si="72"/>
        <v>-9.1369915904123485E-4</v>
      </c>
      <c r="D4539">
        <f>(C4539-meanrtn)/stdevrtns</f>
        <v>-0.14341221285477543</v>
      </c>
    </row>
    <row r="4540" spans="1:4" x14ac:dyDescent="0.3">
      <c r="A4540" s="1">
        <v>44333</v>
      </c>
      <c r="B4540">
        <v>1.4101790000000001</v>
      </c>
      <c r="C4540">
        <f t="shared" si="72"/>
        <v>3.6246891649336864E-3</v>
      </c>
      <c r="D4540">
        <f>(C4540-meanrtn)/stdevrtns</f>
        <v>0.60878142874260688</v>
      </c>
    </row>
    <row r="4541" spans="1:4" x14ac:dyDescent="0.3">
      <c r="A4541" s="1">
        <v>44334</v>
      </c>
      <c r="B4541">
        <v>1.4148670000000001</v>
      </c>
      <c r="C4541">
        <f t="shared" si="72"/>
        <v>3.3244006611926752E-3</v>
      </c>
      <c r="D4541">
        <f>(C4541-meanrtn)/stdevrtns</f>
        <v>0.55901153532790038</v>
      </c>
    </row>
    <row r="4542" spans="1:4" x14ac:dyDescent="0.3">
      <c r="A4542" s="1">
        <v>44335</v>
      </c>
      <c r="B4542">
        <v>1.4188019999999999</v>
      </c>
      <c r="C4542">
        <f t="shared" si="72"/>
        <v>2.7811801391931534E-3</v>
      </c>
      <c r="D4542">
        <f>(C4542-meanrtn)/stdevrtns</f>
        <v>0.46897802707240249</v>
      </c>
    </row>
    <row r="4543" spans="1:4" x14ac:dyDescent="0.3">
      <c r="A4543" s="1">
        <v>44336</v>
      </c>
      <c r="B4543">
        <v>1.4106160000000001</v>
      </c>
      <c r="C4543">
        <f t="shared" si="72"/>
        <v>-5.7696563720658735E-3</v>
      </c>
      <c r="D4543">
        <f>(C4543-meanrtn)/stdevrtns</f>
        <v>-0.94823980334772662</v>
      </c>
    </row>
    <row r="4544" spans="1:4" x14ac:dyDescent="0.3">
      <c r="A4544" s="1">
        <v>44337</v>
      </c>
      <c r="B4544">
        <v>1.41856</v>
      </c>
      <c r="C4544">
        <f t="shared" si="72"/>
        <v>5.6315822307417118E-3</v>
      </c>
      <c r="D4544">
        <f>(C4544-meanrtn)/stdevrtns</f>
        <v>0.94140439877187132</v>
      </c>
    </row>
    <row r="4545" spans="1:4" x14ac:dyDescent="0.3">
      <c r="A4545" s="1">
        <v>44340</v>
      </c>
      <c r="B4545">
        <v>1.4142870000000001</v>
      </c>
      <c r="C4545">
        <f t="shared" si="72"/>
        <v>-3.0122095646288993E-3</v>
      </c>
      <c r="D4545">
        <f>(C4545-meanrtn)/stdevrtns</f>
        <v>-0.49121986421204783</v>
      </c>
    </row>
    <row r="4546" spans="1:4" x14ac:dyDescent="0.3">
      <c r="A4546" s="1">
        <v>44341</v>
      </c>
      <c r="B4546">
        <v>1.4156089999999999</v>
      </c>
      <c r="C4546">
        <f t="shared" si="72"/>
        <v>9.3474662497769066E-4</v>
      </c>
      <c r="D4546">
        <f>(C4546-meanrtn)/stdevrtns</f>
        <v>0.16294966416476522</v>
      </c>
    </row>
    <row r="4547" spans="1:4" x14ac:dyDescent="0.3">
      <c r="A4547" s="1">
        <v>44342</v>
      </c>
      <c r="B4547">
        <v>1.4143870000000001</v>
      </c>
      <c r="C4547">
        <f t="shared" si="72"/>
        <v>-8.6323271468310417E-4</v>
      </c>
      <c r="D4547">
        <f>(C4547-meanrtn)/stdevrtns</f>
        <v>-0.13504789145907642</v>
      </c>
    </row>
    <row r="4548" spans="1:4" x14ac:dyDescent="0.3">
      <c r="A4548" s="1">
        <v>44343</v>
      </c>
      <c r="B4548">
        <v>1.4116120000000001</v>
      </c>
      <c r="C4548">
        <f t="shared" ref="C4548:C4611" si="73">(B4548-B4547)/B4547</f>
        <v>-1.9619807025941073E-3</v>
      </c>
      <c r="D4548">
        <f>(C4548-meanrtn)/stdevrtns</f>
        <v>-0.31715466400178255</v>
      </c>
    </row>
    <row r="4549" spans="1:4" x14ac:dyDescent="0.3">
      <c r="A4549" s="1">
        <v>44344</v>
      </c>
      <c r="B4549">
        <v>1.420374</v>
      </c>
      <c r="C4549">
        <f t="shared" si="73"/>
        <v>6.2070880666925017E-3</v>
      </c>
      <c r="D4549">
        <f>(C4549-meanrtn)/stdevrtns</f>
        <v>1.0367888832192542</v>
      </c>
    </row>
    <row r="4550" spans="1:4" x14ac:dyDescent="0.3">
      <c r="A4550" s="1">
        <v>44347</v>
      </c>
      <c r="B4550">
        <v>1.418037</v>
      </c>
      <c r="C4550">
        <f t="shared" si="73"/>
        <v>-1.6453412974329531E-3</v>
      </c>
      <c r="D4550">
        <f>(C4550-meanrtn)/stdevrtns</f>
        <v>-0.26467476800363798</v>
      </c>
    </row>
    <row r="4551" spans="1:4" x14ac:dyDescent="0.3">
      <c r="A4551" s="1">
        <v>44348</v>
      </c>
      <c r="B4551">
        <v>1.4226780000000001</v>
      </c>
      <c r="C4551">
        <f t="shared" si="73"/>
        <v>3.2728342067238846E-3</v>
      </c>
      <c r="D4551">
        <f>(C4551-meanrtn)/stdevrtns</f>
        <v>0.55046489797511144</v>
      </c>
    </row>
    <row r="4552" spans="1:4" x14ac:dyDescent="0.3">
      <c r="A4552" s="1">
        <v>44349</v>
      </c>
      <c r="B4552">
        <v>1.4157090000000001</v>
      </c>
      <c r="C4552">
        <f t="shared" si="73"/>
        <v>-4.8985083061662601E-3</v>
      </c>
      <c r="D4552">
        <f>(C4552-meanrtn)/stdevrtns</f>
        <v>-0.80385550009232987</v>
      </c>
    </row>
    <row r="4553" spans="1:4" x14ac:dyDescent="0.3">
      <c r="A4553" s="1">
        <v>44350</v>
      </c>
      <c r="B4553">
        <v>1.4171929999999999</v>
      </c>
      <c r="C4553">
        <f t="shared" si="73"/>
        <v>1.0482380206665485E-3</v>
      </c>
      <c r="D4553">
        <f>(C4553-meanrtn)/stdevrtns</f>
        <v>0.1817597571138857</v>
      </c>
    </row>
    <row r="4554" spans="1:4" x14ac:dyDescent="0.3">
      <c r="A4554" s="1">
        <v>44351</v>
      </c>
      <c r="B4554">
        <v>1.4109940000000001</v>
      </c>
      <c r="C4554">
        <f t="shared" si="73"/>
        <v>-4.3741395843754829E-3</v>
      </c>
      <c r="D4554">
        <f>(C4554-meanrtn)/stdevrtns</f>
        <v>-0.71694649402514676</v>
      </c>
    </row>
    <row r="4555" spans="1:4" x14ac:dyDescent="0.3">
      <c r="A4555" s="1">
        <v>44354</v>
      </c>
      <c r="B4555">
        <v>1.416431</v>
      </c>
      <c r="C4555">
        <f t="shared" si="73"/>
        <v>3.8533119205325563E-3</v>
      </c>
      <c r="D4555">
        <f>(C4555-meanrtn)/stdevrtns</f>
        <v>0.64667342273031503</v>
      </c>
    </row>
    <row r="4556" spans="1:4" x14ac:dyDescent="0.3">
      <c r="A4556" s="1">
        <v>44355</v>
      </c>
      <c r="B4556">
        <v>1.417656</v>
      </c>
      <c r="C4556">
        <f t="shared" si="73"/>
        <v>8.648497526529931E-4</v>
      </c>
      <c r="D4556">
        <f>(C4556-meanrtn)/stdevrtns</f>
        <v>0.15136493866817458</v>
      </c>
    </row>
    <row r="4557" spans="1:4" x14ac:dyDescent="0.3">
      <c r="A4557" s="1">
        <v>44356</v>
      </c>
      <c r="B4557">
        <v>1.4149879999999999</v>
      </c>
      <c r="C4557">
        <f t="shared" si="73"/>
        <v>-1.8819798314965793E-3</v>
      </c>
      <c r="D4557">
        <f>(C4557-meanrtn)/stdevrtns</f>
        <v>-0.3038952991642872</v>
      </c>
    </row>
    <row r="4558" spans="1:4" x14ac:dyDescent="0.3">
      <c r="A4558" s="1">
        <v>44357</v>
      </c>
      <c r="B4558">
        <v>1.411233</v>
      </c>
      <c r="C4558">
        <f t="shared" si="73"/>
        <v>-2.653732752503875E-3</v>
      </c>
      <c r="D4558">
        <f>(C4558-meanrtn)/stdevrtns</f>
        <v>-0.43180582568297449</v>
      </c>
    </row>
    <row r="4559" spans="1:4" x14ac:dyDescent="0.3">
      <c r="A4559" s="1">
        <v>44358</v>
      </c>
      <c r="B4559">
        <v>1.4170130000000001</v>
      </c>
      <c r="C4559">
        <f t="shared" si="73"/>
        <v>4.0957092131491532E-3</v>
      </c>
      <c r="D4559">
        <f>(C4559-meanrtn)/stdevrtns</f>
        <v>0.68684841200644897</v>
      </c>
    </row>
    <row r="4560" spans="1:4" x14ac:dyDescent="0.3">
      <c r="A4560" s="1">
        <v>44361</v>
      </c>
      <c r="B4560">
        <v>1.411931</v>
      </c>
      <c r="C4560">
        <f t="shared" si="73"/>
        <v>-3.5864173440893136E-3</v>
      </c>
      <c r="D4560">
        <f>(C4560-meanrtn)/stdevrtns</f>
        <v>-0.58638920844471254</v>
      </c>
    </row>
    <row r="4561" spans="1:4" x14ac:dyDescent="0.3">
      <c r="A4561" s="1">
        <v>44362</v>
      </c>
      <c r="B4561">
        <v>1.4109940000000001</v>
      </c>
      <c r="C4561">
        <f t="shared" si="73"/>
        <v>-6.6363016323033183E-4</v>
      </c>
      <c r="D4561">
        <f>(C4561-meanrtn)/stdevrtns</f>
        <v>-0.10196571352902864</v>
      </c>
    </row>
    <row r="4562" spans="1:4" x14ac:dyDescent="0.3">
      <c r="A4562" s="1">
        <v>44363</v>
      </c>
      <c r="B4562">
        <v>1.408153</v>
      </c>
      <c r="C4562">
        <f t="shared" si="73"/>
        <v>-2.0134741891178086E-3</v>
      </c>
      <c r="D4562">
        <f>(C4562-meanrtn)/stdevrtns</f>
        <v>-0.32568920762868936</v>
      </c>
    </row>
    <row r="4563" spans="1:4" x14ac:dyDescent="0.3">
      <c r="A4563" s="1">
        <v>44364</v>
      </c>
      <c r="B4563">
        <v>1.399071</v>
      </c>
      <c r="C4563">
        <f t="shared" si="73"/>
        <v>-6.4495832484112413E-3</v>
      </c>
      <c r="D4563">
        <f>(C4563-meanrtn)/stdevrtns</f>
        <v>-1.060931057737835</v>
      </c>
    </row>
    <row r="4564" spans="1:4" x14ac:dyDescent="0.3">
      <c r="A4564" s="1">
        <v>44365</v>
      </c>
      <c r="B4564">
        <v>1.393864</v>
      </c>
      <c r="C4564">
        <f t="shared" si="73"/>
        <v>-3.7217553648099073E-3</v>
      </c>
      <c r="D4564">
        <f>(C4564-meanrtn)/stdevrtns</f>
        <v>-0.60882016661429561</v>
      </c>
    </row>
    <row r="4565" spans="1:4" x14ac:dyDescent="0.3">
      <c r="A4565" s="1">
        <v>44368</v>
      </c>
      <c r="B4565">
        <v>1.3817120000000001</v>
      </c>
      <c r="C4565">
        <f t="shared" si="73"/>
        <v>-8.7182106719162992E-3</v>
      </c>
      <c r="D4565">
        <f>(C4565-meanrtn)/stdevrtns</f>
        <v>-1.4369339471554983</v>
      </c>
    </row>
    <row r="4566" spans="1:4" x14ac:dyDescent="0.3">
      <c r="A4566" s="1">
        <v>44369</v>
      </c>
      <c r="B4566">
        <v>1.3925399999999999</v>
      </c>
      <c r="C4566">
        <f t="shared" si="73"/>
        <v>7.8366548166331606E-3</v>
      </c>
      <c r="D4566">
        <f>(C4566-meanrtn)/stdevrtns</f>
        <v>1.3068736931480596</v>
      </c>
    </row>
    <row r="4567" spans="1:4" x14ac:dyDescent="0.3">
      <c r="A4567" s="1">
        <v>44370</v>
      </c>
      <c r="B4567">
        <v>1.394992</v>
      </c>
      <c r="C4567">
        <f t="shared" si="73"/>
        <v>1.7608111795712302E-3</v>
      </c>
      <c r="D4567">
        <f>(C4567-meanrtn)/stdevrtns</f>
        <v>0.29986181472530149</v>
      </c>
    </row>
    <row r="4568" spans="1:4" x14ac:dyDescent="0.3">
      <c r="A4568" s="1">
        <v>44371</v>
      </c>
      <c r="B4568">
        <v>1.396746</v>
      </c>
      <c r="C4568">
        <f t="shared" si="73"/>
        <v>1.2573548808882298E-3</v>
      </c>
      <c r="D4568">
        <f>(C4568-meanrtn)/stdevrtns</f>
        <v>0.21641883901276343</v>
      </c>
    </row>
    <row r="4569" spans="1:4" x14ac:dyDescent="0.3">
      <c r="A4569" s="1">
        <v>44372</v>
      </c>
      <c r="B4569">
        <v>1.3916919999999999</v>
      </c>
      <c r="C4569">
        <f t="shared" si="73"/>
        <v>-3.6184102191809489E-3</v>
      </c>
      <c r="D4569">
        <f>(C4569-meanrtn)/stdevrtns</f>
        <v>-0.59169171574520518</v>
      </c>
    </row>
    <row r="4570" spans="1:4" x14ac:dyDescent="0.3">
      <c r="A4570" s="1">
        <v>44375</v>
      </c>
      <c r="B4570">
        <v>1.3895059999999999</v>
      </c>
      <c r="C4570">
        <f t="shared" si="73"/>
        <v>-1.5707498498231083E-3</v>
      </c>
      <c r="D4570">
        <f>(C4570-meanrtn)/stdevrtns</f>
        <v>-0.25231196239855735</v>
      </c>
    </row>
    <row r="4571" spans="1:4" x14ac:dyDescent="0.3">
      <c r="A4571" s="1">
        <v>44376</v>
      </c>
      <c r="B4571">
        <v>1.3879060000000001</v>
      </c>
      <c r="C4571">
        <f t="shared" si="73"/>
        <v>-1.1514883706870095E-3</v>
      </c>
      <c r="D4571">
        <f>(C4571-meanrtn)/stdevrtns</f>
        <v>-0.18282345761219837</v>
      </c>
    </row>
    <row r="4572" spans="1:4" x14ac:dyDescent="0.3">
      <c r="A4572" s="1">
        <v>44377</v>
      </c>
      <c r="B4572">
        <v>1.3842749999999999</v>
      </c>
      <c r="C4572">
        <f t="shared" si="73"/>
        <v>-2.6161714121850916E-3</v>
      </c>
      <c r="D4572">
        <f>(C4572-meanrtn)/stdevrtns</f>
        <v>-0.42558039953149024</v>
      </c>
    </row>
    <row r="4573" spans="1:4" x14ac:dyDescent="0.3">
      <c r="A4573" s="1">
        <v>44378</v>
      </c>
      <c r="B4573">
        <v>1.3829149999999999</v>
      </c>
      <c r="C4573">
        <f t="shared" si="73"/>
        <v>-9.8246374455944669E-4</v>
      </c>
      <c r="D4573">
        <f>(C4573-meanrtn)/stdevrtns</f>
        <v>-0.1548092728464546</v>
      </c>
    </row>
    <row r="4574" spans="1:4" x14ac:dyDescent="0.3">
      <c r="A4574" s="1">
        <v>44379</v>
      </c>
      <c r="B4574">
        <v>1.3759509999999999</v>
      </c>
      <c r="C4574">
        <f t="shared" si="73"/>
        <v>-5.0357397236995552E-3</v>
      </c>
      <c r="D4574">
        <f>(C4574-meanrtn)/stdevrtns</f>
        <v>-0.82660027033392336</v>
      </c>
    </row>
    <row r="4575" spans="1:4" x14ac:dyDescent="0.3">
      <c r="A4575" s="1">
        <v>44382</v>
      </c>
      <c r="B4575">
        <v>1.3831260000000001</v>
      </c>
      <c r="C4575">
        <f t="shared" si="73"/>
        <v>5.2145752283330972E-3</v>
      </c>
      <c r="D4575">
        <f>(C4575-meanrtn)/stdevrtns</f>
        <v>0.87228955153495213</v>
      </c>
    </row>
    <row r="4576" spans="1:4" x14ac:dyDescent="0.3">
      <c r="A4576" s="1">
        <v>44383</v>
      </c>
      <c r="B4576">
        <v>1.3856170000000001</v>
      </c>
      <c r="C4576">
        <f t="shared" si="73"/>
        <v>1.8009928235027184E-3</v>
      </c>
      <c r="D4576">
        <f>(C4576-meanrtn)/stdevrtns</f>
        <v>0.30652153066774945</v>
      </c>
    </row>
    <row r="4577" spans="1:4" x14ac:dyDescent="0.3">
      <c r="A4577" s="1">
        <v>44384</v>
      </c>
      <c r="B4577">
        <v>1.3805670000000001</v>
      </c>
      <c r="C4577">
        <f t="shared" si="73"/>
        <v>-3.6445857693720549E-3</v>
      </c>
      <c r="D4577">
        <f>(C4577-meanrtn)/stdevrtns</f>
        <v>-0.59603005812878918</v>
      </c>
    </row>
    <row r="4578" spans="1:4" x14ac:dyDescent="0.3">
      <c r="A4578" s="1">
        <v>44385</v>
      </c>
      <c r="B4578">
        <v>1.3801099999999999</v>
      </c>
      <c r="C4578">
        <f t="shared" si="73"/>
        <v>-3.3102341284425288E-4</v>
      </c>
      <c r="D4578">
        <f>(C4578-meanrtn)/stdevrtns</f>
        <v>-4.6839385649343493E-2</v>
      </c>
    </row>
    <row r="4579" spans="1:4" x14ac:dyDescent="0.3">
      <c r="A4579" s="1">
        <v>44386</v>
      </c>
      <c r="B4579">
        <v>1.3790819999999999</v>
      </c>
      <c r="C4579">
        <f t="shared" si="73"/>
        <v>-7.4486816268270572E-4</v>
      </c>
      <c r="D4579">
        <f>(C4579-meanrtn)/stdevrtns</f>
        <v>-0.11543012033647594</v>
      </c>
    </row>
    <row r="4580" spans="1:4" x14ac:dyDescent="0.3">
      <c r="A4580" s="1">
        <v>44389</v>
      </c>
      <c r="B4580">
        <v>1.3899509999999999</v>
      </c>
      <c r="C4580">
        <f t="shared" si="73"/>
        <v>7.8813297541408117E-3</v>
      </c>
      <c r="D4580">
        <f>(C4580-meanrtn)/stdevrtns</f>
        <v>1.3142781287170686</v>
      </c>
    </row>
    <row r="4581" spans="1:4" x14ac:dyDescent="0.3">
      <c r="A4581" s="1">
        <v>44390</v>
      </c>
      <c r="B4581">
        <v>1.3886959999999999</v>
      </c>
      <c r="C4581">
        <f t="shared" si="73"/>
        <v>-9.0290952702649669E-4</v>
      </c>
      <c r="D4581">
        <f>(C4581-meanrtn)/stdevrtns</f>
        <v>-0.14162393648499283</v>
      </c>
    </row>
    <row r="4582" spans="1:4" x14ac:dyDescent="0.3">
      <c r="A4582" s="1">
        <v>44391</v>
      </c>
      <c r="B4582">
        <v>1.3806050000000001</v>
      </c>
      <c r="C4582">
        <f t="shared" si="73"/>
        <v>-5.8263291605937144E-3</v>
      </c>
      <c r="D4582">
        <f>(C4582-meanrtn)/stdevrtns</f>
        <v>-0.95763276581350754</v>
      </c>
    </row>
    <row r="4583" spans="1:4" x14ac:dyDescent="0.3">
      <c r="A4583" s="1">
        <v>44392</v>
      </c>
      <c r="B4583">
        <v>1.3858090000000001</v>
      </c>
      <c r="C4583">
        <f t="shared" si="73"/>
        <v>3.7693619826090633E-3</v>
      </c>
      <c r="D4583">
        <f>(C4583-meanrtn)/stdevrtns</f>
        <v>0.63275953854703304</v>
      </c>
    </row>
    <row r="4584" spans="1:4" x14ac:dyDescent="0.3">
      <c r="A4584" s="1">
        <v>44393</v>
      </c>
      <c r="B4584">
        <v>1.382973</v>
      </c>
      <c r="C4584">
        <f t="shared" si="73"/>
        <v>-2.0464580616809825E-3</v>
      </c>
      <c r="D4584">
        <f>(C4584-meanrtn)/stdevrtns</f>
        <v>-0.33115596310358181</v>
      </c>
    </row>
    <row r="4585" spans="1:4" x14ac:dyDescent="0.3">
      <c r="A4585" s="1">
        <v>44396</v>
      </c>
      <c r="B4585">
        <v>1.376387</v>
      </c>
      <c r="C4585">
        <f t="shared" si="73"/>
        <v>-4.7622043235840327E-3</v>
      </c>
      <c r="D4585">
        <f>(C4585-meanrtn)/stdevrtns</f>
        <v>-0.78126444315673604</v>
      </c>
    </row>
    <row r="4586" spans="1:4" x14ac:dyDescent="0.3">
      <c r="A4586" s="1">
        <v>44397</v>
      </c>
      <c r="B4586">
        <v>1.3669979999999999</v>
      </c>
      <c r="C4586">
        <f t="shared" si="73"/>
        <v>-6.8214826208036631E-3</v>
      </c>
      <c r="D4586">
        <f>(C4586-meanrtn)/stdevrtns</f>
        <v>-1.1225697548387097</v>
      </c>
    </row>
    <row r="4587" spans="1:4" x14ac:dyDescent="0.3">
      <c r="A4587" s="1">
        <v>44398</v>
      </c>
      <c r="B4587">
        <v>1.363327</v>
      </c>
      <c r="C4587">
        <f t="shared" si="73"/>
        <v>-2.6854465039451263E-3</v>
      </c>
      <c r="D4587">
        <f>(C4587-meanrtn)/stdevrtns</f>
        <v>-0.43706207095826105</v>
      </c>
    </row>
    <row r="4588" spans="1:4" x14ac:dyDescent="0.3">
      <c r="A4588" s="1">
        <v>44399</v>
      </c>
      <c r="B4588">
        <v>1.3714040000000001</v>
      </c>
      <c r="C4588">
        <f t="shared" si="73"/>
        <v>5.9244773997728442E-3</v>
      </c>
      <c r="D4588">
        <f>(C4588-meanrtn)/stdevrtns</f>
        <v>0.98994891900077231</v>
      </c>
    </row>
    <row r="4589" spans="1:4" x14ac:dyDescent="0.3">
      <c r="A4589" s="1">
        <v>44400</v>
      </c>
      <c r="B4589">
        <v>1.3773899999999999</v>
      </c>
      <c r="C4589">
        <f t="shared" si="73"/>
        <v>4.3648698705850532E-3</v>
      </c>
      <c r="D4589">
        <f>(C4589-meanrtn)/stdevrtns</f>
        <v>0.73145916821298951</v>
      </c>
    </row>
    <row r="4590" spans="1:4" x14ac:dyDescent="0.3">
      <c r="A4590" s="1">
        <v>44403</v>
      </c>
      <c r="B4590">
        <v>1.3757809999999999</v>
      </c>
      <c r="C4590">
        <f t="shared" si="73"/>
        <v>-1.1681513587291702E-3</v>
      </c>
      <c r="D4590">
        <f>(C4590-meanrtn)/stdevrtns</f>
        <v>-0.18558518551219189</v>
      </c>
    </row>
    <row r="4591" spans="1:4" x14ac:dyDescent="0.3">
      <c r="A4591" s="1">
        <v>44404</v>
      </c>
      <c r="B4591">
        <v>1.3829149999999999</v>
      </c>
      <c r="C4591">
        <f t="shared" si="73"/>
        <v>5.1854183187585627E-3</v>
      </c>
      <c r="D4591">
        <f>(C4591-meanrtn)/stdevrtns</f>
        <v>0.86745707788461768</v>
      </c>
    </row>
    <row r="4592" spans="1:4" x14ac:dyDescent="0.3">
      <c r="A4592" s="1">
        <v>44405</v>
      </c>
      <c r="B4592">
        <v>1.388272</v>
      </c>
      <c r="C4592">
        <f t="shared" si="73"/>
        <v>3.8737015651721593E-3</v>
      </c>
      <c r="D4592">
        <f>(C4592-meanrtn)/stdevrtns</f>
        <v>0.65005280764793416</v>
      </c>
    </row>
    <row r="4593" spans="1:4" x14ac:dyDescent="0.3">
      <c r="A4593" s="1">
        <v>44406</v>
      </c>
      <c r="B4593">
        <v>1.3906849999999999</v>
      </c>
      <c r="C4593">
        <f t="shared" si="73"/>
        <v>1.738132008712989E-3</v>
      </c>
      <c r="D4593">
        <f>(C4593-meanrtn)/stdevrtns</f>
        <v>0.29610296314661405</v>
      </c>
    </row>
    <row r="4594" spans="1:4" x14ac:dyDescent="0.3">
      <c r="A4594" s="1">
        <v>44407</v>
      </c>
      <c r="B4594">
        <v>1.396433</v>
      </c>
      <c r="C4594">
        <f t="shared" si="73"/>
        <v>4.1332149264571676E-3</v>
      </c>
      <c r="D4594">
        <f>(C4594-meanrtn)/stdevrtns</f>
        <v>0.69306461852294077</v>
      </c>
    </row>
    <row r="4595" spans="1:4" x14ac:dyDescent="0.3">
      <c r="A4595" s="1">
        <v>44410</v>
      </c>
      <c r="B4595">
        <v>1.3896219999999999</v>
      </c>
      <c r="C4595">
        <f t="shared" si="73"/>
        <v>-4.8774269871881592E-3</v>
      </c>
      <c r="D4595">
        <f>(C4595-meanrtn)/stdevrtns</f>
        <v>-0.80036147689293891</v>
      </c>
    </row>
    <row r="4596" spans="1:4" x14ac:dyDescent="0.3">
      <c r="A4596" s="1">
        <v>44411</v>
      </c>
      <c r="B4596">
        <v>1.389275</v>
      </c>
      <c r="C4596">
        <f t="shared" si="73"/>
        <v>-2.4970819402677508E-4</v>
      </c>
      <c r="D4596">
        <f>(C4596-meanrtn)/stdevrtns</f>
        <v>-3.3362180484573505E-2</v>
      </c>
    </row>
    <row r="4597" spans="1:4" x14ac:dyDescent="0.3">
      <c r="A4597" s="1">
        <v>44412</v>
      </c>
      <c r="B4597">
        <v>1.391788</v>
      </c>
      <c r="C4597">
        <f t="shared" si="73"/>
        <v>1.8088571377157059E-3</v>
      </c>
      <c r="D4597">
        <f>(C4597-meanrtn)/stdevrtns</f>
        <v>0.3078249641168625</v>
      </c>
    </row>
    <row r="4598" spans="1:4" x14ac:dyDescent="0.3">
      <c r="A4598" s="1">
        <v>44413</v>
      </c>
      <c r="B4598">
        <v>1.389043</v>
      </c>
      <c r="C4598">
        <f t="shared" si="73"/>
        <v>-1.9722831350751677E-3</v>
      </c>
      <c r="D4598">
        <f>(C4598-meanrtn)/stdevrtns</f>
        <v>-0.31886219179624253</v>
      </c>
    </row>
    <row r="4599" spans="1:4" x14ac:dyDescent="0.3">
      <c r="A4599" s="1">
        <v>44414</v>
      </c>
      <c r="B4599">
        <v>1.3927579999999999</v>
      </c>
      <c r="C4599">
        <f t="shared" si="73"/>
        <v>2.6745032371207462E-3</v>
      </c>
      <c r="D4599">
        <f>(C4599-meanrtn)/stdevrtns</f>
        <v>0.45129737003821285</v>
      </c>
    </row>
    <row r="4600" spans="1:4" x14ac:dyDescent="0.3">
      <c r="A4600" s="1">
        <v>44417</v>
      </c>
      <c r="B4600">
        <v>1.3868469999999999</v>
      </c>
      <c r="C4600">
        <f t="shared" si="73"/>
        <v>-4.2440969644403402E-3</v>
      </c>
      <c r="D4600">
        <f>(C4600-meanrtn)/stdevrtns</f>
        <v>-0.69539319693614698</v>
      </c>
    </row>
    <row r="4601" spans="1:4" x14ac:dyDescent="0.3">
      <c r="A4601" s="1">
        <v>44418</v>
      </c>
      <c r="B4601">
        <v>1.3849070000000001</v>
      </c>
      <c r="C4601">
        <f t="shared" si="73"/>
        <v>-1.3988565429350396E-3</v>
      </c>
      <c r="D4601">
        <f>(C4601-meanrtn)/stdevrtns</f>
        <v>-0.22382232174984601</v>
      </c>
    </row>
    <row r="4602" spans="1:4" x14ac:dyDescent="0.3">
      <c r="A4602" s="1">
        <v>44419</v>
      </c>
      <c r="B4602">
        <v>1.3836040000000001</v>
      </c>
      <c r="C4602">
        <f t="shared" si="73"/>
        <v>-9.4085740053307114E-4</v>
      </c>
      <c r="D4602">
        <f>(C4602-meanrtn)/stdevrtns</f>
        <v>-0.14791342674588503</v>
      </c>
    </row>
    <row r="4603" spans="1:4" x14ac:dyDescent="0.3">
      <c r="A4603" s="1">
        <v>44420</v>
      </c>
      <c r="B4603">
        <v>1.386693</v>
      </c>
      <c r="C4603">
        <f t="shared" si="73"/>
        <v>2.232575216608146E-3</v>
      </c>
      <c r="D4603">
        <f>(C4603-meanrtn)/stdevrtns</f>
        <v>0.37805210688670027</v>
      </c>
    </row>
    <row r="4604" spans="1:4" x14ac:dyDescent="0.3">
      <c r="A4604" s="1">
        <v>44421</v>
      </c>
      <c r="B4604">
        <v>1.3811580000000001</v>
      </c>
      <c r="C4604">
        <f t="shared" si="73"/>
        <v>-3.9915107381373136E-3</v>
      </c>
      <c r="D4604">
        <f>(C4604-meanrtn)/stdevrtns</f>
        <v>-0.65352949118480463</v>
      </c>
    </row>
    <row r="4605" spans="1:4" x14ac:dyDescent="0.3">
      <c r="A4605" s="1">
        <v>44424</v>
      </c>
      <c r="B4605">
        <v>1.3863859999999999</v>
      </c>
      <c r="C4605">
        <f t="shared" si="73"/>
        <v>3.785229495828709E-3</v>
      </c>
      <c r="D4605">
        <f>(C4605-meanrtn)/stdevrtns</f>
        <v>0.63538942424648459</v>
      </c>
    </row>
    <row r="4606" spans="1:4" x14ac:dyDescent="0.3">
      <c r="A4606" s="1">
        <v>44425</v>
      </c>
      <c r="B4606">
        <v>1.3842749999999999</v>
      </c>
      <c r="C4606">
        <f t="shared" si="73"/>
        <v>-1.5226639622731145E-3</v>
      </c>
      <c r="D4606">
        <f>(C4606-meanrtn)/stdevrtns</f>
        <v>-0.24434219509711302</v>
      </c>
    </row>
    <row r="4607" spans="1:4" x14ac:dyDescent="0.3">
      <c r="A4607" s="1">
        <v>44426</v>
      </c>
      <c r="B4607">
        <v>1.374042</v>
      </c>
      <c r="C4607">
        <f t="shared" si="73"/>
        <v>-7.3923172779974625E-3</v>
      </c>
      <c r="D4607">
        <f>(C4607-meanrtn)/stdevrtns</f>
        <v>-1.2171800369241637</v>
      </c>
    </row>
    <row r="4608" spans="1:4" x14ac:dyDescent="0.3">
      <c r="A4608" s="1">
        <v>44427</v>
      </c>
      <c r="B4608">
        <v>1.374382</v>
      </c>
      <c r="C4608">
        <f t="shared" si="73"/>
        <v>2.4744512904263985E-4</v>
      </c>
      <c r="D4608">
        <f>(C4608-meanrtn)/stdevrtns</f>
        <v>4.9036138437659291E-2</v>
      </c>
    </row>
    <row r="4609" spans="1:4" x14ac:dyDescent="0.3">
      <c r="A4609" s="1">
        <v>44428</v>
      </c>
      <c r="B4609">
        <v>1.3630850000000001</v>
      </c>
      <c r="C4609">
        <f t="shared" si="73"/>
        <v>-8.2196943790008095E-3</v>
      </c>
      <c r="D4609">
        <f>(C4609-meanrtn)/stdevrtns</f>
        <v>-1.3543097292623707</v>
      </c>
    </row>
    <row r="4610" spans="1:4" x14ac:dyDescent="0.3">
      <c r="A4610" s="1">
        <v>44431</v>
      </c>
      <c r="B4610">
        <v>1.362528</v>
      </c>
      <c r="C4610">
        <f t="shared" si="73"/>
        <v>-4.0863189016102493E-4</v>
      </c>
      <c r="D4610">
        <f>(C4610-meanrtn)/stdevrtns</f>
        <v>-5.9702234529714709E-2</v>
      </c>
    </row>
    <row r="4611" spans="1:4" x14ac:dyDescent="0.3">
      <c r="A4611" s="1">
        <v>44432</v>
      </c>
      <c r="B4611">
        <v>1.372476</v>
      </c>
      <c r="C4611">
        <f t="shared" si="73"/>
        <v>7.3011343620094909E-3</v>
      </c>
      <c r="D4611">
        <f>(C4611-meanrtn)/stdevrtns</f>
        <v>1.2181163960288786</v>
      </c>
    </row>
    <row r="4612" spans="1:4" x14ac:dyDescent="0.3">
      <c r="A4612" s="1">
        <v>44433</v>
      </c>
      <c r="B4612">
        <v>1.372552</v>
      </c>
      <c r="C4612">
        <f t="shared" ref="C4612:C4675" si="74">(B4612-B4611)/B4611</f>
        <v>5.5374374488125828E-5</v>
      </c>
      <c r="D4612">
        <f>(C4612-meanrtn)/stdevrtns</f>
        <v>1.7202282451933542E-2</v>
      </c>
    </row>
    <row r="4613" spans="1:4" x14ac:dyDescent="0.3">
      <c r="A4613" s="1">
        <v>44434</v>
      </c>
      <c r="B4613">
        <v>1.376652</v>
      </c>
      <c r="C4613">
        <f t="shared" si="74"/>
        <v>2.9871363707895896E-3</v>
      </c>
      <c r="D4613">
        <f>(C4613-meanrtn)/stdevrtns</f>
        <v>0.50311326557453939</v>
      </c>
    </row>
    <row r="4614" spans="1:4" x14ac:dyDescent="0.3">
      <c r="A4614" s="1">
        <v>44435</v>
      </c>
      <c r="B4614">
        <v>1.3702380000000001</v>
      </c>
      <c r="C4614">
        <f t="shared" si="74"/>
        <v>-4.6591295403630838E-3</v>
      </c>
      <c r="D4614">
        <f>(C4614-meanrtn)/stdevrtns</f>
        <v>-0.76418080222229967</v>
      </c>
    </row>
    <row r="4615" spans="1:4" x14ac:dyDescent="0.3">
      <c r="A4615" s="1">
        <v>44438</v>
      </c>
      <c r="B4615">
        <v>1.3763000000000001</v>
      </c>
      <c r="C4615">
        <f t="shared" si="74"/>
        <v>4.4240489608374685E-3</v>
      </c>
      <c r="D4615">
        <f>(C4615-meanrtn)/stdevrtns</f>
        <v>0.74126752576763721</v>
      </c>
    </row>
    <row r="4616" spans="1:4" x14ac:dyDescent="0.3">
      <c r="A4616" s="1">
        <v>44439</v>
      </c>
      <c r="B4616">
        <v>1.3760460000000001</v>
      </c>
      <c r="C4616">
        <f t="shared" si="74"/>
        <v>-1.8455278645642406E-4</v>
      </c>
      <c r="D4616">
        <f>(C4616-meanrtn)/stdevrtns</f>
        <v>-2.2563306569090811E-2</v>
      </c>
    </row>
    <row r="4617" spans="1:4" x14ac:dyDescent="0.3">
      <c r="A4617" s="1">
        <v>44440</v>
      </c>
      <c r="B4617">
        <v>1.37534</v>
      </c>
      <c r="C4617">
        <f t="shared" si="74"/>
        <v>-5.1306424349192934E-4</v>
      </c>
      <c r="D4617">
        <f>(C4617-meanrtn)/stdevrtns</f>
        <v>-7.7010879481400341E-2</v>
      </c>
    </row>
    <row r="4618" spans="1:4" x14ac:dyDescent="0.3">
      <c r="A4618" s="1">
        <v>44441</v>
      </c>
      <c r="B4618">
        <v>1.3771640000000001</v>
      </c>
      <c r="C4618">
        <f t="shared" si="74"/>
        <v>1.3262175171230735E-3</v>
      </c>
      <c r="D4618">
        <f>(C4618-meanrtn)/stdevrtns</f>
        <v>0.22783214995529555</v>
      </c>
    </row>
    <row r="4619" spans="1:4" x14ac:dyDescent="0.3">
      <c r="A4619" s="1">
        <v>44442</v>
      </c>
      <c r="B4619">
        <v>1.3836809999999999</v>
      </c>
      <c r="C4619">
        <f t="shared" si="74"/>
        <v>4.7321887589276829E-3</v>
      </c>
      <c r="D4619">
        <f>(C4619-meanrtn)/stdevrtns</f>
        <v>0.79233869471590312</v>
      </c>
    </row>
    <row r="4620" spans="1:4" x14ac:dyDescent="0.3">
      <c r="A4620" s="1">
        <v>44445</v>
      </c>
      <c r="B4620">
        <v>1.3859250000000001</v>
      </c>
      <c r="C4620">
        <f t="shared" si="74"/>
        <v>1.6217610851056961E-3</v>
      </c>
      <c r="D4620">
        <f>(C4620-meanrtn)/stdevrtns</f>
        <v>0.27681561650379644</v>
      </c>
    </row>
    <row r="4621" spans="1:4" x14ac:dyDescent="0.3">
      <c r="A4621" s="1">
        <v>44446</v>
      </c>
      <c r="B4621">
        <v>1.3839490000000001</v>
      </c>
      <c r="C4621">
        <f t="shared" si="74"/>
        <v>-1.4257625773400275E-3</v>
      </c>
      <c r="D4621">
        <f>(C4621-meanrtn)/stdevrtns</f>
        <v>-0.22828173477387445</v>
      </c>
    </row>
    <row r="4622" spans="1:4" x14ac:dyDescent="0.3">
      <c r="A4622" s="1">
        <v>44447</v>
      </c>
      <c r="B4622">
        <v>1.37798</v>
      </c>
      <c r="C4622">
        <f t="shared" si="74"/>
        <v>-4.3130202052244068E-3</v>
      </c>
      <c r="D4622">
        <f>(C4622-meanrtn)/stdevrtns</f>
        <v>-0.70681655249216813</v>
      </c>
    </row>
    <row r="4623" spans="1:4" x14ac:dyDescent="0.3">
      <c r="A4623" s="1">
        <v>44448</v>
      </c>
      <c r="B4623">
        <v>1.3767659999999999</v>
      </c>
      <c r="C4623">
        <f t="shared" si="74"/>
        <v>-8.8099972423405883E-4</v>
      </c>
      <c r="D4623">
        <f>(C4623-meanrtn)/stdevrtns</f>
        <v>-0.13799260016631262</v>
      </c>
    </row>
    <row r="4624" spans="1:4" x14ac:dyDescent="0.3">
      <c r="A4624" s="1">
        <v>44449</v>
      </c>
      <c r="B4624">
        <v>1.3839680000000001</v>
      </c>
      <c r="C4624">
        <f t="shared" si="74"/>
        <v>5.2310995477809251E-3</v>
      </c>
      <c r="D4624">
        <f>(C4624-meanrtn)/stdevrtns</f>
        <v>0.87502829646665381</v>
      </c>
    </row>
    <row r="4625" spans="1:4" x14ac:dyDescent="0.3">
      <c r="A4625" s="1">
        <v>44452</v>
      </c>
      <c r="B4625">
        <v>1.384083</v>
      </c>
      <c r="C4625">
        <f t="shared" si="74"/>
        <v>8.3094406806996402E-5</v>
      </c>
      <c r="D4625">
        <f>(C4625-meanrtn)/stdevrtns</f>
        <v>2.1796607698404805E-2</v>
      </c>
    </row>
    <row r="4626" spans="1:4" x14ac:dyDescent="0.3">
      <c r="A4626" s="1">
        <v>44453</v>
      </c>
      <c r="B4626">
        <v>1.383815</v>
      </c>
      <c r="C4626">
        <f t="shared" si="74"/>
        <v>-1.9363000629292823E-4</v>
      </c>
      <c r="D4626">
        <f>(C4626-meanrtn)/stdevrtns</f>
        <v>-2.4067767306469923E-2</v>
      </c>
    </row>
    <row r="4627" spans="1:4" x14ac:dyDescent="0.3">
      <c r="A4627" s="1">
        <v>44454</v>
      </c>
      <c r="B4627">
        <v>1.3810249999999999</v>
      </c>
      <c r="C4627">
        <f t="shared" si="74"/>
        <v>-2.0161654556426043E-3</v>
      </c>
      <c r="D4627">
        <f>(C4627-meanrtn)/stdevrtns</f>
        <v>-0.3261352588308532</v>
      </c>
    </row>
    <row r="4628" spans="1:4" x14ac:dyDescent="0.3">
      <c r="A4628" s="1">
        <v>44455</v>
      </c>
      <c r="B4628">
        <v>1.3848879999999999</v>
      </c>
      <c r="C4628">
        <f t="shared" si="74"/>
        <v>2.7971977335674229E-3</v>
      </c>
      <c r="D4628">
        <f>(C4628-meanrtn)/stdevrtns</f>
        <v>0.47163278726080771</v>
      </c>
    </row>
    <row r="4629" spans="1:4" x14ac:dyDescent="0.3">
      <c r="A4629" s="1">
        <v>44456</v>
      </c>
      <c r="B4629">
        <v>1.3797010000000001</v>
      </c>
      <c r="C4629">
        <f t="shared" si="74"/>
        <v>-3.7454292332663947E-3</v>
      </c>
      <c r="D4629">
        <f>(C4629-meanrtn)/stdevrtns</f>
        <v>-0.61274387962732979</v>
      </c>
    </row>
    <row r="4630" spans="1:4" x14ac:dyDescent="0.3">
      <c r="A4630" s="1">
        <v>44459</v>
      </c>
      <c r="B4630">
        <v>1.3729659999999999</v>
      </c>
      <c r="C4630">
        <f t="shared" si="74"/>
        <v>-4.8814924393039919E-3</v>
      </c>
      <c r="D4630">
        <f>(C4630-meanrtn)/stdevrtns</f>
        <v>-0.80103528596643603</v>
      </c>
    </row>
    <row r="4631" spans="1:4" x14ac:dyDescent="0.3">
      <c r="A4631" s="1">
        <v>44460</v>
      </c>
      <c r="B4631">
        <v>1.3662700000000001</v>
      </c>
      <c r="C4631">
        <f t="shared" si="74"/>
        <v>-4.8770326431971465E-3</v>
      </c>
      <c r="D4631">
        <f>(C4631-meanrtn)/stdevrtns</f>
        <v>-0.80029611821900726</v>
      </c>
    </row>
    <row r="4632" spans="1:4" x14ac:dyDescent="0.3">
      <c r="A4632" s="1">
        <v>44461</v>
      </c>
      <c r="B4632">
        <v>1.365747</v>
      </c>
      <c r="C4632">
        <f t="shared" si="74"/>
        <v>-3.8279403046253754E-4</v>
      </c>
      <c r="D4632">
        <f>(C4632-meanrtn)/stdevrtns</f>
        <v>-5.5419861054748297E-2</v>
      </c>
    </row>
    <row r="4633" spans="1:4" x14ac:dyDescent="0.3">
      <c r="A4633" s="1">
        <v>44462</v>
      </c>
      <c r="B4633">
        <v>1.3617109999999999</v>
      </c>
      <c r="C4633">
        <f t="shared" si="74"/>
        <v>-2.9551593377105355E-3</v>
      </c>
      <c r="D4633">
        <f>(C4633-meanrtn)/stdevrtns</f>
        <v>-0.48176434501088433</v>
      </c>
    </row>
    <row r="4634" spans="1:4" x14ac:dyDescent="0.3">
      <c r="A4634" s="1">
        <v>44463</v>
      </c>
      <c r="B4634">
        <v>1.37225</v>
      </c>
      <c r="C4634">
        <f t="shared" si="74"/>
        <v>7.7395276971399052E-3</v>
      </c>
      <c r="D4634">
        <f>(C4634-meanrtn)/stdevrtns</f>
        <v>1.2907758195210826</v>
      </c>
    </row>
    <row r="4635" spans="1:4" x14ac:dyDescent="0.3">
      <c r="A4635" s="1">
        <v>44466</v>
      </c>
      <c r="B4635">
        <v>1.3669039999999999</v>
      </c>
      <c r="C4635">
        <f t="shared" si="74"/>
        <v>-3.8957915831663859E-3</v>
      </c>
      <c r="D4635">
        <f>(C4635-meanrtn)/stdevrtns</f>
        <v>-0.6376649739578728</v>
      </c>
    </row>
    <row r="4636" spans="1:4" x14ac:dyDescent="0.3">
      <c r="A4636" s="1">
        <v>44467</v>
      </c>
      <c r="B4636">
        <v>1.370163</v>
      </c>
      <c r="C4636">
        <f t="shared" si="74"/>
        <v>2.384220106167019E-3</v>
      </c>
      <c r="D4636">
        <f>(C4636-meanrtn)/stdevrtns</f>
        <v>0.40318576966834102</v>
      </c>
    </row>
    <row r="4637" spans="1:4" x14ac:dyDescent="0.3">
      <c r="A4637" s="1">
        <v>44468</v>
      </c>
      <c r="B4637">
        <v>1.3542240000000001</v>
      </c>
      <c r="C4637">
        <f t="shared" si="74"/>
        <v>-1.163292250630029E-2</v>
      </c>
      <c r="D4637">
        <f>(C4637-meanrtn)/stdevrtns</f>
        <v>-1.9200190320809891</v>
      </c>
    </row>
    <row r="4638" spans="1:4" x14ac:dyDescent="0.3">
      <c r="A4638" s="1">
        <v>44469</v>
      </c>
      <c r="B4638">
        <v>1.3426419999999999</v>
      </c>
      <c r="C4638">
        <f t="shared" si="74"/>
        <v>-8.5524994387931406E-3</v>
      </c>
      <c r="D4638">
        <f>(C4638-meanrtn)/stdevrtns</f>
        <v>-1.4094689249937697</v>
      </c>
    </row>
    <row r="4639" spans="1:4" x14ac:dyDescent="0.3">
      <c r="A4639" s="1">
        <v>44470</v>
      </c>
      <c r="B4639">
        <v>1.346983</v>
      </c>
      <c r="C4639">
        <f t="shared" si="74"/>
        <v>3.233177570789645E-3</v>
      </c>
      <c r="D4639">
        <f>(C4639-meanrtn)/stdevrtns</f>
        <v>0.54389219699240854</v>
      </c>
    </row>
    <row r="4640" spans="1:4" x14ac:dyDescent="0.3">
      <c r="A4640" s="1">
        <v>44473</v>
      </c>
      <c r="B4640">
        <v>1.357092</v>
      </c>
      <c r="C4640">
        <f t="shared" si="74"/>
        <v>7.504920255118233E-3</v>
      </c>
      <c r="D4640">
        <f>(C4640-meanrtn)/stdevrtns</f>
        <v>1.2518919220749583</v>
      </c>
    </row>
    <row r="4641" spans="1:4" x14ac:dyDescent="0.3">
      <c r="A4641" s="1">
        <v>44474</v>
      </c>
      <c r="B4641">
        <v>1.3607480000000001</v>
      </c>
      <c r="C4641">
        <f t="shared" si="74"/>
        <v>2.6939956907859625E-3</v>
      </c>
      <c r="D4641">
        <f>(C4641-meanrtn)/stdevrtns</f>
        <v>0.45452805429426296</v>
      </c>
    </row>
    <row r="4642" spans="1:4" x14ac:dyDescent="0.3">
      <c r="A4642" s="1">
        <v>44475</v>
      </c>
      <c r="B4642">
        <v>1.3627689999999999</v>
      </c>
      <c r="C4642">
        <f t="shared" si="74"/>
        <v>1.4852125448649039E-3</v>
      </c>
      <c r="D4642">
        <f>(C4642-meanrtn)/stdevrtns</f>
        <v>0.25418402651932165</v>
      </c>
    </row>
    <row r="4643" spans="1:4" x14ac:dyDescent="0.3">
      <c r="A4643" s="1">
        <v>44476</v>
      </c>
      <c r="B4643">
        <v>1.359213</v>
      </c>
      <c r="C4643">
        <f t="shared" si="74"/>
        <v>-2.6093930812924955E-3</v>
      </c>
      <c r="D4643">
        <f>(C4643-meanrtn)/stdevrtns</f>
        <v>-0.42445695723566035</v>
      </c>
    </row>
    <row r="4644" spans="1:4" x14ac:dyDescent="0.3">
      <c r="A4644" s="1">
        <v>44477</v>
      </c>
      <c r="B4644">
        <v>1.3620270000000001</v>
      </c>
      <c r="C4644">
        <f t="shared" si="74"/>
        <v>2.0703156900354061E-3</v>
      </c>
      <c r="D4644">
        <f>(C4644-meanrtn)/stdevrtns</f>
        <v>0.35115917145147968</v>
      </c>
    </row>
    <row r="4645" spans="1:4" x14ac:dyDescent="0.3">
      <c r="A4645" s="1">
        <v>44480</v>
      </c>
      <c r="B4645">
        <v>1.361656</v>
      </c>
      <c r="C4645">
        <f t="shared" si="74"/>
        <v>-2.7238813914857871E-4</v>
      </c>
      <c r="D4645">
        <f>(C4645-meanrtn)/stdevrtns</f>
        <v>-3.7121160389901792E-2</v>
      </c>
    </row>
    <row r="4646" spans="1:4" x14ac:dyDescent="0.3">
      <c r="A4646" s="1">
        <v>44481</v>
      </c>
      <c r="B4646">
        <v>1.359065</v>
      </c>
      <c r="C4646">
        <f t="shared" si="74"/>
        <v>-1.9028300833690815E-3</v>
      </c>
      <c r="D4646">
        <f>(C4646-meanrtn)/stdevrtns</f>
        <v>-0.30735102524249636</v>
      </c>
    </row>
    <row r="4647" spans="1:4" x14ac:dyDescent="0.3">
      <c r="A4647" s="1">
        <v>44482</v>
      </c>
      <c r="B4647">
        <v>1.3578840000000001</v>
      </c>
      <c r="C4647">
        <f t="shared" si="74"/>
        <v>-8.689797765374553E-4</v>
      </c>
      <c r="D4647">
        <f>(C4647-meanrtn)/stdevrtns</f>
        <v>-0.13600041096074031</v>
      </c>
    </row>
    <row r="4648" spans="1:4" x14ac:dyDescent="0.3">
      <c r="A4648" s="1">
        <v>44483</v>
      </c>
      <c r="B4648">
        <v>1.3669230000000001</v>
      </c>
      <c r="C4648">
        <f t="shared" si="74"/>
        <v>6.6566805411949906E-3</v>
      </c>
      <c r="D4648">
        <f>(C4648-meanrtn)/stdevrtns</f>
        <v>1.1113044549353854</v>
      </c>
    </row>
    <row r="4649" spans="1:4" x14ac:dyDescent="0.3">
      <c r="A4649" s="1">
        <v>44484</v>
      </c>
      <c r="B4649">
        <v>1.366886</v>
      </c>
      <c r="C4649">
        <f t="shared" si="74"/>
        <v>-2.7068093813671111E-5</v>
      </c>
      <c r="D4649">
        <f>(C4649-meanrtn)/stdevrtns</f>
        <v>3.5382466693163451E-3</v>
      </c>
    </row>
    <row r="4650" spans="1:4" x14ac:dyDescent="0.3">
      <c r="A4650" s="1">
        <v>44487</v>
      </c>
      <c r="B4650">
        <v>1.3761589999999999</v>
      </c>
      <c r="C4650">
        <f t="shared" si="74"/>
        <v>6.7840331966234667E-3</v>
      </c>
      <c r="D4650">
        <f>(C4650-meanrtn)/stdevrtns</f>
        <v>1.1324119166190392</v>
      </c>
    </row>
    <row r="4651" spans="1:4" x14ac:dyDescent="0.3">
      <c r="A4651" s="1">
        <v>44488</v>
      </c>
      <c r="B4651">
        <v>1.373645</v>
      </c>
      <c r="C4651">
        <f t="shared" si="74"/>
        <v>-1.8268237899835013E-3</v>
      </c>
      <c r="D4651">
        <f>(C4651-meanrtn)/stdevrtns</f>
        <v>-0.29475372273667089</v>
      </c>
    </row>
    <row r="4652" spans="1:4" x14ac:dyDescent="0.3">
      <c r="A4652" s="1">
        <v>44489</v>
      </c>
      <c r="B4652">
        <v>1.3793200000000001</v>
      </c>
      <c r="C4652">
        <f t="shared" si="74"/>
        <v>4.1313439789757156E-3</v>
      </c>
      <c r="D4652">
        <f>(C4652-meanrtn)/stdevrtns</f>
        <v>0.69275452720883335</v>
      </c>
    </row>
    <row r="4653" spans="1:4" x14ac:dyDescent="0.3">
      <c r="A4653" s="1">
        <v>44490</v>
      </c>
      <c r="B4653">
        <v>1.3823000000000001</v>
      </c>
      <c r="C4653">
        <f t="shared" si="74"/>
        <v>2.1604848766058511E-3</v>
      </c>
      <c r="D4653">
        <f>(C4653-meanrtn)/stdevrtns</f>
        <v>0.36610383549620229</v>
      </c>
    </row>
    <row r="4654" spans="1:4" x14ac:dyDescent="0.3">
      <c r="A4654" s="1">
        <v>44491</v>
      </c>
      <c r="B4654">
        <v>1.3791199999999999</v>
      </c>
      <c r="C4654">
        <f t="shared" si="74"/>
        <v>-2.3005136366926011E-3</v>
      </c>
      <c r="D4654">
        <f>(C4654-meanrtn)/stdevrtns</f>
        <v>-0.37326319908570099</v>
      </c>
    </row>
    <row r="4655" spans="1:4" x14ac:dyDescent="0.3">
      <c r="A4655" s="1">
        <v>44494</v>
      </c>
      <c r="B4655">
        <v>1.3762730000000001</v>
      </c>
      <c r="C4655">
        <f t="shared" si="74"/>
        <v>-2.0643598816635408E-3</v>
      </c>
      <c r="D4655">
        <f>(C4655-meanrtn)/stdevrtns</f>
        <v>-0.3341230153262324</v>
      </c>
    </row>
    <row r="4656" spans="1:4" x14ac:dyDescent="0.3">
      <c r="A4656" s="1">
        <v>44495</v>
      </c>
      <c r="B4656">
        <v>1.376444</v>
      </c>
      <c r="C4656">
        <f t="shared" si="74"/>
        <v>1.2424860474623945E-4</v>
      </c>
      <c r="D4656">
        <f>(C4656-meanrtn)/stdevrtns</f>
        <v>2.8617514990847807E-2</v>
      </c>
    </row>
    <row r="4657" spans="1:4" x14ac:dyDescent="0.3">
      <c r="A4657" s="1">
        <v>44496</v>
      </c>
      <c r="B4657">
        <v>1.376614</v>
      </c>
      <c r="C4657">
        <f t="shared" si="74"/>
        <v>1.2350665918846207E-4</v>
      </c>
      <c r="D4657">
        <f>(C4657-meanrtn)/stdevrtns</f>
        <v>2.8494544744334663E-2</v>
      </c>
    </row>
    <row r="4658" spans="1:4" x14ac:dyDescent="0.3">
      <c r="A4658" s="1">
        <v>44497</v>
      </c>
      <c r="B4658">
        <v>1.3732869999999999</v>
      </c>
      <c r="C4658">
        <f t="shared" si="74"/>
        <v>-2.4167994804644437E-3</v>
      </c>
      <c r="D4658">
        <f>(C4658-meanrtn)/stdevrtns</f>
        <v>-0.39253644457483028</v>
      </c>
    </row>
    <row r="4659" spans="1:4" x14ac:dyDescent="0.3">
      <c r="A4659" s="1">
        <v>44498</v>
      </c>
      <c r="B4659">
        <v>1.380072</v>
      </c>
      <c r="C4659">
        <f t="shared" si="74"/>
        <v>4.9407006692701828E-3</v>
      </c>
      <c r="D4659">
        <f>(C4659-meanrtn)/stdevrtns</f>
        <v>0.82689751206707762</v>
      </c>
    </row>
    <row r="4660" spans="1:4" x14ac:dyDescent="0.3">
      <c r="A4660" s="1">
        <v>44501</v>
      </c>
      <c r="B4660">
        <v>1.3683259999999999</v>
      </c>
      <c r="C4660">
        <f t="shared" si="74"/>
        <v>-8.5111501428911211E-3</v>
      </c>
      <c r="D4660">
        <f>(C4660-meanrtn)/stdevrtns</f>
        <v>-1.4026156821150759</v>
      </c>
    </row>
    <row r="4661" spans="1:4" x14ac:dyDescent="0.3">
      <c r="A4661" s="1">
        <v>44502</v>
      </c>
      <c r="B4661">
        <v>1.365542</v>
      </c>
      <c r="C4661">
        <f t="shared" si="74"/>
        <v>-2.0346028651066325E-3</v>
      </c>
      <c r="D4661">
        <f>(C4661-meanrtn)/stdevrtns</f>
        <v>-0.32919107979115014</v>
      </c>
    </row>
    <row r="4662" spans="1:4" x14ac:dyDescent="0.3">
      <c r="A4662" s="1">
        <v>44503</v>
      </c>
      <c r="B4662">
        <v>1.361739</v>
      </c>
      <c r="C4662">
        <f t="shared" si="74"/>
        <v>-2.7849747572758661E-3</v>
      </c>
      <c r="D4662">
        <f>(C4662-meanrtn)/stdevrtns</f>
        <v>-0.45355790912159971</v>
      </c>
    </row>
    <row r="4663" spans="1:4" x14ac:dyDescent="0.3">
      <c r="A4663" s="1">
        <v>44504</v>
      </c>
      <c r="B4663">
        <v>1.369488</v>
      </c>
      <c r="C4663">
        <f t="shared" si="74"/>
        <v>5.6905177864480681E-3</v>
      </c>
      <c r="D4663">
        <f>(C4663-meanrtn)/stdevrtns</f>
        <v>0.95117239284856647</v>
      </c>
    </row>
    <row r="4664" spans="1:4" x14ac:dyDescent="0.3">
      <c r="A4664" s="1">
        <v>44505</v>
      </c>
      <c r="B4664">
        <v>1.3508599999999999</v>
      </c>
      <c r="C4664">
        <f t="shared" si="74"/>
        <v>-1.3602163728342335E-2</v>
      </c>
      <c r="D4664">
        <f>(C4664-meanrtn)/stdevrtns</f>
        <v>-2.2464015758942826</v>
      </c>
    </row>
    <row r="4665" spans="1:4" x14ac:dyDescent="0.3">
      <c r="A4665" s="1">
        <v>44508</v>
      </c>
      <c r="B4665">
        <v>1.349127</v>
      </c>
      <c r="C4665">
        <f t="shared" si="74"/>
        <v>-1.2828864575159414E-3</v>
      </c>
      <c r="D4665">
        <f>(C4665-meanrtn)/stdevrtns</f>
        <v>-0.204601410130862</v>
      </c>
    </row>
    <row r="4666" spans="1:4" x14ac:dyDescent="0.3">
      <c r="A4666" s="1">
        <v>44509</v>
      </c>
      <c r="B4666">
        <v>1.3564510000000001</v>
      </c>
      <c r="C4666">
        <f t="shared" si="74"/>
        <v>5.4286957417649401E-3</v>
      </c>
      <c r="D4666">
        <f>(C4666-meanrtn)/stdevrtns</f>
        <v>0.90777794019666447</v>
      </c>
    </row>
    <row r="4667" spans="1:4" x14ac:dyDescent="0.3">
      <c r="A4667" s="1">
        <v>44510</v>
      </c>
      <c r="B4667">
        <v>1.3560000000000001</v>
      </c>
      <c r="C4667">
        <f t="shared" si="74"/>
        <v>-3.3248528697312266E-4</v>
      </c>
      <c r="D4667">
        <f>(C4667-meanrtn)/stdevrtns</f>
        <v>-4.7081677041365337E-2</v>
      </c>
    </row>
    <row r="4668" spans="1:4" x14ac:dyDescent="0.3">
      <c r="A4668" s="1">
        <v>44511</v>
      </c>
      <c r="B4668">
        <v>1.3412740000000001</v>
      </c>
      <c r="C4668">
        <f t="shared" si="74"/>
        <v>-1.0859882005899716E-2</v>
      </c>
      <c r="D4668">
        <f>(C4668-meanrtn)/stdevrtns</f>
        <v>-1.7918951018243361</v>
      </c>
    </row>
    <row r="4669" spans="1:4" x14ac:dyDescent="0.3">
      <c r="A4669" s="1">
        <v>44512</v>
      </c>
      <c r="B4669">
        <v>1.3366480000000001</v>
      </c>
      <c r="C4669">
        <f t="shared" si="74"/>
        <v>-3.4489597203852598E-3</v>
      </c>
      <c r="D4669">
        <f>(C4669-meanrtn)/stdevrtns</f>
        <v>-0.56360694673452094</v>
      </c>
    </row>
    <row r="4670" spans="1:4" x14ac:dyDescent="0.3">
      <c r="A4670" s="1">
        <v>44515</v>
      </c>
      <c r="B4670">
        <v>1.3417060000000001</v>
      </c>
      <c r="C4670">
        <f t="shared" si="74"/>
        <v>3.7840927454348538E-3</v>
      </c>
      <c r="D4670">
        <f>(C4670-meanrtn)/stdevrtns</f>
        <v>0.63520101894546088</v>
      </c>
    </row>
    <row r="4671" spans="1:4" x14ac:dyDescent="0.3">
      <c r="A4671" s="1">
        <v>44516</v>
      </c>
      <c r="B4671">
        <v>1.3408420000000001</v>
      </c>
      <c r="C4671">
        <f t="shared" si="74"/>
        <v>-6.4395627656131508E-4</v>
      </c>
      <c r="D4671">
        <f>(C4671-meanrtn)/stdevrtns</f>
        <v>-9.8704958520523634E-2</v>
      </c>
    </row>
    <row r="4672" spans="1:4" x14ac:dyDescent="0.3">
      <c r="A4672" s="1">
        <v>44517</v>
      </c>
      <c r="B4672">
        <v>1.342462</v>
      </c>
      <c r="C4672">
        <f t="shared" si="74"/>
        <v>1.2081960439783023E-3</v>
      </c>
      <c r="D4672">
        <f>(C4672-meanrtn)/stdevrtns</f>
        <v>0.20827124080997586</v>
      </c>
    </row>
    <row r="4673" spans="1:4" x14ac:dyDescent="0.3">
      <c r="A4673" s="1">
        <v>44518</v>
      </c>
      <c r="B4673">
        <v>1.349164</v>
      </c>
      <c r="C4673">
        <f t="shared" si="74"/>
        <v>4.9923200805683781E-3</v>
      </c>
      <c r="D4673">
        <f>(C4673-meanrtn)/stdevrtns</f>
        <v>0.83545292649831682</v>
      </c>
    </row>
    <row r="4674" spans="1:4" x14ac:dyDescent="0.3">
      <c r="A4674" s="1">
        <v>44519</v>
      </c>
      <c r="B4674">
        <v>1.3499650000000001</v>
      </c>
      <c r="C4674">
        <f t="shared" si="74"/>
        <v>5.9370098816752574E-4</v>
      </c>
      <c r="D4674">
        <f>(C4674-meanrtn)/stdevrtns</f>
        <v>0.10642467309074144</v>
      </c>
    </row>
    <row r="4675" spans="1:4" x14ac:dyDescent="0.3">
      <c r="A4675" s="1">
        <v>44522</v>
      </c>
      <c r="B4675">
        <v>1.3434539999999999</v>
      </c>
      <c r="C4675">
        <f t="shared" si="74"/>
        <v>-4.8230880059854549E-3</v>
      </c>
      <c r="D4675">
        <f>(C4675-meanrtn)/stdevrtns</f>
        <v>-0.79135532025014299</v>
      </c>
    </row>
    <row r="4676" spans="1:4" x14ac:dyDescent="0.3">
      <c r="A4676" s="1">
        <v>44523</v>
      </c>
      <c r="B4676">
        <v>1.339764</v>
      </c>
      <c r="C4676">
        <f t="shared" ref="C4676:C4739" si="75">(B4676-B4675)/B4675</f>
        <v>-2.7466515414744171E-3</v>
      </c>
      <c r="D4676">
        <f>(C4676-meanrtn)/stdevrtns</f>
        <v>-0.44720620953275386</v>
      </c>
    </row>
    <row r="4677" spans="1:4" x14ac:dyDescent="0.3">
      <c r="A4677" s="1">
        <v>44524</v>
      </c>
      <c r="B4677">
        <v>1.337596</v>
      </c>
      <c r="C4677">
        <f t="shared" si="75"/>
        <v>-1.6181954433765557E-3</v>
      </c>
      <c r="D4677">
        <f>(C4677-meanrtn)/stdevrtns</f>
        <v>-0.26017560720924637</v>
      </c>
    </row>
    <row r="4678" spans="1:4" x14ac:dyDescent="0.3">
      <c r="A4678" s="1">
        <v>44525</v>
      </c>
      <c r="B4678">
        <v>1.333067</v>
      </c>
      <c r="C4678">
        <f t="shared" si="75"/>
        <v>-3.3859251971447321E-3</v>
      </c>
      <c r="D4678">
        <f>(C4678-meanrtn)/stdevrtns</f>
        <v>-0.55315958873032089</v>
      </c>
    </row>
    <row r="4679" spans="1:4" x14ac:dyDescent="0.3">
      <c r="A4679" s="1">
        <v>44526</v>
      </c>
      <c r="B4679">
        <v>1.3314159999999999</v>
      </c>
      <c r="C4679">
        <f t="shared" si="75"/>
        <v>-1.238497389853675E-3</v>
      </c>
      <c r="D4679">
        <f>(C4679-meanrtn)/stdevrtns</f>
        <v>-0.19724435470314378</v>
      </c>
    </row>
    <row r="4680" spans="1:4" x14ac:dyDescent="0.3">
      <c r="A4680" s="1">
        <v>44529</v>
      </c>
      <c r="B4680">
        <v>1.334098</v>
      </c>
      <c r="C4680">
        <f t="shared" si="75"/>
        <v>2.01439670245819E-3</v>
      </c>
      <c r="D4680">
        <f>(C4680-meanrtn)/stdevrtns</f>
        <v>0.34189114414805466</v>
      </c>
    </row>
    <row r="4681" spans="1:4" x14ac:dyDescent="0.3">
      <c r="A4681" s="1">
        <v>44530</v>
      </c>
      <c r="B4681">
        <v>1.3315049999999999</v>
      </c>
      <c r="C4681">
        <f t="shared" si="75"/>
        <v>-1.9436353251410822E-3</v>
      </c>
      <c r="D4681">
        <f>(C4681-meanrtn)/stdevrtns</f>
        <v>-0.31411409645052824</v>
      </c>
    </row>
    <row r="4682" spans="1:4" x14ac:dyDescent="0.3">
      <c r="A4682" s="1">
        <v>44531</v>
      </c>
      <c r="B4682">
        <v>1.329593</v>
      </c>
      <c r="C4682">
        <f t="shared" si="75"/>
        <v>-1.4359690725907254E-3</v>
      </c>
      <c r="D4682">
        <f>(C4682-meanrtn)/stdevrtns</f>
        <v>-0.22997336190723636</v>
      </c>
    </row>
    <row r="4683" spans="1:4" x14ac:dyDescent="0.3">
      <c r="A4683" s="1">
        <v>44532</v>
      </c>
      <c r="B4683">
        <v>1.3280000000000001</v>
      </c>
      <c r="C4683">
        <f t="shared" si="75"/>
        <v>-1.1981110008851999E-3</v>
      </c>
      <c r="D4683">
        <f>(C4683-meanrtn)/stdevrtns</f>
        <v>-0.19055070426589804</v>
      </c>
    </row>
    <row r="4684" spans="1:4" x14ac:dyDescent="0.3">
      <c r="A4684" s="1">
        <v>44533</v>
      </c>
      <c r="B4684">
        <v>1.3299989999999999</v>
      </c>
      <c r="C4684">
        <f t="shared" si="75"/>
        <v>1.5052710843372454E-3</v>
      </c>
      <c r="D4684">
        <f>(C4684-meanrtn)/stdevrtns</f>
        <v>0.25750853398183216</v>
      </c>
    </row>
    <row r="4685" spans="1:4" x14ac:dyDescent="0.3">
      <c r="A4685" s="1">
        <v>44536</v>
      </c>
      <c r="B4685">
        <v>1.3237319999999999</v>
      </c>
      <c r="C4685">
        <f t="shared" si="75"/>
        <v>-4.7120336180704065E-3</v>
      </c>
      <c r="D4685">
        <f>(C4685-meanrtn)/stdevrtns</f>
        <v>-0.77294913759276618</v>
      </c>
    </row>
    <row r="4686" spans="1:4" x14ac:dyDescent="0.3">
      <c r="A4686" s="1">
        <v>44537</v>
      </c>
      <c r="B4686">
        <v>1.3264359999999999</v>
      </c>
      <c r="C4686">
        <f t="shared" si="75"/>
        <v>2.0427095514802393E-3</v>
      </c>
      <c r="D4686">
        <f>(C4686-meanrtn)/stdevrtns</f>
        <v>0.34658372298653523</v>
      </c>
    </row>
    <row r="4687" spans="1:4" x14ac:dyDescent="0.3">
      <c r="A4687" s="1">
        <v>44538</v>
      </c>
      <c r="B4687">
        <v>1.3246089999999999</v>
      </c>
      <c r="C4687">
        <f t="shared" si="75"/>
        <v>-1.3773751617115512E-3</v>
      </c>
      <c r="D4687">
        <f>(C4687-meanrtn)/stdevrtns</f>
        <v>-0.22026199213158071</v>
      </c>
    </row>
    <row r="4688" spans="1:4" x14ac:dyDescent="0.3">
      <c r="A4688" s="1">
        <v>44539</v>
      </c>
      <c r="B4688">
        <v>1.3210040000000001</v>
      </c>
      <c r="C4688">
        <f t="shared" si="75"/>
        <v>-2.7215578332925854E-3</v>
      </c>
      <c r="D4688">
        <f>(C4688-meanrtn)/stdevrtns</f>
        <v>-0.44304717192048931</v>
      </c>
    </row>
    <row r="4689" spans="1:4" x14ac:dyDescent="0.3">
      <c r="A4689" s="1">
        <v>44540</v>
      </c>
      <c r="B4689">
        <v>1.3224009999999999</v>
      </c>
      <c r="C4689">
        <f t="shared" si="75"/>
        <v>1.0575289703890908E-3</v>
      </c>
      <c r="D4689">
        <f>(C4689-meanrtn)/stdevrtns</f>
        <v>0.18329964149724237</v>
      </c>
    </row>
    <row r="4690" spans="1:4" x14ac:dyDescent="0.3">
      <c r="A4690" s="1">
        <v>44543</v>
      </c>
      <c r="B4690">
        <v>1.325715</v>
      </c>
      <c r="C4690">
        <f t="shared" si="75"/>
        <v>2.506047711700187E-3</v>
      </c>
      <c r="D4690">
        <f>(C4690-meanrtn)/stdevrtns</f>
        <v>0.42337750816920655</v>
      </c>
    </row>
    <row r="4691" spans="1:4" x14ac:dyDescent="0.3">
      <c r="A4691" s="1">
        <v>44544</v>
      </c>
      <c r="B4691">
        <v>1.321353</v>
      </c>
      <c r="C4691">
        <f t="shared" si="75"/>
        <v>-3.2902999513469916E-3</v>
      </c>
      <c r="D4691">
        <f>(C4691-meanrtn)/stdevrtns</f>
        <v>-0.53731063603377227</v>
      </c>
    </row>
    <row r="4692" spans="1:4" x14ac:dyDescent="0.3">
      <c r="A4692" s="1">
        <v>44545</v>
      </c>
      <c r="B4692">
        <v>1.323051</v>
      </c>
      <c r="C4692">
        <f t="shared" si="75"/>
        <v>1.2850464637382873E-3</v>
      </c>
      <c r="D4692">
        <f>(C4692-meanrtn)/stdevrtns</f>
        <v>0.22100844903699712</v>
      </c>
    </row>
    <row r="4693" spans="1:4" x14ac:dyDescent="0.3">
      <c r="A4693" s="1">
        <v>44546</v>
      </c>
      <c r="B4693">
        <v>1.3263130000000001</v>
      </c>
      <c r="C4693">
        <f t="shared" si="75"/>
        <v>2.4655134231409809E-3</v>
      </c>
      <c r="D4693">
        <f>(C4693-meanrtn)/stdevrtns</f>
        <v>0.41665934481596489</v>
      </c>
    </row>
    <row r="4694" spans="1:4" x14ac:dyDescent="0.3">
      <c r="A4694" s="1">
        <v>44547</v>
      </c>
      <c r="B4694">
        <v>1.3323739999999999</v>
      </c>
      <c r="C4694">
        <f t="shared" si="75"/>
        <v>4.5698111984123447E-3</v>
      </c>
      <c r="D4694">
        <f>(C4694-meanrtn)/stdevrtns</f>
        <v>0.76542619630484687</v>
      </c>
    </row>
    <row r="4695" spans="1:4" x14ac:dyDescent="0.3">
      <c r="A4695" s="1">
        <v>44550</v>
      </c>
      <c r="B4695">
        <v>1.3229439999999999</v>
      </c>
      <c r="C4695">
        <f t="shared" si="75"/>
        <v>-7.0775923276798032E-3</v>
      </c>
      <c r="D4695">
        <f>(C4695-meanrtn)/stdevrtns</f>
        <v>-1.1650174431614391</v>
      </c>
    </row>
    <row r="4696" spans="1:4" x14ac:dyDescent="0.3">
      <c r="A4696" s="1">
        <v>44551</v>
      </c>
      <c r="B4696">
        <v>1.321</v>
      </c>
      <c r="C4696">
        <f t="shared" si="75"/>
        <v>-1.4694499540418536E-3</v>
      </c>
      <c r="D4696">
        <f>(C4696-meanrtn)/stdevrtns</f>
        <v>-0.23552249176233811</v>
      </c>
    </row>
    <row r="4697" spans="1:4" x14ac:dyDescent="0.3">
      <c r="A4697" s="1">
        <v>44552</v>
      </c>
      <c r="B4697">
        <v>1.326964</v>
      </c>
      <c r="C4697">
        <f t="shared" si="75"/>
        <v>4.5147615442846937E-3</v>
      </c>
      <c r="D4697">
        <f>(C4697-meanrtn)/stdevrtns</f>
        <v>0.75630225254970174</v>
      </c>
    </row>
    <row r="4698" spans="1:4" x14ac:dyDescent="0.3">
      <c r="A4698" s="1">
        <v>44553</v>
      </c>
      <c r="B4698">
        <v>1.3352029999999999</v>
      </c>
      <c r="C4698">
        <f t="shared" si="75"/>
        <v>6.2089099628926522E-3</v>
      </c>
      <c r="D4698">
        <f>(C4698-meanrtn)/stdevrtns</f>
        <v>1.0370908447614529</v>
      </c>
    </row>
    <row r="4699" spans="1:4" x14ac:dyDescent="0.3">
      <c r="A4699" s="1">
        <v>44554</v>
      </c>
      <c r="B4699">
        <v>1.340662</v>
      </c>
      <c r="C4699">
        <f t="shared" si="75"/>
        <v>4.0885168772090107E-3</v>
      </c>
      <c r="D4699">
        <f>(C4699-meanrtn)/stdevrtns</f>
        <v>0.68565635240814893</v>
      </c>
    </row>
    <row r="4700" spans="1:4" x14ac:dyDescent="0.3">
      <c r="A4700" s="1">
        <v>44557</v>
      </c>
      <c r="B4700">
        <v>1.34043</v>
      </c>
      <c r="C4700">
        <f t="shared" si="75"/>
        <v>-1.7304883706706833E-4</v>
      </c>
      <c r="D4700">
        <f>(C4700-meanrtn)/stdevrtns</f>
        <v>-2.0656639054938426E-2</v>
      </c>
    </row>
    <row r="4701" spans="1:4" x14ac:dyDescent="0.3">
      <c r="A4701" s="1">
        <v>44558</v>
      </c>
      <c r="B4701">
        <v>1.3442670000000001</v>
      </c>
      <c r="C4701">
        <f t="shared" si="75"/>
        <v>2.8625142678096508E-3</v>
      </c>
      <c r="D4701">
        <f>(C4701-meanrtn)/stdevrtns</f>
        <v>0.48245836635209854</v>
      </c>
    </row>
    <row r="4702" spans="1:4" x14ac:dyDescent="0.3">
      <c r="A4702" s="1">
        <v>44559</v>
      </c>
      <c r="B4702">
        <v>1.3433280000000001</v>
      </c>
      <c r="C4702">
        <f t="shared" si="75"/>
        <v>-6.9852194541711061E-4</v>
      </c>
      <c r="D4702">
        <f>(C4702-meanrtn)/stdevrtns</f>
        <v>-0.10774868643292262</v>
      </c>
    </row>
    <row r="4703" spans="1:4" x14ac:dyDescent="0.3">
      <c r="A4703" s="1">
        <v>44560</v>
      </c>
      <c r="B4703">
        <v>1.3498790000000001</v>
      </c>
      <c r="C4703">
        <f t="shared" si="75"/>
        <v>4.876694299530698E-3</v>
      </c>
      <c r="D4703">
        <f>(C4703-meanrtn)/stdevrtns</f>
        <v>0.81628907997557154</v>
      </c>
    </row>
    <row r="4704" spans="1:4" x14ac:dyDescent="0.3">
      <c r="A4704" s="1">
        <v>44561</v>
      </c>
      <c r="B4704">
        <v>1.349837</v>
      </c>
      <c r="C4704">
        <f t="shared" si="75"/>
        <v>-3.1113899838502198E-5</v>
      </c>
      <c r="D4704">
        <f>(C4704-meanrtn)/stdevrtns</f>
        <v>2.8676937439666406E-3</v>
      </c>
    </row>
    <row r="4705" spans="1:4" x14ac:dyDescent="0.3">
      <c r="A4705" s="1">
        <v>44564</v>
      </c>
      <c r="B4705">
        <v>1.352228</v>
      </c>
      <c r="C4705">
        <f t="shared" si="75"/>
        <v>1.7713249822015784E-3</v>
      </c>
      <c r="D4705">
        <f>(C4705-meanrtn)/stdevrtns</f>
        <v>0.30160437506236648</v>
      </c>
    </row>
    <row r="4706" spans="1:4" x14ac:dyDescent="0.3">
      <c r="A4706" s="1">
        <v>44565</v>
      </c>
      <c r="B4706">
        <v>1.3483270000000001</v>
      </c>
      <c r="C4706">
        <f t="shared" si="75"/>
        <v>-2.8848685280884086E-3</v>
      </c>
      <c r="D4706">
        <f>(C4706-meanrtn)/stdevrtns</f>
        <v>-0.47011432824586058</v>
      </c>
    </row>
    <row r="4707" spans="1:4" x14ac:dyDescent="0.3">
      <c r="A4707" s="1">
        <v>44566</v>
      </c>
      <c r="B4707">
        <v>1.353143</v>
      </c>
      <c r="C4707">
        <f t="shared" si="75"/>
        <v>3.5718338355606107E-3</v>
      </c>
      <c r="D4707">
        <f>(C4707-meanrtn)/stdevrtns</f>
        <v>0.60002117293352675</v>
      </c>
    </row>
    <row r="4708" spans="1:4" x14ac:dyDescent="0.3">
      <c r="A4708" s="1">
        <v>44567</v>
      </c>
      <c r="B4708">
        <v>1.3555649999999999</v>
      </c>
      <c r="C4708">
        <f t="shared" si="75"/>
        <v>1.7899069056263265E-3</v>
      </c>
      <c r="D4708">
        <f>(C4708-meanrtn)/stdevrtns</f>
        <v>0.30468414780347541</v>
      </c>
    </row>
    <row r="4709" spans="1:4" x14ac:dyDescent="0.3">
      <c r="A4709" s="1">
        <v>44568</v>
      </c>
      <c r="B4709">
        <v>1.3533630000000001</v>
      </c>
      <c r="C4709">
        <f t="shared" si="75"/>
        <v>-1.6244149118631829E-3</v>
      </c>
      <c r="D4709">
        <f>(C4709-meanrtn)/stdevrtns</f>
        <v>-0.26120642350697093</v>
      </c>
    </row>
    <row r="4710" spans="1:4" x14ac:dyDescent="0.3">
      <c r="A4710" s="1">
        <v>44571</v>
      </c>
      <c r="B4710">
        <v>1.3592310000000001</v>
      </c>
      <c r="C4710">
        <f t="shared" si="75"/>
        <v>4.3358655438341257E-3</v>
      </c>
      <c r="D4710">
        <f>(C4710-meanrtn)/stdevrtns</f>
        <v>0.72665198367886563</v>
      </c>
    </row>
    <row r="4711" spans="1:4" x14ac:dyDescent="0.3">
      <c r="A4711" s="1">
        <v>44572</v>
      </c>
      <c r="B4711">
        <v>1.358031</v>
      </c>
      <c r="C4711">
        <f t="shared" si="75"/>
        <v>-8.8285214213043247E-4</v>
      </c>
      <c r="D4711">
        <f>(C4711-meanrtn)/stdevrtns</f>
        <v>-0.1382996203822498</v>
      </c>
    </row>
    <row r="4712" spans="1:4" x14ac:dyDescent="0.3">
      <c r="A4712" s="1">
        <v>44573</v>
      </c>
      <c r="B4712">
        <v>1.363327</v>
      </c>
      <c r="C4712">
        <f t="shared" si="75"/>
        <v>3.8997637020067783E-3</v>
      </c>
      <c r="D4712">
        <f>(C4712-meanrtn)/stdevrtns</f>
        <v>0.65437235287280637</v>
      </c>
    </row>
    <row r="4713" spans="1:4" x14ac:dyDescent="0.3">
      <c r="A4713" s="1">
        <v>44574</v>
      </c>
      <c r="B4713">
        <v>1.3709990000000001</v>
      </c>
      <c r="C4713">
        <f t="shared" si="75"/>
        <v>5.6274100050832439E-3</v>
      </c>
      <c r="D4713">
        <f>(C4713-meanrtn)/stdevrtns</f>
        <v>0.94071289302410832</v>
      </c>
    </row>
    <row r="4714" spans="1:4" x14ac:dyDescent="0.3">
      <c r="A4714" s="1">
        <v>44575</v>
      </c>
      <c r="B4714">
        <v>1.3713660000000001</v>
      </c>
      <c r="C4714">
        <f t="shared" si="75"/>
        <v>2.6768801436033592E-4</v>
      </c>
      <c r="D4714">
        <f>(C4714-meanrtn)/stdevrtns</f>
        <v>5.2391199427728977E-2</v>
      </c>
    </row>
    <row r="4715" spans="1:4" x14ac:dyDescent="0.3">
      <c r="A4715" s="1">
        <v>44578</v>
      </c>
      <c r="B4715">
        <v>1.367353</v>
      </c>
      <c r="C4715">
        <f t="shared" si="75"/>
        <v>-2.9262793448284734E-3</v>
      </c>
      <c r="D4715">
        <f>(C4715-meanrtn)/stdevrtns</f>
        <v>-0.47697776760398708</v>
      </c>
    </row>
    <row r="4716" spans="1:4" x14ac:dyDescent="0.3">
      <c r="A4716" s="1">
        <v>44579</v>
      </c>
      <c r="B4716">
        <v>1.3648</v>
      </c>
      <c r="C4716">
        <f t="shared" si="75"/>
        <v>-1.8671111263880121E-3</v>
      </c>
      <c r="D4716">
        <f>(C4716-meanrtn)/stdevrtns</f>
        <v>-0.30143095617663052</v>
      </c>
    </row>
    <row r="4717" spans="1:4" x14ac:dyDescent="0.3">
      <c r="A4717" s="1">
        <v>44580</v>
      </c>
      <c r="B4717">
        <v>1.360026</v>
      </c>
      <c r="C4717">
        <f t="shared" si="75"/>
        <v>-3.4979484173505685E-3</v>
      </c>
      <c r="D4717">
        <f>(C4717-meanrtn)/stdevrtns</f>
        <v>-0.57172634589937077</v>
      </c>
    </row>
    <row r="4718" spans="1:4" x14ac:dyDescent="0.3">
      <c r="A4718" s="1">
        <v>44581</v>
      </c>
      <c r="B4718">
        <v>1.360859</v>
      </c>
      <c r="C4718">
        <f t="shared" si="75"/>
        <v>6.1248829066509291E-4</v>
      </c>
      <c r="D4718">
        <f>(C4718-meanrtn)/stdevrtns</f>
        <v>0.10953848541190912</v>
      </c>
    </row>
    <row r="4719" spans="1:4" x14ac:dyDescent="0.3">
      <c r="A4719" s="1">
        <v>44582</v>
      </c>
      <c r="B4719">
        <v>1.3597669999999999</v>
      </c>
      <c r="C4719">
        <f t="shared" si="75"/>
        <v>-8.0243434477788873E-4</v>
      </c>
      <c r="D4719">
        <f>(C4719-meanrtn)/stdevrtns</f>
        <v>-0.1249711540806111</v>
      </c>
    </row>
    <row r="4720" spans="1:4" x14ac:dyDescent="0.3">
      <c r="A4720" s="1">
        <v>44585</v>
      </c>
      <c r="B4720">
        <v>1.355583</v>
      </c>
      <c r="C4720">
        <f t="shared" si="75"/>
        <v>-3.076997750349851E-3</v>
      </c>
      <c r="D4720">
        <f>(C4720-meanrtn)/stdevrtns</f>
        <v>-0.50195787468428688</v>
      </c>
    </row>
    <row r="4721" spans="1:4" x14ac:dyDescent="0.3">
      <c r="A4721" s="1">
        <v>44586</v>
      </c>
      <c r="B4721">
        <v>1.348927</v>
      </c>
      <c r="C4721">
        <f t="shared" si="75"/>
        <v>-4.9100645257427952E-3</v>
      </c>
      <c r="D4721">
        <f>(C4721-meanrtn)/stdevrtns</f>
        <v>-0.80577083088067447</v>
      </c>
    </row>
    <row r="4722" spans="1:4" x14ac:dyDescent="0.3">
      <c r="A4722" s="1">
        <v>44587</v>
      </c>
      <c r="B4722">
        <v>1.351078</v>
      </c>
      <c r="C4722">
        <f t="shared" si="75"/>
        <v>1.594600745629685E-3</v>
      </c>
      <c r="D4722">
        <f>(C4722-meanrtn)/stdevrtns</f>
        <v>0.27231405489225308</v>
      </c>
    </row>
    <row r="4723" spans="1:4" x14ac:dyDescent="0.3">
      <c r="A4723" s="1">
        <v>44588</v>
      </c>
      <c r="B4723">
        <v>1.3468009999999999</v>
      </c>
      <c r="C4723">
        <f t="shared" si="75"/>
        <v>-3.1656203416827794E-3</v>
      </c>
      <c r="D4723">
        <f>(C4723-meanrtn)/stdevrtns</f>
        <v>-0.51664620563877139</v>
      </c>
    </row>
    <row r="4724" spans="1:4" x14ac:dyDescent="0.3">
      <c r="A4724" s="1">
        <v>44589</v>
      </c>
      <c r="B4724">
        <v>1.338832</v>
      </c>
      <c r="C4724">
        <f t="shared" si="75"/>
        <v>-5.9169840236233066E-3</v>
      </c>
      <c r="D4724">
        <f>(C4724-meanrtn)/stdevrtns</f>
        <v>-0.97265792599879053</v>
      </c>
    </row>
    <row r="4725" spans="1:4" x14ac:dyDescent="0.3">
      <c r="A4725" s="1">
        <v>44592</v>
      </c>
      <c r="B4725">
        <v>1.3403389999999999</v>
      </c>
      <c r="C4725">
        <f t="shared" si="75"/>
        <v>1.1256079926383034E-3</v>
      </c>
      <c r="D4725">
        <f>(C4725-meanrtn)/stdevrtns</f>
        <v>0.19458307605737138</v>
      </c>
    </row>
    <row r="4726" spans="1:4" x14ac:dyDescent="0.3">
      <c r="A4726" s="1">
        <v>44593</v>
      </c>
      <c r="B4726">
        <v>1.344538</v>
      </c>
      <c r="C4726">
        <f t="shared" si="75"/>
        <v>3.1327895405565786E-3</v>
      </c>
      <c r="D4726">
        <f>(C4726-meanrtn)/stdevrtns</f>
        <v>0.5272538591853736</v>
      </c>
    </row>
    <row r="4727" spans="1:4" x14ac:dyDescent="0.3">
      <c r="A4727" s="1">
        <v>44594</v>
      </c>
      <c r="B4727">
        <v>1.3525389999999999</v>
      </c>
      <c r="C4727">
        <f t="shared" si="75"/>
        <v>5.9507429317727911E-3</v>
      </c>
      <c r="D4727">
        <f>(C4727-meanrtn)/stdevrtns</f>
        <v>0.99430217499236817</v>
      </c>
    </row>
    <row r="4728" spans="1:4" x14ac:dyDescent="0.3">
      <c r="A4728" s="1">
        <v>44595</v>
      </c>
      <c r="B4728">
        <v>1.3565020000000001</v>
      </c>
      <c r="C4728">
        <f t="shared" si="75"/>
        <v>2.9300449007386561E-3</v>
      </c>
      <c r="D4728">
        <f>(C4728-meanrtn)/stdevrtns</f>
        <v>0.49365091072603506</v>
      </c>
    </row>
    <row r="4729" spans="1:4" x14ac:dyDescent="0.3">
      <c r="A4729" s="1">
        <v>44596</v>
      </c>
      <c r="B4729">
        <v>1.3598410000000001</v>
      </c>
      <c r="C4729">
        <f t="shared" si="75"/>
        <v>2.4614781253547587E-3</v>
      </c>
      <c r="D4729">
        <f>(C4729-meanrtn)/stdevrtns</f>
        <v>0.41599053352876991</v>
      </c>
    </row>
    <row r="4730" spans="1:4" x14ac:dyDescent="0.3">
      <c r="A4730" s="1">
        <v>44599</v>
      </c>
      <c r="B4730">
        <v>1.353345</v>
      </c>
      <c r="C4730">
        <f t="shared" si="75"/>
        <v>-4.7770290791350287E-3</v>
      </c>
      <c r="D4730">
        <f>(C4730-meanrtn)/stdevrtns</f>
        <v>-0.78372150193348</v>
      </c>
    </row>
    <row r="4731" spans="1:4" x14ac:dyDescent="0.3">
      <c r="A4731" s="1">
        <v>44600</v>
      </c>
      <c r="B4731">
        <v>1.3537809999999999</v>
      </c>
      <c r="C4731">
        <f t="shared" si="75"/>
        <v>3.2216471040265483E-4</v>
      </c>
      <c r="D4731">
        <f>(C4731-meanrtn)/stdevrtns</f>
        <v>6.1420180963265819E-2</v>
      </c>
    </row>
    <row r="4732" spans="1:4" x14ac:dyDescent="0.3">
      <c r="A4732" s="1">
        <v>44601</v>
      </c>
      <c r="B4732">
        <v>1.354757</v>
      </c>
      <c r="C4732">
        <f t="shared" si="75"/>
        <v>7.2094378632887293E-4</v>
      </c>
      <c r="D4732">
        <f>(C4732-meanrtn)/stdevrtns</f>
        <v>0.12751392700284306</v>
      </c>
    </row>
    <row r="4733" spans="1:4" x14ac:dyDescent="0.3">
      <c r="A4733" s="1">
        <v>44602</v>
      </c>
      <c r="B4733">
        <v>1.3533269999999999</v>
      </c>
      <c r="C4733">
        <f t="shared" si="75"/>
        <v>-1.0555398495819121E-3</v>
      </c>
      <c r="D4733">
        <f>(C4733-meanrtn)/stdevrtns</f>
        <v>-0.16692092518352439</v>
      </c>
    </row>
    <row r="4734" spans="1:4" x14ac:dyDescent="0.3">
      <c r="A4734" s="1">
        <v>44603</v>
      </c>
      <c r="B4734">
        <v>1.3551789999999999</v>
      </c>
      <c r="C4734">
        <f t="shared" si="75"/>
        <v>1.3684793106174375E-3</v>
      </c>
      <c r="D4734">
        <f>(C4734-meanrtn)/stdevrtns</f>
        <v>0.23483663041833358</v>
      </c>
    </row>
    <row r="4735" spans="1:4" x14ac:dyDescent="0.3">
      <c r="A4735" s="1">
        <v>44606</v>
      </c>
      <c r="B4735">
        <v>1.3569629999999999</v>
      </c>
      <c r="C4735">
        <f t="shared" si="75"/>
        <v>1.3164312611101618E-3</v>
      </c>
      <c r="D4735">
        <f>(C4735-meanrtn)/stdevrtns</f>
        <v>0.22621017338068874</v>
      </c>
    </row>
    <row r="4736" spans="1:4" x14ac:dyDescent="0.3">
      <c r="A4736" s="1">
        <v>44607</v>
      </c>
      <c r="B4736">
        <v>1.3532900000000001</v>
      </c>
      <c r="C4736">
        <f t="shared" si="75"/>
        <v>-2.7067797721823036E-3</v>
      </c>
      <c r="D4736">
        <f>(C4736-meanrtn)/stdevrtns</f>
        <v>-0.44059785229229237</v>
      </c>
    </row>
    <row r="4737" spans="1:4" x14ac:dyDescent="0.3">
      <c r="A4737" s="1">
        <v>44608</v>
      </c>
      <c r="B4737">
        <v>1.354115</v>
      </c>
      <c r="C4737">
        <f t="shared" si="75"/>
        <v>6.0962543135606819E-4</v>
      </c>
      <c r="D4737">
        <f>(C4737-meanrtn)/stdevrtns</f>
        <v>0.10906399437779897</v>
      </c>
    </row>
    <row r="4738" spans="1:4" x14ac:dyDescent="0.3">
      <c r="A4738" s="1">
        <v>44609</v>
      </c>
      <c r="B4738">
        <v>1.358493</v>
      </c>
      <c r="C4738">
        <f t="shared" si="75"/>
        <v>3.2331079708887303E-3</v>
      </c>
      <c r="D4738">
        <f>(C4738-meanrtn)/stdevrtns</f>
        <v>0.5438806614870294</v>
      </c>
    </row>
    <row r="4739" spans="1:4" x14ac:dyDescent="0.3">
      <c r="A4739" s="1">
        <v>44610</v>
      </c>
      <c r="B4739">
        <v>1.3618779999999999</v>
      </c>
      <c r="C4739">
        <f t="shared" si="75"/>
        <v>2.4917316467585565E-3</v>
      </c>
      <c r="D4739">
        <f>(C4739-meanrtn)/stdevrtns</f>
        <v>0.42100475990416647</v>
      </c>
    </row>
    <row r="4740" spans="1:4" x14ac:dyDescent="0.3">
      <c r="A4740" s="1">
        <v>44613</v>
      </c>
      <c r="B4740">
        <v>1.3593420000000001</v>
      </c>
      <c r="C4740">
        <f t="shared" ref="C4740:C4803" si="76">(B4740-B4739)/B4739</f>
        <v>-1.862134493691705E-3</v>
      </c>
      <c r="D4740">
        <f>(C4740-meanrtn)/stdevrtns</f>
        <v>-0.3006061278006732</v>
      </c>
    </row>
    <row r="4741" spans="1:4" x14ac:dyDescent="0.3">
      <c r="A4741" s="1">
        <v>44614</v>
      </c>
      <c r="B4741">
        <v>1.3596010000000001</v>
      </c>
      <c r="C4741">
        <f t="shared" si="76"/>
        <v>1.9053336099378172E-4</v>
      </c>
      <c r="D4741">
        <f>(C4741-meanrtn)/stdevrtns</f>
        <v>3.9603567444941243E-2</v>
      </c>
    </row>
    <row r="4742" spans="1:4" x14ac:dyDescent="0.3">
      <c r="A4742" s="1">
        <v>44615</v>
      </c>
      <c r="B4742">
        <v>1.3589359999999999</v>
      </c>
      <c r="C4742">
        <f t="shared" si="76"/>
        <v>-4.8911408567670783E-4</v>
      </c>
      <c r="D4742">
        <f>(C4742-meanrtn)/stdevrtns</f>
        <v>-7.3041374199383169E-2</v>
      </c>
    </row>
    <row r="4743" spans="1:4" x14ac:dyDescent="0.3">
      <c r="A4743" s="1">
        <v>44616</v>
      </c>
      <c r="B4743">
        <v>1.354573</v>
      </c>
      <c r="C4743">
        <f t="shared" si="76"/>
        <v>-3.2106000576921172E-3</v>
      </c>
      <c r="D4743">
        <f>(C4743-meanrtn)/stdevrtns</f>
        <v>-0.52410115527460321</v>
      </c>
    </row>
    <row r="4744" spans="1:4" x14ac:dyDescent="0.3">
      <c r="A4744" s="1">
        <v>44617</v>
      </c>
      <c r="B4744">
        <v>1.3373269999999999</v>
      </c>
      <c r="C4744">
        <f t="shared" si="76"/>
        <v>-1.2731687402598528E-2</v>
      </c>
      <c r="D4744">
        <f>(C4744-meanrtn)/stdevrtns</f>
        <v>-2.1021286070241199</v>
      </c>
    </row>
    <row r="4745" spans="1:4" x14ac:dyDescent="0.3">
      <c r="A4745" s="1">
        <v>44620</v>
      </c>
      <c r="B4745">
        <v>1.3373269999999999</v>
      </c>
      <c r="C4745">
        <f t="shared" si="76"/>
        <v>0</v>
      </c>
      <c r="D4745">
        <f>(C4745-meanrtn)/stdevrtns</f>
        <v>8.0245194611897972E-3</v>
      </c>
    </row>
    <row r="4746" spans="1:4" x14ac:dyDescent="0.3">
      <c r="A4746" s="1">
        <v>44621</v>
      </c>
      <c r="B4746">
        <v>1.342282</v>
      </c>
      <c r="C4746">
        <f t="shared" si="76"/>
        <v>3.7051521430435811E-3</v>
      </c>
      <c r="D4746">
        <f>(C4746-meanrtn)/stdevrtns</f>
        <v>0.62211738331452482</v>
      </c>
    </row>
    <row r="4747" spans="1:4" x14ac:dyDescent="0.3">
      <c r="A4747" s="1">
        <v>44622</v>
      </c>
      <c r="B4747">
        <v>1.3335109999999999</v>
      </c>
      <c r="C4747">
        <f t="shared" si="76"/>
        <v>-6.5343944119045658E-3</v>
      </c>
      <c r="D4747">
        <f>(C4747-meanrtn)/stdevrtns</f>
        <v>-1.074987681667336</v>
      </c>
    </row>
    <row r="4748" spans="1:4" x14ac:dyDescent="0.3">
      <c r="A4748" s="1">
        <v>44623</v>
      </c>
      <c r="B4748">
        <v>1.3396920000000001</v>
      </c>
      <c r="C4748">
        <f t="shared" si="76"/>
        <v>4.6351323686120438E-3</v>
      </c>
      <c r="D4748">
        <f>(C4748-meanrtn)/stdevrtns</f>
        <v>0.77625254376091468</v>
      </c>
    </row>
    <row r="4749" spans="1:4" x14ac:dyDescent="0.3">
      <c r="A4749" s="1">
        <v>44624</v>
      </c>
      <c r="B4749">
        <v>1.3350960000000001</v>
      </c>
      <c r="C4749">
        <f t="shared" si="76"/>
        <v>-3.4306392812676677E-3</v>
      </c>
      <c r="D4749">
        <f>(C4749-meanrtn)/stdevrtns</f>
        <v>-0.56057051246935974</v>
      </c>
    </row>
    <row r="4750" spans="1:4" x14ac:dyDescent="0.3">
      <c r="A4750" s="1">
        <v>44627</v>
      </c>
      <c r="B4750">
        <v>1.321248</v>
      </c>
      <c r="C4750">
        <f t="shared" si="76"/>
        <v>-1.0372287835481555E-2</v>
      </c>
      <c r="D4750">
        <f>(C4750-meanrtn)/stdevrtns</f>
        <v>-1.7110811193074629</v>
      </c>
    </row>
    <row r="4751" spans="1:4" x14ac:dyDescent="0.3">
      <c r="A4751" s="1">
        <v>44628</v>
      </c>
      <c r="B4751">
        <v>1.3112299999999999</v>
      </c>
      <c r="C4751">
        <f t="shared" si="76"/>
        <v>-7.5822252900288835E-3</v>
      </c>
      <c r="D4751">
        <f>(C4751-meanrtn)/stdevrtns</f>
        <v>-1.2486554394109481</v>
      </c>
    </row>
    <row r="4752" spans="1:4" x14ac:dyDescent="0.3">
      <c r="A4752" s="1">
        <v>44629</v>
      </c>
      <c r="B4752">
        <v>1.3099289999999999</v>
      </c>
      <c r="C4752">
        <f t="shared" si="76"/>
        <v>-9.9219816508163837E-4</v>
      </c>
      <c r="D4752">
        <f>(C4752-meanrtn)/stdevrtns</f>
        <v>-0.15642265819357151</v>
      </c>
    </row>
    <row r="4753" spans="1:4" x14ac:dyDescent="0.3">
      <c r="A4753" s="1">
        <v>44630</v>
      </c>
      <c r="B4753">
        <v>1.318565</v>
      </c>
      <c r="C4753">
        <f t="shared" si="76"/>
        <v>6.5927237277746261E-3</v>
      </c>
      <c r="D4753">
        <f>(C4753-meanrtn)/stdevrtns</f>
        <v>1.1007042363208854</v>
      </c>
    </row>
    <row r="4754" spans="1:4" x14ac:dyDescent="0.3">
      <c r="A4754" s="1">
        <v>44631</v>
      </c>
      <c r="B4754">
        <v>1.310324</v>
      </c>
      <c r="C4754">
        <f t="shared" si="76"/>
        <v>-6.249976299992752E-3</v>
      </c>
      <c r="D4754">
        <f>(C4754-meanrtn)/stdevrtns</f>
        <v>-1.0278481510535646</v>
      </c>
    </row>
    <row r="4755" spans="1:4" x14ac:dyDescent="0.3">
      <c r="A4755" s="1">
        <v>44634</v>
      </c>
      <c r="B4755">
        <v>1.3050299999999999</v>
      </c>
      <c r="C4755">
        <f t="shared" si="76"/>
        <v>-4.0402221130042123E-3</v>
      </c>
      <c r="D4755">
        <f>(C4755-meanrtn)/stdevrtns</f>
        <v>-0.66160292691413336</v>
      </c>
    </row>
    <row r="4756" spans="1:4" x14ac:dyDescent="0.3">
      <c r="A4756" s="1">
        <v>44635</v>
      </c>
      <c r="B4756">
        <v>1.301185</v>
      </c>
      <c r="C4756">
        <f t="shared" si="76"/>
        <v>-2.9462924223963255E-3</v>
      </c>
      <c r="D4756">
        <f>(C4756-meanrtn)/stdevrtns</f>
        <v>-0.48029474019881979</v>
      </c>
    </row>
    <row r="4757" spans="1:4" x14ac:dyDescent="0.3">
      <c r="A4757" s="1">
        <v>44636</v>
      </c>
      <c r="B4757">
        <v>1.3046489999999999</v>
      </c>
      <c r="C4757">
        <f t="shared" si="76"/>
        <v>2.6621886972259222E-3</v>
      </c>
      <c r="D4757">
        <f>(C4757-meanrtn)/stdevrtns</f>
        <v>0.44925635504635975</v>
      </c>
    </row>
    <row r="4758" spans="1:4" x14ac:dyDescent="0.3">
      <c r="A4758" s="1">
        <v>44637</v>
      </c>
      <c r="B4758">
        <v>1.3141119999999999</v>
      </c>
      <c r="C4758">
        <f t="shared" si="76"/>
        <v>7.2532918815712112E-3</v>
      </c>
      <c r="D4758">
        <f>(C4758-meanrtn)/stdevrtns</f>
        <v>1.2101869710843858</v>
      </c>
    </row>
    <row r="4759" spans="1:4" x14ac:dyDescent="0.3">
      <c r="A4759" s="1">
        <v>44638</v>
      </c>
      <c r="B4759">
        <v>1.316041</v>
      </c>
      <c r="C4759">
        <f t="shared" si="76"/>
        <v>1.4679114108995805E-3</v>
      </c>
      <c r="D4759">
        <f>(C4759-meanrtn)/stdevrtns</f>
        <v>0.25131653215080474</v>
      </c>
    </row>
    <row r="4760" spans="1:4" x14ac:dyDescent="0.3">
      <c r="A4760" s="1">
        <v>44641</v>
      </c>
      <c r="B4760">
        <v>1.316084</v>
      </c>
      <c r="C4760">
        <f t="shared" si="76"/>
        <v>3.2673754085180662E-5</v>
      </c>
      <c r="D4760">
        <f>(C4760-meanrtn)/stdevrtns</f>
        <v>1.3439875820220744E-2</v>
      </c>
    </row>
    <row r="4761" spans="1:4" x14ac:dyDescent="0.3">
      <c r="A4761" s="1">
        <v>44642</v>
      </c>
      <c r="B4761">
        <v>1.316829</v>
      </c>
      <c r="C4761">
        <f t="shared" si="76"/>
        <v>5.6607329015472842E-4</v>
      </c>
      <c r="D4761">
        <f>(C4761-meanrtn)/stdevrtns</f>
        <v>0.10184565135577507</v>
      </c>
    </row>
    <row r="4762" spans="1:4" x14ac:dyDescent="0.3">
      <c r="A4762" s="1">
        <v>44643</v>
      </c>
      <c r="B4762">
        <v>1.3266469999999999</v>
      </c>
      <c r="C4762">
        <f t="shared" si="76"/>
        <v>7.4557896279622352E-3</v>
      </c>
      <c r="D4762">
        <f>(C4762-meanrtn)/stdevrtns</f>
        <v>1.2437489993640023</v>
      </c>
    </row>
    <row r="4763" spans="1:4" x14ac:dyDescent="0.3">
      <c r="A4763" s="1">
        <v>44644</v>
      </c>
      <c r="B4763">
        <v>1.320603</v>
      </c>
      <c r="C4763">
        <f t="shared" si="76"/>
        <v>-4.5558464308892562E-3</v>
      </c>
      <c r="D4763">
        <f>(C4763-meanrtn)/stdevrtns</f>
        <v>-0.74706263324142752</v>
      </c>
    </row>
    <row r="4764" spans="1:4" x14ac:dyDescent="0.3">
      <c r="A4764" s="1">
        <v>44645</v>
      </c>
      <c r="B4764">
        <v>1.3195749999999999</v>
      </c>
      <c r="C4764">
        <f t="shared" si="76"/>
        <v>-7.7843227677055777E-4</v>
      </c>
      <c r="D4764">
        <f>(C4764-meanrtn)/stdevrtns</f>
        <v>-0.12099304519007667</v>
      </c>
    </row>
    <row r="4765" spans="1:4" x14ac:dyDescent="0.3">
      <c r="A4765" s="1">
        <v>44648</v>
      </c>
      <c r="B4765">
        <v>1.3176270000000001</v>
      </c>
      <c r="C4765">
        <f t="shared" si="76"/>
        <v>-1.4762328780098433E-3</v>
      </c>
      <c r="D4765">
        <f>(C4765-meanrtn)/stdevrtns</f>
        <v>-0.23664669531565846</v>
      </c>
    </row>
    <row r="4766" spans="1:4" x14ac:dyDescent="0.3">
      <c r="A4766" s="1">
        <v>44649</v>
      </c>
      <c r="B4766">
        <v>1.3103579999999999</v>
      </c>
      <c r="C4766">
        <f t="shared" si="76"/>
        <v>-5.5167357681651878E-3</v>
      </c>
      <c r="D4766">
        <f>(C4766-meanrtn)/stdevrtns</f>
        <v>-0.90632067776782455</v>
      </c>
    </row>
    <row r="4767" spans="1:4" x14ac:dyDescent="0.3">
      <c r="A4767" s="1">
        <v>44650</v>
      </c>
      <c r="B4767">
        <v>1.30938</v>
      </c>
      <c r="C4767">
        <f t="shared" si="76"/>
        <v>-7.4636091816123796E-4</v>
      </c>
      <c r="D4767">
        <f>(C4767-meanrtn)/stdevrtns</f>
        <v>-0.11567753001128936</v>
      </c>
    </row>
    <row r="4768" spans="1:4" x14ac:dyDescent="0.3">
      <c r="A4768" s="1">
        <v>44651</v>
      </c>
      <c r="B4768">
        <v>1.3138879999999999</v>
      </c>
      <c r="C4768">
        <f t="shared" si="76"/>
        <v>3.4428508148894566E-3</v>
      </c>
      <c r="D4768">
        <f>(C4768-meanrtn)/stdevrtns</f>
        <v>0.57864349409755367</v>
      </c>
    </row>
    <row r="4769" spans="1:4" x14ac:dyDescent="0.3">
      <c r="A4769" s="1">
        <v>44652</v>
      </c>
      <c r="B4769">
        <v>1.3147</v>
      </c>
      <c r="C4769">
        <f t="shared" si="76"/>
        <v>6.1801310309557206E-4</v>
      </c>
      <c r="D4769">
        <f>(C4769-meanrtn)/stdevrtns</f>
        <v>0.11045416923721582</v>
      </c>
    </row>
    <row r="4770" spans="1:4" x14ac:dyDescent="0.3">
      <c r="A4770" s="1">
        <v>44655</v>
      </c>
      <c r="B4770">
        <v>1.310376</v>
      </c>
      <c r="C4770">
        <f t="shared" si="76"/>
        <v>-3.2889632615805847E-3</v>
      </c>
      <c r="D4770">
        <f>(C4770-meanrtn)/stdevrtns</f>
        <v>-0.53708909273000327</v>
      </c>
    </row>
    <row r="4771" spans="1:4" x14ac:dyDescent="0.3">
      <c r="A4771" s="1">
        <v>44656</v>
      </c>
      <c r="B4771">
        <v>1.311458</v>
      </c>
      <c r="C4771">
        <f t="shared" si="76"/>
        <v>8.2571719872771431E-4</v>
      </c>
      <c r="D4771">
        <f>(C4771-meanrtn)/stdevrtns</f>
        <v>0.1448790991716811</v>
      </c>
    </row>
    <row r="4772" spans="1:4" x14ac:dyDescent="0.3">
      <c r="A4772" s="1">
        <v>44657</v>
      </c>
      <c r="B4772">
        <v>1.3077369999999999</v>
      </c>
      <c r="C4772">
        <f t="shared" si="76"/>
        <v>-2.8373001651597575E-3</v>
      </c>
      <c r="D4772">
        <f>(C4772-meanrtn)/stdevrtns</f>
        <v>-0.46223033560752463</v>
      </c>
    </row>
    <row r="4773" spans="1:4" x14ac:dyDescent="0.3">
      <c r="A4773" s="1">
        <v>44658</v>
      </c>
      <c r="B4773">
        <v>1.307207</v>
      </c>
      <c r="C4773">
        <f t="shared" si="76"/>
        <v>-4.0528026659788585E-4</v>
      </c>
      <c r="D4773">
        <f>(C4773-meanrtn)/stdevrtns</f>
        <v>-5.9146735583116616E-2</v>
      </c>
    </row>
    <row r="4774" spans="1:4" x14ac:dyDescent="0.3">
      <c r="A4774" s="1">
        <v>44659</v>
      </c>
      <c r="B4774">
        <v>1.3069329999999999</v>
      </c>
      <c r="C4774">
        <f t="shared" si="76"/>
        <v>-2.0960720069591694E-4</v>
      </c>
      <c r="D4774">
        <f>(C4774-meanrtn)/stdevrtns</f>
        <v>-2.6715831593301938E-2</v>
      </c>
    </row>
    <row r="4775" spans="1:4" x14ac:dyDescent="0.3">
      <c r="A4775" s="1">
        <v>44662</v>
      </c>
      <c r="B4775">
        <v>1.30322</v>
      </c>
      <c r="C4775">
        <f t="shared" si="76"/>
        <v>-2.8410025609574901E-3</v>
      </c>
      <c r="D4775">
        <f>(C4775-meanrtn)/stdevrtns</f>
        <v>-0.46284397163400115</v>
      </c>
    </row>
    <row r="4776" spans="1:4" x14ac:dyDescent="0.3">
      <c r="A4776" s="1">
        <v>44663</v>
      </c>
      <c r="B4776">
        <v>1.3024230000000001</v>
      </c>
      <c r="C4776">
        <f t="shared" si="76"/>
        <v>-6.1156213072231596E-4</v>
      </c>
      <c r="D4776">
        <f>(C4776-meanrtn)/stdevrtns</f>
        <v>-9.3335944503730103E-2</v>
      </c>
    </row>
    <row r="4777" spans="1:4" x14ac:dyDescent="0.3">
      <c r="A4777" s="1">
        <v>44664</v>
      </c>
      <c r="B4777">
        <v>1.3002549999999999</v>
      </c>
      <c r="C4777">
        <f t="shared" si="76"/>
        <v>-1.664589768454772E-3</v>
      </c>
      <c r="D4777">
        <f>(C4777-meanrtn)/stdevrtns</f>
        <v>-0.26786501451396799</v>
      </c>
    </row>
    <row r="4778" spans="1:4" x14ac:dyDescent="0.3">
      <c r="A4778" s="1">
        <v>44665</v>
      </c>
      <c r="B4778">
        <v>1.3120259999999999</v>
      </c>
      <c r="C4778">
        <f t="shared" si="76"/>
        <v>9.0528396353022882E-3</v>
      </c>
      <c r="D4778">
        <f>(C4778-meanrtn)/stdevrtns</f>
        <v>1.5084444760573887</v>
      </c>
    </row>
    <row r="4779" spans="1:4" x14ac:dyDescent="0.3">
      <c r="A4779" s="1">
        <v>44666</v>
      </c>
      <c r="B4779">
        <v>1.307002</v>
      </c>
      <c r="C4779">
        <f t="shared" si="76"/>
        <v>-3.8291924092967041E-3</v>
      </c>
      <c r="D4779">
        <f>(C4779-meanrtn)/stdevrtns</f>
        <v>-0.62662680984666752</v>
      </c>
    </row>
    <row r="4780" spans="1:4" x14ac:dyDescent="0.3">
      <c r="A4780" s="1">
        <v>44669</v>
      </c>
      <c r="B4780">
        <v>1.3057559999999999</v>
      </c>
      <c r="C4780">
        <f t="shared" si="76"/>
        <v>-9.5332677379229749E-4</v>
      </c>
      <c r="D4780">
        <f>(C4780-meanrtn)/stdevrtns</f>
        <v>-0.14998010385915583</v>
      </c>
    </row>
    <row r="4781" spans="1:4" x14ac:dyDescent="0.3">
      <c r="A4781" s="1">
        <v>44670</v>
      </c>
      <c r="B4781">
        <v>1.3009820000000001</v>
      </c>
      <c r="C4781">
        <f t="shared" si="76"/>
        <v>-3.6561195200327124E-3</v>
      </c>
      <c r="D4781">
        <f>(C4781-meanrtn)/stdevrtns</f>
        <v>-0.59794166491326939</v>
      </c>
    </row>
    <row r="4782" spans="1:4" x14ac:dyDescent="0.3">
      <c r="A4782" s="1">
        <v>44671</v>
      </c>
      <c r="B4782">
        <v>1.301372</v>
      </c>
      <c r="C4782">
        <f t="shared" si="76"/>
        <v>2.9977355566786505E-4</v>
      </c>
      <c r="D4782">
        <f>(C4782-meanrtn)/stdevrtns</f>
        <v>5.7709065250545005E-2</v>
      </c>
    </row>
    <row r="4783" spans="1:4" x14ac:dyDescent="0.3">
      <c r="A4783" s="1">
        <v>44672</v>
      </c>
      <c r="B4783">
        <v>1.3068820000000001</v>
      </c>
      <c r="C4783">
        <f t="shared" si="76"/>
        <v>4.23399304733783E-3</v>
      </c>
      <c r="D4783">
        <f>(C4783-meanrtn)/stdevrtns</f>
        <v>0.70976761005368161</v>
      </c>
    </row>
    <row r="4784" spans="1:4" x14ac:dyDescent="0.3">
      <c r="A4784" s="1">
        <v>44673</v>
      </c>
      <c r="B4784">
        <v>1.3026260000000001</v>
      </c>
      <c r="C4784">
        <f t="shared" si="76"/>
        <v>-3.2566061817364054E-3</v>
      </c>
      <c r="D4784">
        <f>(C4784-meanrtn)/stdevrtns</f>
        <v>-0.53172622204067155</v>
      </c>
    </row>
    <row r="4785" spans="1:4" x14ac:dyDescent="0.3">
      <c r="A4785" s="1">
        <v>44676</v>
      </c>
      <c r="B4785">
        <v>1.283088</v>
      </c>
      <c r="C4785">
        <f t="shared" si="76"/>
        <v>-1.4998932924722871E-2</v>
      </c>
      <c r="D4785">
        <f>(C4785-meanrtn)/stdevrtns</f>
        <v>-2.4779024597534951</v>
      </c>
    </row>
    <row r="4786" spans="1:4" x14ac:dyDescent="0.3">
      <c r="A4786" s="1">
        <v>44677</v>
      </c>
      <c r="B4786">
        <v>1.2739990000000001</v>
      </c>
      <c r="C4786">
        <f t="shared" si="76"/>
        <v>-7.0836918434276546E-3</v>
      </c>
      <c r="D4786">
        <f>(C4786-meanrtn)/stdevrtns</f>
        <v>-1.1660283784615588</v>
      </c>
    </row>
    <row r="4787" spans="1:4" x14ac:dyDescent="0.3">
      <c r="A4787" s="1">
        <v>44678</v>
      </c>
      <c r="B4787">
        <v>1.2584</v>
      </c>
      <c r="C4787">
        <f t="shared" si="76"/>
        <v>-1.2244122640598728E-2</v>
      </c>
      <c r="D4787">
        <f>(C4787-meanrtn)/stdevrtns</f>
        <v>-2.0213194986660277</v>
      </c>
    </row>
    <row r="4788" spans="1:4" x14ac:dyDescent="0.3">
      <c r="A4788" s="1">
        <v>44679</v>
      </c>
      <c r="B4788">
        <v>1.254186</v>
      </c>
      <c r="C4788">
        <f t="shared" si="76"/>
        <v>-3.3486967577876195E-3</v>
      </c>
      <c r="D4788">
        <f>(C4788-meanrtn)/stdevrtns</f>
        <v>-0.54698933766936986</v>
      </c>
    </row>
    <row r="4789" spans="1:4" x14ac:dyDescent="0.3">
      <c r="A4789" s="1">
        <v>44680</v>
      </c>
      <c r="B4789">
        <v>1.2463850000000001</v>
      </c>
      <c r="C4789">
        <f t="shared" si="76"/>
        <v>-6.2199705625799896E-3</v>
      </c>
      <c r="D4789">
        <f>(C4789-meanrtn)/stdevrtns</f>
        <v>-1.0228749924602178</v>
      </c>
    </row>
    <row r="4790" spans="1:4" x14ac:dyDescent="0.3">
      <c r="A4790" s="1">
        <v>44683</v>
      </c>
      <c r="B4790">
        <v>1.257387</v>
      </c>
      <c r="C4790">
        <f t="shared" si="76"/>
        <v>8.8271280543330954E-3</v>
      </c>
      <c r="D4790">
        <f>(C4790-meanrtn)/stdevrtns</f>
        <v>1.4710349808973933</v>
      </c>
    </row>
    <row r="4791" spans="1:4" x14ac:dyDescent="0.3">
      <c r="A4791" s="1">
        <v>44684</v>
      </c>
      <c r="B4791">
        <v>1.2498279999999999</v>
      </c>
      <c r="C4791">
        <f t="shared" si="76"/>
        <v>-6.0116734147880428E-3</v>
      </c>
      <c r="D4791">
        <f>(C4791-meanrtn)/stdevrtns</f>
        <v>-0.98835176990910178</v>
      </c>
    </row>
    <row r="4792" spans="1:4" x14ac:dyDescent="0.3">
      <c r="A4792" s="1">
        <v>44685</v>
      </c>
      <c r="B4792">
        <v>1.250041</v>
      </c>
      <c r="C4792">
        <f t="shared" si="76"/>
        <v>1.7042345026677171E-4</v>
      </c>
      <c r="D4792">
        <f>(C4792-meanrtn)/stdevrtns</f>
        <v>3.6270545697542726E-2</v>
      </c>
    </row>
    <row r="4793" spans="1:4" x14ac:dyDescent="0.3">
      <c r="A4793" s="1">
        <v>44686</v>
      </c>
      <c r="B4793">
        <v>1.261814</v>
      </c>
      <c r="C4793">
        <f t="shared" si="76"/>
        <v>9.4180910866123856E-3</v>
      </c>
      <c r="D4793">
        <f>(C4793-meanrtn)/stdevrtns</f>
        <v>1.5689813450177428</v>
      </c>
    </row>
    <row r="4794" spans="1:4" x14ac:dyDescent="0.3">
      <c r="A4794" s="1">
        <v>44687</v>
      </c>
      <c r="B4794">
        <v>1.236415</v>
      </c>
      <c r="C4794">
        <f t="shared" si="76"/>
        <v>-2.0128957199714023E-2</v>
      </c>
      <c r="D4794">
        <f>(C4794-meanrtn)/stdevrtns</f>
        <v>-3.3281539951947998</v>
      </c>
    </row>
    <row r="4795" spans="1:4" x14ac:dyDescent="0.3">
      <c r="A4795" s="1">
        <v>44690</v>
      </c>
      <c r="B4795">
        <v>1.232666</v>
      </c>
      <c r="C4795">
        <f t="shared" si="76"/>
        <v>-3.0321534436253219E-3</v>
      </c>
      <c r="D4795">
        <f>(C4795-meanrtn)/stdevrtns</f>
        <v>-0.49452536781795292</v>
      </c>
    </row>
    <row r="4796" spans="1:4" x14ac:dyDescent="0.3">
      <c r="A4796" s="1">
        <v>44691</v>
      </c>
      <c r="B4796">
        <v>1.2338819999999999</v>
      </c>
      <c r="C4796">
        <f t="shared" si="76"/>
        <v>9.8647971145459008E-4</v>
      </c>
      <c r="D4796">
        <f>(C4796-meanrtn)/stdevrtns</f>
        <v>0.17152391914919751</v>
      </c>
    </row>
    <row r="4797" spans="1:4" x14ac:dyDescent="0.3">
      <c r="A4797" s="1">
        <v>44692</v>
      </c>
      <c r="B4797">
        <v>1.2309209999999999</v>
      </c>
      <c r="C4797">
        <f t="shared" si="76"/>
        <v>-2.3997432493544696E-3</v>
      </c>
      <c r="D4797">
        <f>(C4797-meanrtn)/stdevrtns</f>
        <v>-0.38970954046819767</v>
      </c>
    </row>
    <row r="4798" spans="1:4" x14ac:dyDescent="0.3">
      <c r="A4798" s="1">
        <v>44693</v>
      </c>
      <c r="B4798">
        <v>1.2234210000000001</v>
      </c>
      <c r="C4798">
        <f t="shared" si="76"/>
        <v>-6.0929986571029663E-3</v>
      </c>
      <c r="D4798">
        <f>(C4798-meanrtn)/stdevrtns</f>
        <v>-1.0018306363709022</v>
      </c>
    </row>
    <row r="4799" spans="1:4" x14ac:dyDescent="0.3">
      <c r="A4799" s="1">
        <v>44694</v>
      </c>
      <c r="B4799">
        <v>1.2206140000000001</v>
      </c>
      <c r="C4799">
        <f t="shared" si="76"/>
        <v>-2.2943859881430872E-3</v>
      </c>
      <c r="D4799">
        <f>(C4799-meanrtn)/stdevrtns</f>
        <v>-0.37224760104783833</v>
      </c>
    </row>
    <row r="4800" spans="1:4" x14ac:dyDescent="0.3">
      <c r="A4800" s="1">
        <v>44697</v>
      </c>
      <c r="B4800">
        <v>1.225851</v>
      </c>
      <c r="C4800">
        <f t="shared" si="76"/>
        <v>4.2904636518997291E-3</v>
      </c>
      <c r="D4800">
        <f>(C4800-meanrtn)/stdevrtns</f>
        <v>0.7191270624972349</v>
      </c>
    </row>
    <row r="4801" spans="1:4" x14ac:dyDescent="0.3">
      <c r="A4801" s="1">
        <v>44698</v>
      </c>
      <c r="B4801">
        <v>1.232483</v>
      </c>
      <c r="C4801">
        <f t="shared" si="76"/>
        <v>5.4101191743531401E-3</v>
      </c>
      <c r="D4801">
        <f>(C4801-meanrtn)/stdevrtns</f>
        <v>0.90469905516251148</v>
      </c>
    </row>
    <row r="4802" spans="1:4" x14ac:dyDescent="0.3">
      <c r="A4802" s="1">
        <v>44699</v>
      </c>
      <c r="B4802">
        <v>1.2484390000000001</v>
      </c>
      <c r="C4802">
        <f t="shared" si="76"/>
        <v>1.2946223193342286E-2</v>
      </c>
      <c r="D4802">
        <f>(C4802-meanrtn)/stdevrtns</f>
        <v>2.1537348627761039</v>
      </c>
    </row>
    <row r="4803" spans="1:4" x14ac:dyDescent="0.3">
      <c r="A4803" s="1">
        <v>44700</v>
      </c>
      <c r="B4803">
        <v>1.234583</v>
      </c>
      <c r="C4803">
        <f t="shared" si="76"/>
        <v>-1.1098660006616334E-2</v>
      </c>
      <c r="D4803">
        <f>(C4803-meanrtn)/stdevrtns</f>
        <v>-1.8314702287352629</v>
      </c>
    </row>
    <row r="4804" spans="1:4" x14ac:dyDescent="0.3">
      <c r="A4804" s="1">
        <v>44701</v>
      </c>
      <c r="B4804">
        <v>1.2462150000000001</v>
      </c>
      <c r="C4804">
        <f t="shared" ref="C4804:C4867" si="77">(B4804-B4803)/B4803</f>
        <v>9.4218047713277176E-3</v>
      </c>
      <c r="D4804">
        <f>(C4804-meanrtn)/stdevrtns</f>
        <v>1.5695968520723096</v>
      </c>
    </row>
    <row r="4805" spans="1:4" x14ac:dyDescent="0.3">
      <c r="A4805" s="1">
        <v>44704</v>
      </c>
      <c r="B4805">
        <v>1.2504059999999999</v>
      </c>
      <c r="C4805">
        <f t="shared" si="77"/>
        <v>3.3629831128656239E-3</v>
      </c>
      <c r="D4805">
        <f>(C4805-meanrtn)/stdevrtns</f>
        <v>0.56540620073639325</v>
      </c>
    </row>
    <row r="4806" spans="1:4" x14ac:dyDescent="0.3">
      <c r="A4806" s="1">
        <v>44705</v>
      </c>
      <c r="B4806">
        <v>1.2567550000000001</v>
      </c>
      <c r="C4806">
        <f t="shared" si="77"/>
        <v>5.0775508114965541E-3</v>
      </c>
      <c r="D4806">
        <f>(C4806-meanrtn)/stdevrtns</f>
        <v>0.84957908964178286</v>
      </c>
    </row>
    <row r="4807" spans="1:4" x14ac:dyDescent="0.3">
      <c r="A4807" s="1">
        <v>44706</v>
      </c>
      <c r="B4807">
        <v>1.2542960000000001</v>
      </c>
      <c r="C4807">
        <f t="shared" si="77"/>
        <v>-1.9566263909831182E-3</v>
      </c>
      <c r="D4807">
        <f>(C4807-meanrtn)/stdevrtns</f>
        <v>-0.31626723902590703</v>
      </c>
    </row>
    <row r="4808" spans="1:4" x14ac:dyDescent="0.3">
      <c r="A4808" s="1">
        <v>44707</v>
      </c>
      <c r="B4808">
        <v>1.25861</v>
      </c>
      <c r="C4808">
        <f t="shared" si="77"/>
        <v>3.4393795403955115E-3</v>
      </c>
      <c r="D4808">
        <f>(C4808-meanrtn)/stdevrtns</f>
        <v>0.57806816417508078</v>
      </c>
    </row>
    <row r="4809" spans="1:4" x14ac:dyDescent="0.3">
      <c r="A4809" s="1">
        <v>44708</v>
      </c>
      <c r="B4809">
        <v>1.2617339999999999</v>
      </c>
      <c r="C4809">
        <f t="shared" si="77"/>
        <v>2.4821032726578562E-3</v>
      </c>
      <c r="D4809">
        <f>(C4809-meanrtn)/stdevrtns</f>
        <v>0.41940895071807099</v>
      </c>
    </row>
    <row r="4810" spans="1:4" x14ac:dyDescent="0.3">
      <c r="A4810" s="1">
        <v>44711</v>
      </c>
      <c r="B4810">
        <v>1.262834</v>
      </c>
      <c r="C4810">
        <f t="shared" si="77"/>
        <v>8.7181608801863229E-4</v>
      </c>
      <c r="D4810">
        <f>(C4810-meanrtn)/stdevrtns</f>
        <v>0.15251954087345246</v>
      </c>
    </row>
    <row r="4811" spans="1:4" x14ac:dyDescent="0.3">
      <c r="A4811" s="1">
        <v>44712</v>
      </c>
      <c r="B4811">
        <v>1.264702</v>
      </c>
      <c r="C4811">
        <f t="shared" si="77"/>
        <v>1.4792126281047079E-3</v>
      </c>
      <c r="D4811">
        <f>(C4811-meanrtn)/stdevrtns</f>
        <v>0.25318959878089042</v>
      </c>
    </row>
    <row r="4812" spans="1:4" x14ac:dyDescent="0.3">
      <c r="A4812" s="1">
        <v>44713</v>
      </c>
      <c r="B4812">
        <v>1.260891</v>
      </c>
      <c r="C4812">
        <f t="shared" si="77"/>
        <v>-3.0133580875178569E-3</v>
      </c>
      <c r="D4812">
        <f>(C4812-meanrtn)/stdevrtns</f>
        <v>-0.49141022068942092</v>
      </c>
    </row>
    <row r="4813" spans="1:4" x14ac:dyDescent="0.3">
      <c r="A4813" s="1">
        <v>44714</v>
      </c>
      <c r="B4813">
        <v>1.2483150000000001</v>
      </c>
      <c r="C4813">
        <f t="shared" si="77"/>
        <v>-9.9738994092272212E-3</v>
      </c>
      <c r="D4813">
        <f>(C4813-meanrtn)/stdevrtns</f>
        <v>-1.6450521196444201</v>
      </c>
    </row>
    <row r="4814" spans="1:4" x14ac:dyDescent="0.3">
      <c r="A4814" s="1">
        <v>44715</v>
      </c>
      <c r="B4814">
        <v>1.257925</v>
      </c>
      <c r="C4814">
        <f t="shared" si="77"/>
        <v>7.6983774127523065E-3</v>
      </c>
      <c r="D4814">
        <f>(C4814-meanrtn)/stdevrtns</f>
        <v>1.2839555608616902</v>
      </c>
    </row>
    <row r="4815" spans="1:4" x14ac:dyDescent="0.3">
      <c r="A4815" s="1">
        <v>44718</v>
      </c>
      <c r="B4815">
        <v>1.2492300000000001</v>
      </c>
      <c r="C4815">
        <f t="shared" si="77"/>
        <v>-6.9121767990936644E-3</v>
      </c>
      <c r="D4815">
        <f>(C4815-meanrtn)/stdevrtns</f>
        <v>-1.1376014311453084</v>
      </c>
    </row>
    <row r="4816" spans="1:4" x14ac:dyDescent="0.3">
      <c r="A4816" s="1">
        <v>44719</v>
      </c>
      <c r="B4816">
        <v>1.252348</v>
      </c>
      <c r="C4816">
        <f t="shared" si="77"/>
        <v>2.4959374974984224E-3</v>
      </c>
      <c r="D4816">
        <f>(C4816-meanrtn)/stdevrtns</f>
        <v>0.42170183868152061</v>
      </c>
    </row>
    <row r="4817" spans="1:4" x14ac:dyDescent="0.3">
      <c r="A4817" s="1">
        <v>44720</v>
      </c>
      <c r="B4817">
        <v>1.258732</v>
      </c>
      <c r="C4817">
        <f t="shared" si="77"/>
        <v>5.0976246219101599E-3</v>
      </c>
      <c r="D4817">
        <f>(C4817-meanrtn)/stdevrtns</f>
        <v>0.85290612811400446</v>
      </c>
    </row>
    <row r="4818" spans="1:4" x14ac:dyDescent="0.3">
      <c r="A4818" s="1">
        <v>44721</v>
      </c>
      <c r="B4818">
        <v>1.2540290000000001</v>
      </c>
      <c r="C4818">
        <f t="shared" si="77"/>
        <v>-3.7362997047821951E-3</v>
      </c>
      <c r="D4818">
        <f>(C4818-meanrtn)/stdevrtns</f>
        <v>-0.61123074924130261</v>
      </c>
    </row>
    <row r="4819" spans="1:4" x14ac:dyDescent="0.3">
      <c r="A4819" s="1">
        <v>44722</v>
      </c>
      <c r="B4819">
        <v>1.2492970000000001</v>
      </c>
      <c r="C4819">
        <f t="shared" si="77"/>
        <v>-3.7734374563905288E-3</v>
      </c>
      <c r="D4819">
        <f>(C4819-meanrtn)/stdevrtns</f>
        <v>-0.61738596969157589</v>
      </c>
    </row>
    <row r="4820" spans="1:4" x14ac:dyDescent="0.3">
      <c r="A4820" s="1">
        <v>44725</v>
      </c>
      <c r="B4820">
        <v>1.2274910000000001</v>
      </c>
      <c r="C4820">
        <f t="shared" si="77"/>
        <v>-1.7454616476306268E-2</v>
      </c>
      <c r="D4820">
        <f>(C4820-meanrtn)/stdevrtns</f>
        <v>-2.884908079682134</v>
      </c>
    </row>
    <row r="4821" spans="1:4" x14ac:dyDescent="0.3">
      <c r="A4821" s="1">
        <v>44726</v>
      </c>
      <c r="B4821">
        <v>1.214477</v>
      </c>
      <c r="C4821">
        <f t="shared" si="77"/>
        <v>-1.060211439432149E-2</v>
      </c>
      <c r="D4821">
        <f>(C4821-meanrtn)/stdevrtns</f>
        <v>-1.7491726319522414</v>
      </c>
    </row>
    <row r="4822" spans="1:4" x14ac:dyDescent="0.3">
      <c r="A4822" s="1">
        <v>44727</v>
      </c>
      <c r="B4822">
        <v>1.2012590000000001</v>
      </c>
      <c r="C4822">
        <f t="shared" si="77"/>
        <v>-1.0883697262278291E-2</v>
      </c>
      <c r="D4822">
        <f>(C4822-meanrtn)/stdevrtns</f>
        <v>-1.7958422485077397</v>
      </c>
    </row>
    <row r="4823" spans="1:4" x14ac:dyDescent="0.3">
      <c r="A4823" s="1">
        <v>44728</v>
      </c>
      <c r="B4823">
        <v>1.2174339999999999</v>
      </c>
      <c r="C4823">
        <f t="shared" si="77"/>
        <v>1.3465039595957098E-2</v>
      </c>
      <c r="D4823">
        <f>(C4823-meanrtn)/stdevrtns</f>
        <v>2.2397236260429483</v>
      </c>
    </row>
    <row r="4824" spans="1:4" x14ac:dyDescent="0.3">
      <c r="A4824" s="1">
        <v>44729</v>
      </c>
      <c r="B4824">
        <v>1.2354830000000001</v>
      </c>
      <c r="C4824">
        <f t="shared" si="77"/>
        <v>1.4825444336202377E-2</v>
      </c>
      <c r="D4824">
        <f>(C4824-meanrtn)/stdevrtns</f>
        <v>2.4651974556413809</v>
      </c>
    </row>
    <row r="4825" spans="1:4" x14ac:dyDescent="0.3">
      <c r="A4825" s="1">
        <v>44732</v>
      </c>
      <c r="B4825">
        <v>1.222823</v>
      </c>
      <c r="C4825">
        <f t="shared" si="77"/>
        <v>-1.0247004612770968E-2</v>
      </c>
      <c r="D4825">
        <f>(C4825-meanrtn)/stdevrtns</f>
        <v>-1.69031664593177</v>
      </c>
    </row>
    <row r="4826" spans="1:4" x14ac:dyDescent="0.3">
      <c r="A4826" s="1">
        <v>44733</v>
      </c>
      <c r="B4826">
        <v>1.2251749999999999</v>
      </c>
      <c r="C4826">
        <f t="shared" si="77"/>
        <v>1.9234181888956208E-3</v>
      </c>
      <c r="D4826">
        <f>(C4826-meanrtn)/stdevrtns</f>
        <v>0.32681234204065618</v>
      </c>
    </row>
    <row r="4827" spans="1:4" x14ac:dyDescent="0.3">
      <c r="A4827" s="1">
        <v>44734</v>
      </c>
      <c r="B4827">
        <v>1.2266630000000001</v>
      </c>
      <c r="C4827">
        <f t="shared" si="77"/>
        <v>1.2145203746404848E-3</v>
      </c>
      <c r="D4827">
        <f>(C4827-meanrtn)/stdevrtns</f>
        <v>0.20931943699149755</v>
      </c>
    </row>
    <row r="4828" spans="1:4" x14ac:dyDescent="0.3">
      <c r="A4828" s="1">
        <v>44735</v>
      </c>
      <c r="B4828">
        <v>1.225085</v>
      </c>
      <c r="C4828">
        <f t="shared" si="77"/>
        <v>-1.2864168887461995E-3</v>
      </c>
      <c r="D4828">
        <f>(C4828-meanrtn)/stdevrtns</f>
        <v>-0.205186544705942</v>
      </c>
    </row>
    <row r="4829" spans="1:4" x14ac:dyDescent="0.3">
      <c r="A4829" s="1">
        <v>44736</v>
      </c>
      <c r="B4829">
        <v>1.2260759999999999</v>
      </c>
      <c r="C4829">
        <f t="shared" si="77"/>
        <v>8.0892346245359638E-4</v>
      </c>
      <c r="D4829">
        <f>(C4829-meanrtn)/stdevrtns</f>
        <v>0.14209570102628155</v>
      </c>
    </row>
    <row r="4830" spans="1:4" x14ac:dyDescent="0.3">
      <c r="A4830" s="1">
        <v>44739</v>
      </c>
      <c r="B4830">
        <v>1.228245</v>
      </c>
      <c r="C4830">
        <f t="shared" si="77"/>
        <v>1.7690583617981982E-3</v>
      </c>
      <c r="D4830">
        <f>(C4830-meanrtn)/stdevrtns</f>
        <v>0.30122870481697767</v>
      </c>
    </row>
    <row r="4831" spans="1:4" x14ac:dyDescent="0.3">
      <c r="A4831" s="1">
        <v>44740</v>
      </c>
      <c r="B4831">
        <v>1.2267380000000001</v>
      </c>
      <c r="C4831">
        <f t="shared" si="77"/>
        <v>-1.2269539057760666E-3</v>
      </c>
      <c r="D4831">
        <f>(C4831-meanrtn)/stdevrtns</f>
        <v>-0.19533113469964861</v>
      </c>
    </row>
    <row r="4832" spans="1:4" x14ac:dyDescent="0.3">
      <c r="A4832" s="1">
        <v>44741</v>
      </c>
      <c r="B4832">
        <v>1.218977</v>
      </c>
      <c r="C4832">
        <f t="shared" si="77"/>
        <v>-6.3265342721918845E-3</v>
      </c>
      <c r="D4832">
        <f>(C4832-meanrtn)/stdevrtns</f>
        <v>-1.040536888947051</v>
      </c>
    </row>
    <row r="4833" spans="1:4" x14ac:dyDescent="0.3">
      <c r="A4833" s="1">
        <v>44742</v>
      </c>
      <c r="B4833">
        <v>1.2131799999999999</v>
      </c>
      <c r="C4833">
        <f t="shared" si="77"/>
        <v>-4.7556270544891763E-3</v>
      </c>
      <c r="D4833">
        <f>(C4833-meanrtn)/stdevrtns</f>
        <v>-0.78017432489468908</v>
      </c>
    </row>
    <row r="4834" spans="1:4" x14ac:dyDescent="0.3">
      <c r="A4834" s="1">
        <v>44743</v>
      </c>
      <c r="B4834">
        <v>1.216086</v>
      </c>
      <c r="C4834">
        <f t="shared" si="77"/>
        <v>2.3953576550883424E-3</v>
      </c>
      <c r="D4834">
        <f>(C4834-meanrtn)/stdevrtns</f>
        <v>0.40503170987520765</v>
      </c>
    </row>
    <row r="4835" spans="1:4" x14ac:dyDescent="0.3">
      <c r="A4835" s="1">
        <v>44746</v>
      </c>
      <c r="B4835">
        <v>1.2102729999999999</v>
      </c>
      <c r="C4835">
        <f t="shared" si="77"/>
        <v>-4.7800895660340369E-3</v>
      </c>
      <c r="D4835">
        <f>(C4835-meanrtn)/stdevrtns</f>
        <v>-0.78422874781490104</v>
      </c>
    </row>
    <row r="4836" spans="1:4" x14ac:dyDescent="0.3">
      <c r="A4836" s="1">
        <v>44747</v>
      </c>
      <c r="B4836">
        <v>1.211446</v>
      </c>
      <c r="C4836">
        <f t="shared" si="77"/>
        <v>9.6920281622418303E-4</v>
      </c>
      <c r="D4836">
        <f>(C4836-meanrtn)/stdevrtns</f>
        <v>0.16866044211480521</v>
      </c>
    </row>
    <row r="4837" spans="1:4" x14ac:dyDescent="0.3">
      <c r="A4837" s="1">
        <v>44748</v>
      </c>
      <c r="B4837">
        <v>1.194914</v>
      </c>
      <c r="C4837">
        <f t="shared" si="77"/>
        <v>-1.3646501783818668E-2</v>
      </c>
      <c r="D4837">
        <f>(C4837-meanrtn)/stdevrtns</f>
        <v>-2.2537501765492571</v>
      </c>
    </row>
    <row r="4838" spans="1:4" x14ac:dyDescent="0.3">
      <c r="A4838" s="1">
        <v>44749</v>
      </c>
      <c r="B4838">
        <v>1.192321</v>
      </c>
      <c r="C4838">
        <f t="shared" si="77"/>
        <v>-2.1700306465570469E-3</v>
      </c>
      <c r="D4838">
        <f>(C4838-meanrtn)/stdevrtns</f>
        <v>-0.35163691492705168</v>
      </c>
    </row>
    <row r="4839" spans="1:4" x14ac:dyDescent="0.3">
      <c r="A4839" s="1">
        <v>44750</v>
      </c>
      <c r="B4839">
        <v>1.2028049999999999</v>
      </c>
      <c r="C4839">
        <f t="shared" si="77"/>
        <v>8.792934117573991E-3</v>
      </c>
      <c r="D4839">
        <f>(C4839-meanrtn)/stdevrtns</f>
        <v>1.4653676690731696</v>
      </c>
    </row>
    <row r="4840" spans="1:4" x14ac:dyDescent="0.3">
      <c r="A4840" s="1">
        <v>44753</v>
      </c>
      <c r="B4840">
        <v>1.2016629999999999</v>
      </c>
      <c r="C4840">
        <f t="shared" si="77"/>
        <v>-9.4944733352453348E-4</v>
      </c>
      <c r="D4840">
        <f>(C4840-meanrtn)/stdevrtns</f>
        <v>-0.14933712443693373</v>
      </c>
    </row>
    <row r="4841" spans="1:4" x14ac:dyDescent="0.3">
      <c r="A4841" s="1">
        <v>44754</v>
      </c>
      <c r="B4841">
        <v>1.190094</v>
      </c>
      <c r="C4841">
        <f t="shared" si="77"/>
        <v>-9.6274912350633596E-3</v>
      </c>
      <c r="D4841">
        <f>(C4841-meanrtn)/stdevrtns</f>
        <v>-1.5876383402578205</v>
      </c>
    </row>
    <row r="4842" spans="1:4" x14ac:dyDescent="0.3">
      <c r="A4842" s="1">
        <v>44755</v>
      </c>
      <c r="B4842">
        <v>1.187775</v>
      </c>
      <c r="C4842">
        <f t="shared" si="77"/>
        <v>-1.9485855739126154E-3</v>
      </c>
      <c r="D4842">
        <f>(C4842-meanrtn)/stdevrtns</f>
        <v>-0.31493455194804532</v>
      </c>
    </row>
    <row r="4843" spans="1:4" x14ac:dyDescent="0.3">
      <c r="A4843" s="1">
        <v>44756</v>
      </c>
      <c r="B4843">
        <v>1.18638</v>
      </c>
      <c r="C4843">
        <f t="shared" si="77"/>
        <v>-1.1744648607691147E-3</v>
      </c>
      <c r="D4843">
        <f>(C4843-meanrtn)/stdevrtns</f>
        <v>-0.18663158695509421</v>
      </c>
    </row>
    <row r="4844" spans="1:4" x14ac:dyDescent="0.3">
      <c r="A4844" s="1">
        <v>44757</v>
      </c>
      <c r="B4844">
        <v>1.183964</v>
      </c>
      <c r="C4844">
        <f t="shared" si="77"/>
        <v>-2.0364470068611859E-3</v>
      </c>
      <c r="D4844">
        <f>(C4844-meanrtn)/stdevrtns</f>
        <v>-0.32949672831722521</v>
      </c>
    </row>
    <row r="4845" spans="1:4" x14ac:dyDescent="0.3">
      <c r="A4845" s="1">
        <v>44760</v>
      </c>
      <c r="B4845">
        <v>1.1888339999999999</v>
      </c>
      <c r="C4845">
        <f t="shared" si="77"/>
        <v>4.1133007422522391E-3</v>
      </c>
      <c r="D4845">
        <f>(C4845-meanrtn)/stdevrtns</f>
        <v>0.6897640365393729</v>
      </c>
    </row>
    <row r="4846" spans="1:4" x14ac:dyDescent="0.3">
      <c r="A4846" s="1">
        <v>44761</v>
      </c>
      <c r="B4846">
        <v>1.1948289999999999</v>
      </c>
      <c r="C4846">
        <f t="shared" si="77"/>
        <v>5.0427561795843429E-3</v>
      </c>
      <c r="D4846">
        <f>(C4846-meanrtn)/stdevrtns</f>
        <v>0.84381221844924381</v>
      </c>
    </row>
    <row r="4847" spans="1:4" x14ac:dyDescent="0.3">
      <c r="A4847" s="1">
        <v>44762</v>
      </c>
      <c r="B4847">
        <v>1.2003509999999999</v>
      </c>
      <c r="C4847">
        <f t="shared" si="77"/>
        <v>4.6215818330489359E-3</v>
      </c>
      <c r="D4847">
        <f>(C4847-meanrtn)/stdevrtns</f>
        <v>0.77400667453087013</v>
      </c>
    </row>
    <row r="4848" spans="1:4" x14ac:dyDescent="0.3">
      <c r="A4848" s="1">
        <v>44763</v>
      </c>
      <c r="B4848">
        <v>1.1971750000000001</v>
      </c>
      <c r="C4848">
        <f t="shared" si="77"/>
        <v>-2.6458927430391991E-3</v>
      </c>
      <c r="D4848">
        <f>(C4848-meanrtn)/stdevrtns</f>
        <v>-0.43050642050906301</v>
      </c>
    </row>
    <row r="4849" spans="1:4" x14ac:dyDescent="0.3">
      <c r="A4849" s="1">
        <v>44764</v>
      </c>
      <c r="B4849">
        <v>1.199616</v>
      </c>
      <c r="C4849">
        <f t="shared" si="77"/>
        <v>2.0389667341866604E-3</v>
      </c>
      <c r="D4849">
        <f>(C4849-meanrtn)/stdevrtns</f>
        <v>0.34596338749099859</v>
      </c>
    </row>
    <row r="4850" spans="1:4" x14ac:dyDescent="0.3">
      <c r="A4850" s="1">
        <v>44767</v>
      </c>
      <c r="B4850">
        <v>1.198696</v>
      </c>
      <c r="C4850">
        <f t="shared" si="77"/>
        <v>-7.6691207853182342E-4</v>
      </c>
      <c r="D4850">
        <f>(C4850-meanrtn)/stdevrtns</f>
        <v>-0.11908368458747232</v>
      </c>
    </row>
    <row r="4851" spans="1:4" x14ac:dyDescent="0.3">
      <c r="A4851" s="1">
        <v>44768</v>
      </c>
      <c r="B4851">
        <v>1.205516</v>
      </c>
      <c r="C4851">
        <f t="shared" si="77"/>
        <v>5.6895159406555526E-3</v>
      </c>
      <c r="D4851">
        <f>(C4851-meanrtn)/stdevrtns</f>
        <v>0.9510063466706733</v>
      </c>
    </row>
    <row r="4852" spans="1:4" x14ac:dyDescent="0.3">
      <c r="A4852" s="1">
        <v>44769</v>
      </c>
      <c r="B4852">
        <v>1.2036880000000001</v>
      </c>
      <c r="C4852">
        <f t="shared" si="77"/>
        <v>-1.5163631175363419E-3</v>
      </c>
      <c r="D4852">
        <f>(C4852-meanrtn)/stdevrtns</f>
        <v>-0.24329789147887579</v>
      </c>
    </row>
    <row r="4853" spans="1:4" x14ac:dyDescent="0.3">
      <c r="A4853" s="1">
        <v>44770</v>
      </c>
      <c r="B4853">
        <v>1.2163079999999999</v>
      </c>
      <c r="C4853">
        <f t="shared" si="77"/>
        <v>1.0484444473983169E-2</v>
      </c>
      <c r="D4853">
        <f>(C4853-meanrtn)/stdevrtns</f>
        <v>1.7457190281813588</v>
      </c>
    </row>
    <row r="4854" spans="1:4" x14ac:dyDescent="0.3">
      <c r="A4854" s="1">
        <v>44771</v>
      </c>
      <c r="B4854">
        <v>1.2173449999999999</v>
      </c>
      <c r="C4854">
        <f t="shared" si="77"/>
        <v>8.5258010306596247E-4</v>
      </c>
      <c r="D4854">
        <f>(C4854-meanrtn)/stdevrtns</f>
        <v>0.14933136380741674</v>
      </c>
    </row>
    <row r="4855" spans="1:4" x14ac:dyDescent="0.3">
      <c r="A4855" s="1">
        <v>44774</v>
      </c>
      <c r="B4855">
        <v>1.216737</v>
      </c>
      <c r="C4855">
        <f t="shared" si="77"/>
        <v>-4.9944756827353129E-4</v>
      </c>
      <c r="D4855">
        <f>(C4855-meanrtn)/stdevrtns</f>
        <v>-7.4754048247971439E-2</v>
      </c>
    </row>
    <row r="4856" spans="1:4" x14ac:dyDescent="0.3">
      <c r="A4856" s="1">
        <v>44775</v>
      </c>
      <c r="B4856">
        <v>1.2254149999999999</v>
      </c>
      <c r="C4856">
        <f t="shared" si="77"/>
        <v>7.1321904404977937E-3</v>
      </c>
      <c r="D4856">
        <f>(C4856-meanrtn)/stdevrtns</f>
        <v>1.1901155872668101</v>
      </c>
    </row>
    <row r="4857" spans="1:4" x14ac:dyDescent="0.3">
      <c r="A4857" s="1">
        <v>44776</v>
      </c>
      <c r="B4857">
        <v>1.2142999999999999</v>
      </c>
      <c r="C4857">
        <f t="shared" si="77"/>
        <v>-9.0703965595328815E-3</v>
      </c>
      <c r="D4857">
        <f>(C4857-meanrtn)/stdevrtns</f>
        <v>-1.4953053262475151</v>
      </c>
    </row>
    <row r="4858" spans="1:4" x14ac:dyDescent="0.3">
      <c r="A4858" s="1">
        <v>44777</v>
      </c>
      <c r="B4858">
        <v>1.2138279999999999</v>
      </c>
      <c r="C4858">
        <f t="shared" si="77"/>
        <v>-3.8870130939638306E-4</v>
      </c>
      <c r="D4858">
        <f>(C4858-meanrtn)/stdevrtns</f>
        <v>-5.6398934976146245E-2</v>
      </c>
    </row>
    <row r="4859" spans="1:4" x14ac:dyDescent="0.3">
      <c r="A4859" s="1">
        <v>44778</v>
      </c>
      <c r="B4859">
        <v>1.2158500000000001</v>
      </c>
      <c r="C4859">
        <f t="shared" si="77"/>
        <v>1.6658043808514802E-3</v>
      </c>
      <c r="D4859">
        <f>(C4859-meanrtn)/stdevrtns</f>
        <v>0.28411536360563894</v>
      </c>
    </row>
    <row r="4860" spans="1:4" x14ac:dyDescent="0.3">
      <c r="A4860" s="1">
        <v>44781</v>
      </c>
      <c r="B4860">
        <v>1.2059530000000001</v>
      </c>
      <c r="C4860">
        <f t="shared" si="77"/>
        <v>-8.1399843730723728E-3</v>
      </c>
      <c r="D4860">
        <f>(C4860-meanrtn)/stdevrtns</f>
        <v>-1.3410985724923952</v>
      </c>
    </row>
    <row r="4861" spans="1:4" x14ac:dyDescent="0.3">
      <c r="A4861" s="1">
        <v>44782</v>
      </c>
      <c r="B4861">
        <v>1.208474</v>
      </c>
      <c r="C4861">
        <f t="shared" si="77"/>
        <v>2.0904628953201288E-3</v>
      </c>
      <c r="D4861">
        <f>(C4861-meanrtn)/stdevrtns</f>
        <v>0.35449837440841231</v>
      </c>
    </row>
    <row r="4862" spans="1:4" x14ac:dyDescent="0.3">
      <c r="A4862" s="1">
        <v>44783</v>
      </c>
      <c r="B4862">
        <v>1.2074229999999999</v>
      </c>
      <c r="C4862">
        <f t="shared" si="77"/>
        <v>-8.6969185932021299E-4</v>
      </c>
      <c r="D4862">
        <f>(C4862-meanrtn)/stdevrtns</f>
        <v>-0.1361184317432837</v>
      </c>
    </row>
    <row r="4863" spans="1:4" x14ac:dyDescent="0.3">
      <c r="A4863" s="1">
        <v>44784</v>
      </c>
      <c r="B4863">
        <v>1.2213000000000001</v>
      </c>
      <c r="C4863">
        <f t="shared" si="77"/>
        <v>1.1493072436089208E-2</v>
      </c>
      <c r="D4863">
        <f>(C4863-meanrtn)/stdevrtns</f>
        <v>1.912889284597187</v>
      </c>
    </row>
    <row r="4864" spans="1:4" x14ac:dyDescent="0.3">
      <c r="A4864" s="1">
        <v>44785</v>
      </c>
      <c r="B4864">
        <v>1.219616</v>
      </c>
      <c r="C4864">
        <f t="shared" si="77"/>
        <v>-1.3788585933022343E-3</v>
      </c>
      <c r="D4864">
        <f>(C4864-meanrtn)/stdevrtns</f>
        <v>-0.22050785646283724</v>
      </c>
    </row>
    <row r="4865" spans="1:4" x14ac:dyDescent="0.3">
      <c r="A4865" s="1">
        <v>44788</v>
      </c>
      <c r="B4865">
        <v>1.2127969999999999</v>
      </c>
      <c r="C4865">
        <f t="shared" si="77"/>
        <v>-5.5911040852203728E-3</v>
      </c>
      <c r="D4865">
        <f>(C4865-meanrtn)/stdevrtns</f>
        <v>-0.91864650165770589</v>
      </c>
    </row>
    <row r="4866" spans="1:4" x14ac:dyDescent="0.3">
      <c r="A4866" s="1">
        <v>44789</v>
      </c>
      <c r="B4866">
        <v>1.2056910000000001</v>
      </c>
      <c r="C4866">
        <f t="shared" si="77"/>
        <v>-5.8591833587977506E-3</v>
      </c>
      <c r="D4866">
        <f>(C4866-meanrtn)/stdevrtns</f>
        <v>-0.96307802902694972</v>
      </c>
    </row>
    <row r="4867" spans="1:4" x14ac:dyDescent="0.3">
      <c r="A4867" s="1">
        <v>44790</v>
      </c>
      <c r="B4867">
        <v>1.209819</v>
      </c>
      <c r="C4867">
        <f t="shared" si="77"/>
        <v>3.423762804897697E-3</v>
      </c>
      <c r="D4867">
        <f>(C4867-meanrtn)/stdevrtns</f>
        <v>0.57547984243938677</v>
      </c>
    </row>
    <row r="4868" spans="1:4" x14ac:dyDescent="0.3">
      <c r="A4868" s="1">
        <v>44791</v>
      </c>
      <c r="B4868">
        <v>1.204515</v>
      </c>
      <c r="C4868">
        <f t="shared" ref="C4868:C4931" si="78">(B4868-B4867)/B4867</f>
        <v>-4.3841268817897353E-3</v>
      </c>
      <c r="D4868">
        <f>(C4868-meanrtn)/stdevrtns</f>
        <v>-0.71860179125303203</v>
      </c>
    </row>
    <row r="4869" spans="1:4" x14ac:dyDescent="0.3">
      <c r="A4869" s="1">
        <v>44792</v>
      </c>
      <c r="B4869">
        <v>1.1932750000000001</v>
      </c>
      <c r="C4869">
        <f t="shared" si="78"/>
        <v>-9.3315566846406371E-3</v>
      </c>
      <c r="D4869">
        <f>(C4869-meanrtn)/stdevrtns</f>
        <v>-1.5385900721796961</v>
      </c>
    </row>
    <row r="4870" spans="1:4" x14ac:dyDescent="0.3">
      <c r="A4870" s="1">
        <v>44795</v>
      </c>
      <c r="B4870">
        <v>1.18181</v>
      </c>
      <c r="C4870">
        <f t="shared" si="78"/>
        <v>-9.6080115648111766E-3</v>
      </c>
      <c r="D4870">
        <f>(C4870-meanrtn)/stdevrtns</f>
        <v>-1.5844097747279162</v>
      </c>
    </row>
    <row r="4871" spans="1:4" x14ac:dyDescent="0.3">
      <c r="A4871" s="1">
        <v>44796</v>
      </c>
      <c r="B4871">
        <v>1.1766509999999999</v>
      </c>
      <c r="C4871">
        <f t="shared" si="78"/>
        <v>-4.3653379138779798E-3</v>
      </c>
      <c r="D4871">
        <f>(C4871-meanrtn)/stdevrtns</f>
        <v>-0.71548770290569086</v>
      </c>
    </row>
    <row r="4872" spans="1:4" x14ac:dyDescent="0.3">
      <c r="A4872" s="1">
        <v>44797</v>
      </c>
      <c r="B4872">
        <v>1.1832780000000001</v>
      </c>
      <c r="C4872">
        <f t="shared" si="78"/>
        <v>5.632086319563032E-3</v>
      </c>
      <c r="D4872">
        <f>(C4872-meanrtn)/stdevrtns</f>
        <v>0.94148794658204749</v>
      </c>
    </row>
    <row r="4873" spans="1:4" x14ac:dyDescent="0.3">
      <c r="A4873" s="1">
        <v>44798</v>
      </c>
      <c r="B4873">
        <v>1.179176</v>
      </c>
      <c r="C4873">
        <f t="shared" si="78"/>
        <v>-3.4666409753245221E-3</v>
      </c>
      <c r="D4873">
        <f>(C4873-meanrtn)/stdevrtns</f>
        <v>-0.56653744245048177</v>
      </c>
    </row>
    <row r="4874" spans="1:4" x14ac:dyDescent="0.3">
      <c r="A4874" s="1">
        <v>44799</v>
      </c>
      <c r="B4874">
        <v>1.182401</v>
      </c>
      <c r="C4874">
        <f t="shared" si="78"/>
        <v>2.7349606844101586E-3</v>
      </c>
      <c r="D4874">
        <f>(C4874-meanrtn)/stdevrtns</f>
        <v>0.46131760281513734</v>
      </c>
    </row>
    <row r="4875" spans="1:4" x14ac:dyDescent="0.3">
      <c r="A4875" s="1">
        <v>44802</v>
      </c>
      <c r="B4875">
        <v>1.169454</v>
      </c>
      <c r="C4875">
        <f t="shared" si="78"/>
        <v>-1.0949753932887439E-2</v>
      </c>
      <c r="D4875">
        <f>(C4875-meanrtn)/stdevrtns</f>
        <v>-1.8067904979897884</v>
      </c>
    </row>
    <row r="4876" spans="1:4" x14ac:dyDescent="0.3">
      <c r="A4876" s="1">
        <v>44803</v>
      </c>
      <c r="B4876">
        <v>1.1722509999999999</v>
      </c>
      <c r="C4876">
        <f t="shared" si="78"/>
        <v>2.3917144239961026E-3</v>
      </c>
      <c r="D4876">
        <f>(C4876-meanrtn)/stdevrtns</f>
        <v>0.40442787982215206</v>
      </c>
    </row>
    <row r="4877" spans="1:4" x14ac:dyDescent="0.3">
      <c r="A4877" s="1">
        <v>44804</v>
      </c>
      <c r="B4877">
        <v>1.165977</v>
      </c>
      <c r="C4877">
        <f t="shared" si="78"/>
        <v>-5.3520960954606912E-3</v>
      </c>
      <c r="D4877">
        <f>(C4877-meanrtn)/stdevrtns</f>
        <v>-0.87903325630395757</v>
      </c>
    </row>
    <row r="4878" spans="1:4" x14ac:dyDescent="0.3">
      <c r="A4878" s="1">
        <v>44805</v>
      </c>
      <c r="B4878">
        <v>1.159851</v>
      </c>
      <c r="C4878">
        <f t="shared" si="78"/>
        <v>-5.2539629855478075E-3</v>
      </c>
      <c r="D4878">
        <f>(C4878-meanrtn)/stdevrtns</f>
        <v>-0.86276864956752974</v>
      </c>
    </row>
    <row r="4879" spans="1:4" x14ac:dyDescent="0.3">
      <c r="A4879" s="1">
        <v>44806</v>
      </c>
      <c r="B4879">
        <v>1.1548940000000001</v>
      </c>
      <c r="C4879">
        <f t="shared" si="78"/>
        <v>-4.2738248274992894E-3</v>
      </c>
      <c r="D4879">
        <f>(C4879-meanrtn)/stdevrtns</f>
        <v>-0.70032030056302097</v>
      </c>
    </row>
    <row r="4880" spans="1:4" x14ac:dyDescent="0.3">
      <c r="A4880" s="1">
        <v>44809</v>
      </c>
      <c r="B4880">
        <v>1.1474599999999999</v>
      </c>
      <c r="C4880">
        <f t="shared" si="78"/>
        <v>-6.4369543871560181E-3</v>
      </c>
      <c r="D4880">
        <f>(C4880-meanrtn)/stdevrtns</f>
        <v>-1.0588379470433154</v>
      </c>
    </row>
    <row r="4881" spans="1:4" x14ac:dyDescent="0.3">
      <c r="A4881" s="1">
        <v>44810</v>
      </c>
      <c r="B4881">
        <v>1.156644</v>
      </c>
      <c r="C4881">
        <f t="shared" si="78"/>
        <v>8.0037648371185759E-3</v>
      </c>
      <c r="D4881">
        <f>(C4881-meanrtn)/stdevrtns</f>
        <v>1.3345705506849759</v>
      </c>
    </row>
    <row r="4882" spans="1:4" x14ac:dyDescent="0.3">
      <c r="A4882" s="1">
        <v>44811</v>
      </c>
      <c r="B4882">
        <v>1.1511849999999999</v>
      </c>
      <c r="C4882">
        <f t="shared" si="78"/>
        <v>-4.7196890313701556E-3</v>
      </c>
      <c r="D4882">
        <f>(C4882-meanrtn)/stdevrtns</f>
        <v>-0.77421794775108865</v>
      </c>
    </row>
    <row r="4883" spans="1:4" x14ac:dyDescent="0.3">
      <c r="A4883" s="1">
        <v>44812</v>
      </c>
      <c r="B4883">
        <v>1.1519809999999999</v>
      </c>
      <c r="C4883">
        <f t="shared" si="78"/>
        <v>6.9146140715872686E-4</v>
      </c>
      <c r="D4883">
        <f>(C4883-meanrtn)/stdevrtns</f>
        <v>0.12262750993848665</v>
      </c>
    </row>
    <row r="4884" spans="1:4" x14ac:dyDescent="0.3">
      <c r="A4884" s="1">
        <v>44813</v>
      </c>
      <c r="B4884">
        <v>1.1521600000000001</v>
      </c>
      <c r="C4884">
        <f t="shared" si="78"/>
        <v>1.5538450720988564E-4</v>
      </c>
      <c r="D4884">
        <f>(C4884-meanrtn)/stdevrtns</f>
        <v>3.3777987428789936E-2</v>
      </c>
    </row>
    <row r="4885" spans="1:4" x14ac:dyDescent="0.3">
      <c r="A4885" s="1">
        <v>44816</v>
      </c>
      <c r="B4885">
        <v>1.16194</v>
      </c>
      <c r="C4885">
        <f t="shared" si="78"/>
        <v>8.4884043882793182E-3</v>
      </c>
      <c r="D4885">
        <f>(C4885-meanrtn)/stdevrtns</f>
        <v>1.4148948338504226</v>
      </c>
    </row>
    <row r="4886" spans="1:4" x14ac:dyDescent="0.3">
      <c r="A4886" s="1">
        <v>44817</v>
      </c>
      <c r="B4886">
        <v>1.1689750000000001</v>
      </c>
      <c r="C4886">
        <f t="shared" si="78"/>
        <v>6.0545294937777551E-3</v>
      </c>
      <c r="D4886">
        <f>(C4886-meanrtn)/stdevrtns</f>
        <v>1.0115037863245187</v>
      </c>
    </row>
    <row r="4887" spans="1:4" x14ac:dyDescent="0.3">
      <c r="A4887" s="1">
        <v>44818</v>
      </c>
      <c r="B4887">
        <v>1.1506160000000001</v>
      </c>
      <c r="C4887">
        <f t="shared" si="78"/>
        <v>-1.5705211830877489E-2</v>
      </c>
      <c r="D4887">
        <f>(C4887-meanrtn)/stdevrtns</f>
        <v>-2.5949613063042367</v>
      </c>
    </row>
    <row r="4888" spans="1:4" x14ac:dyDescent="0.3">
      <c r="A4888" s="1">
        <v>44819</v>
      </c>
      <c r="B4888">
        <v>1.1544939999999999</v>
      </c>
      <c r="C4888">
        <f t="shared" si="78"/>
        <v>3.3703685677931002E-3</v>
      </c>
      <c r="D4888">
        <f>(C4888-meanrtn)/stdevrtns</f>
        <v>0.566630267925048</v>
      </c>
    </row>
    <row r="4889" spans="1:4" x14ac:dyDescent="0.3">
      <c r="A4889" s="1">
        <v>44820</v>
      </c>
      <c r="B4889">
        <v>1.145265</v>
      </c>
      <c r="C4889">
        <f t="shared" si="78"/>
        <v>-7.9939783143090672E-3</v>
      </c>
      <c r="D4889">
        <f>(C4889-meanrtn)/stdevrtns</f>
        <v>-1.3168994909690532</v>
      </c>
    </row>
    <row r="4890" spans="1:4" x14ac:dyDescent="0.3">
      <c r="A4890" s="1">
        <v>44823</v>
      </c>
      <c r="B4890">
        <v>1.1433139999999999</v>
      </c>
      <c r="C4890">
        <f t="shared" si="78"/>
        <v>-1.7035358628789286E-3</v>
      </c>
      <c r="D4890">
        <f>(C4890-meanrtn)/stdevrtns</f>
        <v>-0.27431995016505484</v>
      </c>
    </row>
    <row r="4891" spans="1:4" x14ac:dyDescent="0.3">
      <c r="A4891" s="1">
        <v>44824</v>
      </c>
      <c r="B4891">
        <v>1.1443220000000001</v>
      </c>
      <c r="C4891">
        <f t="shared" si="78"/>
        <v>8.8164756138744038E-4</v>
      </c>
      <c r="D4891">
        <f>(C4891-meanrtn)/stdevrtns</f>
        <v>0.15414901178419074</v>
      </c>
    </row>
    <row r="4892" spans="1:4" x14ac:dyDescent="0.3">
      <c r="A4892" s="1">
        <v>44825</v>
      </c>
      <c r="B4892">
        <v>1.138058</v>
      </c>
      <c r="C4892">
        <f t="shared" si="78"/>
        <v>-5.4739837213651811E-3</v>
      </c>
      <c r="D4892">
        <f>(C4892-meanrtn)/stdevrtns</f>
        <v>-0.89923494259651737</v>
      </c>
    </row>
    <row r="4893" spans="1:4" x14ac:dyDescent="0.3">
      <c r="A4893" s="1">
        <v>44826</v>
      </c>
      <c r="B4893">
        <v>1.125594</v>
      </c>
      <c r="C4893">
        <f t="shared" si="78"/>
        <v>-1.0951990144614801E-2</v>
      </c>
      <c r="D4893">
        <f>(C4893-meanrtn)/stdevrtns</f>
        <v>-1.8071611282934363</v>
      </c>
    </row>
    <row r="4894" spans="1:4" x14ac:dyDescent="0.3">
      <c r="A4894" s="1">
        <v>44827</v>
      </c>
      <c r="B4894">
        <v>1.1264179999999999</v>
      </c>
      <c r="C4894">
        <f t="shared" si="78"/>
        <v>7.3205791786375542E-4</v>
      </c>
      <c r="D4894">
        <f>(C4894-meanrtn)/stdevrtns</f>
        <v>0.12935598600609149</v>
      </c>
    </row>
    <row r="4895" spans="1:4" x14ac:dyDescent="0.3">
      <c r="A4895" s="1">
        <v>44830</v>
      </c>
      <c r="B4895">
        <v>1.079739</v>
      </c>
      <c r="C4895">
        <f t="shared" si="78"/>
        <v>-4.144021136025873E-2</v>
      </c>
      <c r="D4895">
        <f>(C4895-meanrtn)/stdevrtns</f>
        <v>-6.8602867105344911</v>
      </c>
    </row>
    <row r="4896" spans="1:4" x14ac:dyDescent="0.3">
      <c r="A4896" s="1">
        <v>44831</v>
      </c>
      <c r="B4896">
        <v>1.0772839999999999</v>
      </c>
      <c r="C4896">
        <f t="shared" si="78"/>
        <v>-2.2736976250742964E-3</v>
      </c>
      <c r="D4896">
        <f>(C4896-meanrtn)/stdevrtns</f>
        <v>-0.36881870646136256</v>
      </c>
    </row>
    <row r="4897" spans="1:4" x14ac:dyDescent="0.3">
      <c r="A4897" s="1">
        <v>44832</v>
      </c>
      <c r="B4897">
        <v>1.072754</v>
      </c>
      <c r="C4897">
        <f t="shared" si="78"/>
        <v>-4.20501928924956E-3</v>
      </c>
      <c r="D4897">
        <f>(C4897-meanrtn)/stdevrtns</f>
        <v>-0.68891645305514559</v>
      </c>
    </row>
    <row r="4898" spans="1:4" x14ac:dyDescent="0.3">
      <c r="A4898" s="1">
        <v>44833</v>
      </c>
      <c r="B4898">
        <v>1.0835999999999999</v>
      </c>
      <c r="C4898">
        <f t="shared" si="78"/>
        <v>1.0110426062265823E-2</v>
      </c>
      <c r="D4898">
        <f>(C4898-meanrtn)/stdevrtns</f>
        <v>1.6837291209607852</v>
      </c>
    </row>
    <row r="4899" spans="1:4" x14ac:dyDescent="0.3">
      <c r="A4899" s="1">
        <v>44834</v>
      </c>
      <c r="B4899">
        <v>1.1169439999999999</v>
      </c>
      <c r="C4899">
        <f t="shared" si="78"/>
        <v>3.0771502399409418E-2</v>
      </c>
      <c r="D4899">
        <f>(C4899-meanrtn)/stdevrtns</f>
        <v>5.1081011975542525</v>
      </c>
    </row>
    <row r="4900" spans="1:4" x14ac:dyDescent="0.3">
      <c r="A4900" s="1">
        <v>44837</v>
      </c>
      <c r="B4900">
        <v>1.1140570000000001</v>
      </c>
      <c r="C4900">
        <f t="shared" si="78"/>
        <v>-2.5847311951179845E-3</v>
      </c>
      <c r="D4900">
        <f>(C4900-meanrtn)/stdevrtns</f>
        <v>-0.42036948991333606</v>
      </c>
    </row>
    <row r="4901" spans="1:4" x14ac:dyDescent="0.3">
      <c r="A4901" s="1">
        <v>44838</v>
      </c>
      <c r="B4901">
        <v>1.1334139999999999</v>
      </c>
      <c r="C4901">
        <f t="shared" si="78"/>
        <v>1.7375233044628638E-2</v>
      </c>
      <c r="D4901">
        <f>(C4901-meanrtn)/stdevrtns</f>
        <v>2.8878000883343944</v>
      </c>
    </row>
    <row r="4902" spans="1:4" x14ac:dyDescent="0.3">
      <c r="A4902" s="1">
        <v>44839</v>
      </c>
      <c r="B4902">
        <v>1.1451340000000001</v>
      </c>
      <c r="C4902">
        <f t="shared" si="78"/>
        <v>1.0340440474531086E-2</v>
      </c>
      <c r="D4902">
        <f>(C4902-meanrtn)/stdevrtns</f>
        <v>1.7218517684803247</v>
      </c>
    </row>
    <row r="4903" spans="1:4" x14ac:dyDescent="0.3">
      <c r="A4903" s="1">
        <v>44840</v>
      </c>
      <c r="B4903">
        <v>1.1355379999999999</v>
      </c>
      <c r="C4903">
        <f t="shared" si="78"/>
        <v>-8.3798053328258178E-3</v>
      </c>
      <c r="D4903">
        <f>(C4903-meanrtn)/stdevrtns</f>
        <v>-1.3808465597008428</v>
      </c>
    </row>
    <row r="4904" spans="1:4" x14ac:dyDescent="0.3">
      <c r="A4904" s="1">
        <v>44841</v>
      </c>
      <c r="B4904">
        <v>1.1162080000000001</v>
      </c>
      <c r="C4904">
        <f t="shared" si="78"/>
        <v>-1.7022768062363258E-2</v>
      </c>
      <c r="D4904">
        <f>(C4904-meanrtn)/stdevrtns</f>
        <v>-2.8133334131015224</v>
      </c>
    </row>
    <row r="4905" spans="1:4" x14ac:dyDescent="0.3">
      <c r="A4905" s="1">
        <v>44844</v>
      </c>
      <c r="B4905">
        <v>1.107273</v>
      </c>
      <c r="C4905">
        <f t="shared" si="78"/>
        <v>-8.0047804710234437E-3</v>
      </c>
      <c r="D4905">
        <f>(C4905-meanrtn)/stdevrtns</f>
        <v>-1.3186898431857572</v>
      </c>
    </row>
    <row r="4906" spans="1:4" x14ac:dyDescent="0.3">
      <c r="A4906" s="1">
        <v>44845</v>
      </c>
      <c r="B4906">
        <v>1.1076410000000001</v>
      </c>
      <c r="C4906">
        <f t="shared" si="78"/>
        <v>3.3234802979946769E-4</v>
      </c>
      <c r="D4906">
        <f>(C4906-meanrtn)/stdevrtns</f>
        <v>6.3107966924677142E-2</v>
      </c>
    </row>
    <row r="4907" spans="1:4" x14ac:dyDescent="0.3">
      <c r="A4907" s="1">
        <v>44846</v>
      </c>
      <c r="B4907">
        <v>1.0967800000000001</v>
      </c>
      <c r="C4907">
        <f t="shared" si="78"/>
        <v>-9.8055236308515203E-3</v>
      </c>
      <c r="D4907">
        <f>(C4907-meanrtn)/stdevrtns</f>
        <v>-1.6171454750710255</v>
      </c>
    </row>
    <row r="4908" spans="1:4" x14ac:dyDescent="0.3">
      <c r="A4908" s="1">
        <v>44847</v>
      </c>
      <c r="B4908">
        <v>1.1105560000000001</v>
      </c>
      <c r="C4908">
        <f t="shared" si="78"/>
        <v>1.2560404091978346E-2</v>
      </c>
      <c r="D4908">
        <f>(C4908-meanrtn)/stdevrtns</f>
        <v>2.0897891062352465</v>
      </c>
    </row>
    <row r="4909" spans="1:4" x14ac:dyDescent="0.3">
      <c r="A4909" s="1">
        <v>44848</v>
      </c>
      <c r="B4909">
        <v>1.1303909999999999</v>
      </c>
      <c r="C4909">
        <f t="shared" si="78"/>
        <v>1.7860423067364295E-2</v>
      </c>
      <c r="D4909">
        <f>(C4909-meanrtn)/stdevrtns</f>
        <v>2.9682156067994616</v>
      </c>
    </row>
    <row r="4910" spans="1:4" x14ac:dyDescent="0.3">
      <c r="A4910" s="1">
        <v>44851</v>
      </c>
      <c r="B4910">
        <v>1.124417</v>
      </c>
      <c r="C4910">
        <f t="shared" si="78"/>
        <v>-5.2848969958181943E-3</v>
      </c>
      <c r="D4910">
        <f>(C4910-meanrtn)/stdevrtns</f>
        <v>-0.86789566034172316</v>
      </c>
    </row>
    <row r="4911" spans="1:4" x14ac:dyDescent="0.3">
      <c r="A4911" s="1">
        <v>44852</v>
      </c>
      <c r="B4911">
        <v>1.1353960000000001</v>
      </c>
      <c r="C4911">
        <f t="shared" si="78"/>
        <v>9.7641711215679522E-3</v>
      </c>
      <c r="D4911">
        <f>(C4911-meanrtn)/stdevrtns</f>
        <v>1.6263407385280315</v>
      </c>
    </row>
    <row r="4912" spans="1:4" x14ac:dyDescent="0.3">
      <c r="A4912" s="1">
        <v>44853</v>
      </c>
      <c r="B4912">
        <v>1.13443</v>
      </c>
      <c r="C4912">
        <f t="shared" si="78"/>
        <v>-8.5080447702829884E-4</v>
      </c>
      <c r="D4912">
        <f>(C4912-meanrtn)/stdevrtns</f>
        <v>-0.13298803217140359</v>
      </c>
    </row>
    <row r="4913" spans="1:4" x14ac:dyDescent="0.3">
      <c r="A4913" s="1">
        <v>44854</v>
      </c>
      <c r="B4913">
        <v>1.1211009999999999</v>
      </c>
      <c r="C4913">
        <f t="shared" si="78"/>
        <v>-1.1749512971272046E-2</v>
      </c>
      <c r="D4913">
        <f>(C4913-meanrtn)/stdevrtns</f>
        <v>-1.9393427655657047</v>
      </c>
    </row>
    <row r="4914" spans="1:4" x14ac:dyDescent="0.3">
      <c r="A4914" s="1">
        <v>44855</v>
      </c>
      <c r="B4914">
        <v>1.1221460000000001</v>
      </c>
      <c r="C4914">
        <f t="shared" si="78"/>
        <v>9.3211940761821167E-4</v>
      </c>
      <c r="D4914">
        <f>(C4914-meanrtn)/stdevrtns</f>
        <v>0.16251422848764283</v>
      </c>
    </row>
    <row r="4915" spans="1:4" x14ac:dyDescent="0.3">
      <c r="A4915" s="1">
        <v>44858</v>
      </c>
      <c r="B4915">
        <v>1.1344689999999999</v>
      </c>
      <c r="C4915">
        <f t="shared" si="78"/>
        <v>1.0981636970590156E-2</v>
      </c>
      <c r="D4915">
        <f>(C4915-meanrtn)/stdevrtns</f>
        <v>1.8281238397357282</v>
      </c>
    </row>
    <row r="4916" spans="1:4" x14ac:dyDescent="0.3">
      <c r="A4916" s="1">
        <v>44859</v>
      </c>
      <c r="B4916">
        <v>1.1307739999999999</v>
      </c>
      <c r="C4916">
        <f t="shared" si="78"/>
        <v>-3.2570303816146619E-3</v>
      </c>
      <c r="D4916">
        <f>(C4916-meanrtn)/stdevrtns</f>
        <v>-0.53179652903699126</v>
      </c>
    </row>
    <row r="4917" spans="1:4" x14ac:dyDescent="0.3">
      <c r="A4917" s="1">
        <v>44860</v>
      </c>
      <c r="B4917">
        <v>1.1462239999999999</v>
      </c>
      <c r="C4917">
        <f t="shared" si="78"/>
        <v>1.3663207678987989E-2</v>
      </c>
      <c r="D4917">
        <f>(C4917-meanrtn)/stdevrtns</f>
        <v>2.2725680548098599</v>
      </c>
    </row>
    <row r="4918" spans="1:4" x14ac:dyDescent="0.3">
      <c r="A4918" s="1">
        <v>44861</v>
      </c>
      <c r="B4918">
        <v>1.1638189999999999</v>
      </c>
      <c r="C4918">
        <f t="shared" si="78"/>
        <v>1.5350402713605743E-2</v>
      </c>
      <c r="D4918">
        <f>(C4918-meanrtn)/stdevrtns</f>
        <v>2.5522041913806102</v>
      </c>
    </row>
    <row r="4919" spans="1:4" x14ac:dyDescent="0.3">
      <c r="A4919" s="1">
        <v>44862</v>
      </c>
      <c r="B4919">
        <v>1.156604</v>
      </c>
      <c r="C4919">
        <f t="shared" si="78"/>
        <v>-6.199417607033372E-3</v>
      </c>
      <c r="D4919">
        <f>(C4919-meanrtn)/stdevrtns</f>
        <v>-1.0194685403511001</v>
      </c>
    </row>
    <row r="4920" spans="1:4" x14ac:dyDescent="0.3">
      <c r="A4920" s="1">
        <v>44865</v>
      </c>
      <c r="B4920">
        <v>1.1595949999999999</v>
      </c>
      <c r="C4920">
        <f t="shared" si="78"/>
        <v>2.5860190696210335E-3</v>
      </c>
      <c r="D4920">
        <f>(C4920-meanrtn)/stdevrtns</f>
        <v>0.43663198148525012</v>
      </c>
    </row>
    <row r="4921" spans="1:4" x14ac:dyDescent="0.3">
      <c r="A4921" s="1">
        <v>44866</v>
      </c>
      <c r="B4921">
        <v>1.1468149999999999</v>
      </c>
      <c r="C4921">
        <f t="shared" si="78"/>
        <v>-1.1021089259612205E-2</v>
      </c>
      <c r="D4921">
        <f>(C4921-meanrtn)/stdevrtns</f>
        <v>-1.8186136332865592</v>
      </c>
    </row>
    <row r="4922" spans="1:4" x14ac:dyDescent="0.3">
      <c r="A4922" s="1">
        <v>44867</v>
      </c>
      <c r="B4922">
        <v>1.1489499999999999</v>
      </c>
      <c r="C4922">
        <f t="shared" si="78"/>
        <v>1.8616777771480128E-3</v>
      </c>
      <c r="D4922">
        <f>(C4922-meanrtn)/stdevrtns</f>
        <v>0.31657947040628703</v>
      </c>
    </row>
    <row r="4923" spans="1:4" x14ac:dyDescent="0.3">
      <c r="A4923" s="1">
        <v>44868</v>
      </c>
      <c r="B4923">
        <v>1.138433</v>
      </c>
      <c r="C4923">
        <f t="shared" si="78"/>
        <v>-9.1535750032637527E-3</v>
      </c>
      <c r="D4923">
        <f>(C4923-meanrtn)/stdevrtns</f>
        <v>-1.5090913427859873</v>
      </c>
    </row>
    <row r="4924" spans="1:4" x14ac:dyDescent="0.3">
      <c r="A4924" s="1">
        <v>44869</v>
      </c>
      <c r="B4924">
        <v>1.117119</v>
      </c>
      <c r="C4924">
        <f t="shared" si="78"/>
        <v>-1.8722226077424017E-2</v>
      </c>
      <c r="D4924">
        <f>(C4924-meanrtn)/stdevrtns</f>
        <v>-3.0950020191873939</v>
      </c>
    </row>
    <row r="4925" spans="1:4" x14ac:dyDescent="0.3">
      <c r="A4925" s="1">
        <v>44872</v>
      </c>
      <c r="B4925">
        <v>1.133157</v>
      </c>
      <c r="C4925">
        <f t="shared" si="78"/>
        <v>1.4356572576422026E-2</v>
      </c>
      <c r="D4925">
        <f>(C4925-meanrtn)/stdevrtns</f>
        <v>2.3874865302522417</v>
      </c>
    </row>
    <row r="4926" spans="1:4" x14ac:dyDescent="0.3">
      <c r="A4926" s="1">
        <v>44873</v>
      </c>
      <c r="B4926">
        <v>1.1517949999999999</v>
      </c>
      <c r="C4926">
        <f t="shared" si="78"/>
        <v>1.6447853210102337E-2</v>
      </c>
      <c r="D4926">
        <f>(C4926-meanrtn)/stdevrtns</f>
        <v>2.7340959173644332</v>
      </c>
    </row>
    <row r="4927" spans="1:4" x14ac:dyDescent="0.3">
      <c r="A4927" s="1">
        <v>44874</v>
      </c>
      <c r="B4927">
        <v>1.155268</v>
      </c>
      <c r="C4927">
        <f t="shared" si="78"/>
        <v>3.0152935201143084E-3</v>
      </c>
      <c r="D4927">
        <f>(C4927-meanrtn)/stdevrtns</f>
        <v>0.50778003870536126</v>
      </c>
    </row>
    <row r="4928" spans="1:4" x14ac:dyDescent="0.3">
      <c r="A4928" s="1">
        <v>44875</v>
      </c>
      <c r="B4928">
        <v>1.136816</v>
      </c>
      <c r="C4928">
        <f t="shared" si="78"/>
        <v>-1.5972051506663313E-2</v>
      </c>
      <c r="D4928">
        <f>(C4928-meanrtn)/stdevrtns</f>
        <v>-2.6391873824184575</v>
      </c>
    </row>
    <row r="4929" spans="1:4" x14ac:dyDescent="0.3">
      <c r="A4929" s="1">
        <v>44876</v>
      </c>
      <c r="B4929">
        <v>1.1695629999999999</v>
      </c>
      <c r="C4929">
        <f t="shared" si="78"/>
        <v>2.8805892950134287E-2</v>
      </c>
      <c r="D4929">
        <f>(C4929-meanrtn)/stdevrtns</f>
        <v>4.7823205846882439</v>
      </c>
    </row>
    <row r="4930" spans="1:4" x14ac:dyDescent="0.3">
      <c r="A4930" s="1">
        <v>44879</v>
      </c>
      <c r="B4930">
        <v>1.179913</v>
      </c>
      <c r="C4930">
        <f t="shared" si="78"/>
        <v>8.8494591569672452E-3</v>
      </c>
      <c r="D4930">
        <f>(C4930-meanrtn)/stdevrtns</f>
        <v>1.4747361435595945</v>
      </c>
    </row>
    <row r="4931" spans="1:4" x14ac:dyDescent="0.3">
      <c r="A4931" s="1">
        <v>44880</v>
      </c>
      <c r="B4931">
        <v>1.1752499999999999</v>
      </c>
      <c r="C4931">
        <f t="shared" si="78"/>
        <v>-3.9519862905147106E-3</v>
      </c>
      <c r="D4931">
        <f>(C4931-meanrtn)/stdevrtns</f>
        <v>-0.64697869912668216</v>
      </c>
    </row>
    <row r="4932" spans="1:4" x14ac:dyDescent="0.3">
      <c r="A4932" s="1">
        <v>44881</v>
      </c>
      <c r="B4932">
        <v>1.1880440000000001</v>
      </c>
      <c r="C4932">
        <f t="shared" ref="C4932:C4978" si="79">(B4932-B4931)/B4931</f>
        <v>1.0886194426717885E-2</v>
      </c>
      <c r="D4932">
        <f>(C4932-meanrtn)/stdevrtns</f>
        <v>1.8123051681030364</v>
      </c>
    </row>
    <row r="4933" spans="1:4" x14ac:dyDescent="0.3">
      <c r="A4933" s="1">
        <v>44882</v>
      </c>
      <c r="B4933">
        <v>1.1915260000000001</v>
      </c>
      <c r="C4933">
        <f t="shared" si="79"/>
        <v>2.9308678803141842E-3</v>
      </c>
      <c r="D4933">
        <f>(C4933-meanrtn)/stdevrtns</f>
        <v>0.49378731157137623</v>
      </c>
    </row>
    <row r="4934" spans="1:4" x14ac:dyDescent="0.3">
      <c r="A4934" s="1">
        <v>44883</v>
      </c>
      <c r="B4934">
        <v>1.186015</v>
      </c>
      <c r="C4934">
        <f t="shared" si="79"/>
        <v>-4.6251613477171659E-3</v>
      </c>
      <c r="D4934">
        <f>(C4934-meanrtn)/stdevrtns</f>
        <v>-0.75855090528513403</v>
      </c>
    </row>
    <row r="4935" spans="1:4" x14ac:dyDescent="0.3">
      <c r="A4935" s="1">
        <v>44886</v>
      </c>
      <c r="B4935">
        <v>1.1886369999999999</v>
      </c>
      <c r="C4935">
        <f t="shared" si="79"/>
        <v>2.2107646193344115E-3</v>
      </c>
      <c r="D4935">
        <f>(C4935-meanrtn)/stdevrtns</f>
        <v>0.37443721291606369</v>
      </c>
    </row>
    <row r="4936" spans="1:4" x14ac:dyDescent="0.3">
      <c r="A4936" s="1">
        <v>44887</v>
      </c>
      <c r="B4936">
        <v>1.18276</v>
      </c>
      <c r="C4936">
        <f t="shared" si="79"/>
        <v>-4.9443185766553715E-3</v>
      </c>
      <c r="D4936">
        <f>(C4936-meanrtn)/stdevrtns</f>
        <v>-0.81144810604006989</v>
      </c>
    </row>
    <row r="4937" spans="1:4" x14ac:dyDescent="0.3">
      <c r="A4937" s="1">
        <v>44888</v>
      </c>
      <c r="B4937">
        <v>1.189457</v>
      </c>
      <c r="C4937">
        <f t="shared" si="79"/>
        <v>5.6621799857958953E-3</v>
      </c>
      <c r="D4937">
        <f>(C4937-meanrtn)/stdevrtns</f>
        <v>0.94647567852052739</v>
      </c>
    </row>
    <row r="4938" spans="1:4" x14ac:dyDescent="0.3">
      <c r="A4938" s="1">
        <v>44889</v>
      </c>
      <c r="B4938">
        <v>1.2073499999999999</v>
      </c>
      <c r="C4938">
        <f t="shared" si="79"/>
        <v>1.5042998611971628E-2</v>
      </c>
      <c r="D4938">
        <f>(C4938-meanrtn)/stdevrtns</f>
        <v>2.5012549569511471</v>
      </c>
    </row>
    <row r="4939" spans="1:4" x14ac:dyDescent="0.3">
      <c r="A4939" s="1">
        <v>44890</v>
      </c>
      <c r="B4939">
        <v>1.2113430000000001</v>
      </c>
      <c r="C4939">
        <f t="shared" si="79"/>
        <v>3.3072431357933784E-3</v>
      </c>
      <c r="D4939">
        <f>(C4939-meanrtn)/stdevrtns</f>
        <v>0.55616784267984753</v>
      </c>
    </row>
    <row r="4940" spans="1:4" x14ac:dyDescent="0.3">
      <c r="A4940" s="1">
        <v>44893</v>
      </c>
      <c r="B4940">
        <v>1.205473</v>
      </c>
      <c r="C4940">
        <f t="shared" si="79"/>
        <v>-4.8458611640138606E-3</v>
      </c>
      <c r="D4940">
        <f>(C4940-meanrtn)/stdevrtns</f>
        <v>-0.79512974928645253</v>
      </c>
    </row>
    <row r="4941" spans="1:4" x14ac:dyDescent="0.3">
      <c r="A4941" s="1">
        <v>44894</v>
      </c>
      <c r="B4941">
        <v>1.196029</v>
      </c>
      <c r="C4941">
        <f t="shared" si="79"/>
        <v>-7.834269203872677E-3</v>
      </c>
      <c r="D4941">
        <f>(C4941-meanrtn)/stdevrtns</f>
        <v>-1.29042926215659</v>
      </c>
    </row>
    <row r="4942" spans="1:4" x14ac:dyDescent="0.3">
      <c r="A4942" s="1">
        <v>44895</v>
      </c>
      <c r="B4942">
        <v>1.1946859999999999</v>
      </c>
      <c r="C4942">
        <f t="shared" si="79"/>
        <v>-1.1228824719133851E-3</v>
      </c>
      <c r="D4942">
        <f>(C4942-meanrtn)/stdevrtns</f>
        <v>-0.17808230863293847</v>
      </c>
    </row>
    <row r="4943" spans="1:4" x14ac:dyDescent="0.3">
      <c r="A4943" s="1">
        <v>44896</v>
      </c>
      <c r="B4943">
        <v>1.2077500000000001</v>
      </c>
      <c r="C4943">
        <f t="shared" si="79"/>
        <v>1.0935090894176535E-2</v>
      </c>
      <c r="D4943">
        <f>(C4943-meanrtn)/stdevrtns</f>
        <v>1.8204092811258632</v>
      </c>
    </row>
    <row r="4944" spans="1:4" x14ac:dyDescent="0.3">
      <c r="A4944" s="1">
        <v>44897</v>
      </c>
      <c r="B4944">
        <v>1.2259260000000001</v>
      </c>
      <c r="C4944">
        <f t="shared" si="79"/>
        <v>1.5049472158973272E-2</v>
      </c>
      <c r="D4944">
        <f>(C4944-meanrtn)/stdevrtns</f>
        <v>2.5023278842869363</v>
      </c>
    </row>
    <row r="4945" spans="1:4" x14ac:dyDescent="0.3">
      <c r="A4945" s="1">
        <v>44900</v>
      </c>
      <c r="B4945">
        <v>1.229725</v>
      </c>
      <c r="C4945">
        <f t="shared" si="79"/>
        <v>3.0988819879828682E-3</v>
      </c>
      <c r="D4945">
        <f>(C4945-meanrtn)/stdevrtns</f>
        <v>0.52163401274928556</v>
      </c>
    </row>
    <row r="4946" spans="1:4" x14ac:dyDescent="0.3">
      <c r="A4946" s="1">
        <v>44901</v>
      </c>
      <c r="B4946">
        <v>1.2192449999999999</v>
      </c>
      <c r="C4946">
        <f t="shared" si="79"/>
        <v>-8.5222305800077627E-3</v>
      </c>
      <c r="D4946">
        <f>(C4946-meanrtn)/stdevrtns</f>
        <v>-1.4044521565968271</v>
      </c>
    </row>
    <row r="4947" spans="1:4" x14ac:dyDescent="0.3">
      <c r="A4947" s="1">
        <v>44902</v>
      </c>
      <c r="B4947">
        <v>1.213301</v>
      </c>
      <c r="C4947">
        <f t="shared" si="79"/>
        <v>-4.8751481449585193E-3</v>
      </c>
      <c r="D4947">
        <f>(C4947-meanrtn)/stdevrtns</f>
        <v>-0.79998378099893974</v>
      </c>
    </row>
    <row r="4948" spans="1:4" x14ac:dyDescent="0.3">
      <c r="A4948" s="1">
        <v>44903</v>
      </c>
      <c r="B4948">
        <v>1.2212400000000001</v>
      </c>
      <c r="C4948">
        <f t="shared" si="79"/>
        <v>6.5433062364575164E-3</v>
      </c>
      <c r="D4948">
        <f>(C4948-meanrtn)/stdevrtns</f>
        <v>1.0925137686704955</v>
      </c>
    </row>
    <row r="4949" spans="1:4" x14ac:dyDescent="0.3">
      <c r="A4949" s="1">
        <v>44904</v>
      </c>
      <c r="B4949">
        <v>1.2236009999999999</v>
      </c>
      <c r="C4949">
        <f t="shared" si="79"/>
        <v>1.9332809275816672E-3</v>
      </c>
      <c r="D4949">
        <f>(C4949-meanrtn)/stdevrtns</f>
        <v>0.32844699487307022</v>
      </c>
    </row>
    <row r="4950" spans="1:4" x14ac:dyDescent="0.3">
      <c r="A4950" s="1">
        <v>44907</v>
      </c>
      <c r="B4950">
        <v>1.2239150000000001</v>
      </c>
      <c r="C4950">
        <f t="shared" si="79"/>
        <v>2.5661960067060053E-4</v>
      </c>
      <c r="D4950">
        <f>(C4950-meanrtn)/stdevrtns</f>
        <v>5.0556717711828458E-2</v>
      </c>
    </row>
    <row r="4951" spans="1:4" x14ac:dyDescent="0.3">
      <c r="A4951" s="1">
        <v>44908</v>
      </c>
      <c r="B4951">
        <v>1.2270840000000001</v>
      </c>
      <c r="C4951">
        <f t="shared" si="79"/>
        <v>2.5892320953660813E-3</v>
      </c>
      <c r="D4951">
        <f>(C4951-meanrtn)/stdevrtns</f>
        <v>0.43716450919402866</v>
      </c>
    </row>
    <row r="4952" spans="1:4" x14ac:dyDescent="0.3">
      <c r="A4952" s="1">
        <v>44909</v>
      </c>
      <c r="B4952">
        <v>1.2356659999999999</v>
      </c>
      <c r="C4952">
        <f t="shared" si="79"/>
        <v>6.9938162342593228E-3</v>
      </c>
      <c r="D4952">
        <f>(C4952-meanrtn)/stdevrtns</f>
        <v>1.1671814109329302</v>
      </c>
    </row>
    <row r="4953" spans="1:4" x14ac:dyDescent="0.3">
      <c r="A4953" s="1">
        <v>44910</v>
      </c>
      <c r="B4953">
        <v>1.241943</v>
      </c>
      <c r="C4953">
        <f t="shared" si="79"/>
        <v>5.0798516751291113E-3</v>
      </c>
      <c r="D4953">
        <f>(C4953-meanrtn)/stdevrtns</f>
        <v>0.84996043536873389</v>
      </c>
    </row>
    <row r="4954" spans="1:4" x14ac:dyDescent="0.3">
      <c r="A4954" s="1">
        <v>44911</v>
      </c>
      <c r="B4954">
        <v>1.2189179999999999</v>
      </c>
      <c r="C4954">
        <f t="shared" si="79"/>
        <v>-1.8539498189530497E-2</v>
      </c>
      <c r="D4954">
        <f>(C4954-meanrtn)/stdevrtns</f>
        <v>-3.0647166523116827</v>
      </c>
    </row>
    <row r="4955" spans="1:4" x14ac:dyDescent="0.3">
      <c r="A4955" s="1">
        <v>44914</v>
      </c>
      <c r="B4955">
        <v>1.216027</v>
      </c>
      <c r="C4955">
        <f t="shared" si="79"/>
        <v>-2.3717756239549971E-3</v>
      </c>
      <c r="D4955">
        <f>(C4955-meanrtn)/stdevrtns</f>
        <v>-0.38507417908122066</v>
      </c>
    </row>
    <row r="4956" spans="1:4" x14ac:dyDescent="0.3">
      <c r="A4956" s="1">
        <v>44915</v>
      </c>
      <c r="B4956">
        <v>1.215333</v>
      </c>
      <c r="C4956">
        <f t="shared" si="79"/>
        <v>-5.7071101217322673E-4</v>
      </c>
      <c r="D4956">
        <f>(C4956-meanrtn)/stdevrtns</f>
        <v>-8.6565269666929692E-2</v>
      </c>
    </row>
    <row r="4957" spans="1:4" x14ac:dyDescent="0.3">
      <c r="A4957" s="1">
        <v>44916</v>
      </c>
      <c r="B4957">
        <v>1.2189179999999999</v>
      </c>
      <c r="C4957">
        <f t="shared" si="79"/>
        <v>2.9498088178301334E-3</v>
      </c>
      <c r="D4957">
        <f>(C4957-meanrtn)/stdevrtns</f>
        <v>0.49692658739978574</v>
      </c>
    </row>
    <row r="4958" spans="1:4" x14ac:dyDescent="0.3">
      <c r="A4958" s="1">
        <v>44917</v>
      </c>
      <c r="B4958">
        <v>1.20774</v>
      </c>
      <c r="C4958">
        <f t="shared" si="79"/>
        <v>-9.1704281994358199E-3</v>
      </c>
      <c r="D4958">
        <f>(C4958-meanrtn)/stdevrtns</f>
        <v>-1.5118845958300811</v>
      </c>
    </row>
    <row r="4959" spans="1:4" x14ac:dyDescent="0.3">
      <c r="A4959" s="1">
        <v>44918</v>
      </c>
      <c r="B4959">
        <v>1.203992</v>
      </c>
      <c r="C4959">
        <f t="shared" si="79"/>
        <v>-3.103316939076361E-3</v>
      </c>
      <c r="D4959">
        <f>(C4959-meanrtn)/stdevrtns</f>
        <v>-0.50632002375546714</v>
      </c>
    </row>
    <row r="4960" spans="1:4" x14ac:dyDescent="0.3">
      <c r="A4960" s="1">
        <v>44921</v>
      </c>
      <c r="B4960">
        <v>1.2060010000000001</v>
      </c>
      <c r="C4960">
        <f t="shared" si="79"/>
        <v>1.6686157383106778E-3</v>
      </c>
      <c r="D4960">
        <f>(C4960-meanrtn)/stdevrtns</f>
        <v>0.2845813187099861</v>
      </c>
    </row>
    <row r="4961" spans="1:4" x14ac:dyDescent="0.3">
      <c r="A4961" s="1">
        <v>44922</v>
      </c>
      <c r="B4961">
        <v>1.208415</v>
      </c>
      <c r="C4961">
        <f t="shared" si="79"/>
        <v>2.0016567150441134E-3</v>
      </c>
      <c r="D4961">
        <f>(C4961-meanrtn)/stdevrtns</f>
        <v>0.33977961537554408</v>
      </c>
    </row>
    <row r="4962" spans="1:4" x14ac:dyDescent="0.3">
      <c r="A4962" s="1">
        <v>44923</v>
      </c>
      <c r="B4962">
        <v>1.2027330000000001</v>
      </c>
      <c r="C4962">
        <f t="shared" si="79"/>
        <v>-4.7020270354141292E-3</v>
      </c>
      <c r="D4962">
        <f>(C4962-meanrtn)/stdevrtns</f>
        <v>-0.7712906440239351</v>
      </c>
    </row>
    <row r="4963" spans="1:4" x14ac:dyDescent="0.3">
      <c r="A4963" s="1">
        <v>44924</v>
      </c>
      <c r="B4963">
        <v>1.2028479999999999</v>
      </c>
      <c r="C4963">
        <f t="shared" si="79"/>
        <v>9.5615568875107948E-5</v>
      </c>
      <c r="D4963">
        <f>(C4963-meanrtn)/stdevrtns</f>
        <v>2.3871868302106261E-2</v>
      </c>
    </row>
    <row r="4964" spans="1:4" x14ac:dyDescent="0.3">
      <c r="A4964" s="1">
        <v>44925</v>
      </c>
      <c r="B4964">
        <v>1.205633</v>
      </c>
      <c r="C4964">
        <f t="shared" si="79"/>
        <v>2.3153382638538183E-3</v>
      </c>
      <c r="D4964">
        <f>(C4964-meanrtn)/stdevrtns</f>
        <v>0.39176927550546969</v>
      </c>
    </row>
    <row r="4965" spans="1:4" x14ac:dyDescent="0.3">
      <c r="A4965" s="1">
        <v>44928</v>
      </c>
      <c r="B4965">
        <v>1.2120329999999999</v>
      </c>
      <c r="C4965">
        <f t="shared" si="79"/>
        <v>5.3084147497621265E-3</v>
      </c>
      <c r="D4965">
        <f>(C4965-meanrtn)/stdevrtns</f>
        <v>0.88784253781789668</v>
      </c>
    </row>
    <row r="4966" spans="1:4" x14ac:dyDescent="0.3">
      <c r="A4966" s="1">
        <v>44929</v>
      </c>
      <c r="B4966">
        <v>1.2062870000000001</v>
      </c>
      <c r="C4966">
        <f t="shared" si="79"/>
        <v>-4.7407950113567921E-3</v>
      </c>
      <c r="D4966">
        <f>(C4966-meanrtn)/stdevrtns</f>
        <v>-0.77771605827234191</v>
      </c>
    </row>
    <row r="4967" spans="1:4" x14ac:dyDescent="0.3">
      <c r="A4967" s="1">
        <v>44930</v>
      </c>
      <c r="B4967">
        <v>1.196974</v>
      </c>
      <c r="C4967">
        <f t="shared" si="79"/>
        <v>-7.7203849498503471E-3</v>
      </c>
      <c r="D4967">
        <f>(C4967-meanrtn)/stdevrtns</f>
        <v>-1.2715540567667987</v>
      </c>
    </row>
    <row r="4968" spans="1:4" x14ac:dyDescent="0.3">
      <c r="A4968" s="1">
        <v>44931</v>
      </c>
      <c r="B4968">
        <v>1.205705</v>
      </c>
      <c r="C4968">
        <f t="shared" si="79"/>
        <v>7.2942269422728015E-3</v>
      </c>
      <c r="D4968">
        <f>(C4968-meanrtn)/stdevrtns</f>
        <v>1.2169715585150116</v>
      </c>
    </row>
    <row r="4969" spans="1:4" x14ac:dyDescent="0.3">
      <c r="A4969" s="1">
        <v>44932</v>
      </c>
      <c r="B4969">
        <v>1.191228</v>
      </c>
      <c r="C4969">
        <f t="shared" si="79"/>
        <v>-1.2007082992937802E-2</v>
      </c>
      <c r="D4969">
        <f>(C4969-meanrtn)/stdevrtns</f>
        <v>-1.9820324868351693</v>
      </c>
    </row>
    <row r="4970" spans="1:4" x14ac:dyDescent="0.3">
      <c r="A4970" s="1">
        <v>44935</v>
      </c>
      <c r="B4970">
        <v>1.2116370000000001</v>
      </c>
      <c r="C4970">
        <f t="shared" si="79"/>
        <v>1.7132740331825748E-2</v>
      </c>
      <c r="D4970">
        <f>(C4970-meanrtn)/stdevrtns</f>
        <v>2.8476092840921785</v>
      </c>
    </row>
    <row r="4971" spans="1:4" x14ac:dyDescent="0.3">
      <c r="A4971" s="1">
        <v>44936</v>
      </c>
      <c r="B4971">
        <v>1.2184870000000001</v>
      </c>
      <c r="C4971">
        <f t="shared" si="79"/>
        <v>5.6535084352822024E-3</v>
      </c>
      <c r="D4971">
        <f>(C4971-meanrtn)/stdevrtns</f>
        <v>0.94503845352046889</v>
      </c>
    </row>
    <row r="4972" spans="1:4" x14ac:dyDescent="0.3">
      <c r="A4972" s="1">
        <v>44937</v>
      </c>
      <c r="B4972">
        <v>1.2154510000000001</v>
      </c>
      <c r="C4972">
        <f t="shared" si="79"/>
        <v>-2.4916146007302816E-3</v>
      </c>
      <c r="D4972">
        <f>(C4972-meanrtn)/stdevrtns</f>
        <v>-0.40493632174312383</v>
      </c>
    </row>
    <row r="4973" spans="1:4" x14ac:dyDescent="0.3">
      <c r="A4973" s="1">
        <v>44938</v>
      </c>
      <c r="B4973">
        <v>1.2159530000000001</v>
      </c>
      <c r="C4973">
        <f t="shared" si="79"/>
        <v>4.1301541567698115E-4</v>
      </c>
      <c r="D4973">
        <f>(C4973-meanrtn)/stdevrtns</f>
        <v>7.6477800092281459E-2</v>
      </c>
    </row>
    <row r="4974" spans="1:4" x14ac:dyDescent="0.3">
      <c r="A4974" s="1">
        <v>44939</v>
      </c>
      <c r="B4974">
        <v>1.2217769999999999</v>
      </c>
      <c r="C4974">
        <f t="shared" si="79"/>
        <v>4.7896588108256068E-3</v>
      </c>
      <c r="D4974">
        <f>(C4974-meanrtn)/stdevrtns</f>
        <v>0.80186379581655742</v>
      </c>
    </row>
    <row r="4975" spans="1:4" x14ac:dyDescent="0.3">
      <c r="A4975" s="1">
        <v>44942</v>
      </c>
      <c r="B4975">
        <v>1.2226729999999999</v>
      </c>
      <c r="C4975">
        <f t="shared" si="79"/>
        <v>7.3335805142837689E-4</v>
      </c>
      <c r="D4975">
        <f>(C4975-meanrtn)/stdevrtns</f>
        <v>0.1295714704756265</v>
      </c>
    </row>
    <row r="4976" spans="1:4" x14ac:dyDescent="0.3">
      <c r="A4976" s="1">
        <v>44943</v>
      </c>
      <c r="B4976">
        <v>1.2207779999999999</v>
      </c>
      <c r="C4976">
        <f t="shared" si="79"/>
        <v>-1.5498829204537764E-3</v>
      </c>
      <c r="D4976">
        <f>(C4976-meanrtn)/stdevrtns</f>
        <v>-0.24885347218775805</v>
      </c>
    </row>
    <row r="4977" spans="1:4" x14ac:dyDescent="0.3">
      <c r="A4977" s="1">
        <v>44944</v>
      </c>
      <c r="B4977">
        <v>1.2284710000000001</v>
      </c>
      <c r="C4977">
        <f t="shared" si="79"/>
        <v>6.3017190676766558E-3</v>
      </c>
      <c r="D4977">
        <f>(C4977-meanrtn)/stdevrtns</f>
        <v>1.0524730495261017</v>
      </c>
    </row>
    <row r="4978" spans="1:4" x14ac:dyDescent="0.3">
      <c r="A4978" s="1">
        <v>44945</v>
      </c>
      <c r="B4978">
        <v>1.233411</v>
      </c>
      <c r="C4978">
        <f t="shared" si="79"/>
        <v>4.0212589470976067E-3</v>
      </c>
      <c r="D4978">
        <f>(C4978-meanrtn)/stdevrtns</f>
        <v>0.67450900586895068</v>
      </c>
    </row>
    <row r="4979" spans="1:4" x14ac:dyDescent="0.3">
      <c r="A4979" s="1"/>
    </row>
    <row r="4980" spans="1:4" x14ac:dyDescent="0.3">
      <c r="A4980" s="1"/>
    </row>
    <row r="4981" spans="1:4" x14ac:dyDescent="0.3">
      <c r="A4981" s="1"/>
    </row>
    <row r="4982" spans="1:4" x14ac:dyDescent="0.3">
      <c r="A4982" s="1"/>
    </row>
    <row r="4983" spans="1:4" x14ac:dyDescent="0.3">
      <c r="A4983" s="1"/>
    </row>
    <row r="4984" spans="1:4" x14ac:dyDescent="0.3">
      <c r="A4984" s="1"/>
    </row>
    <row r="4985" spans="1:4" x14ac:dyDescent="0.3">
      <c r="A4985" s="1"/>
    </row>
    <row r="4986" spans="1:4" x14ac:dyDescent="0.3">
      <c r="A4986" s="1"/>
    </row>
  </sheetData>
  <sortState xmlns:xlrd2="http://schemas.microsoft.com/office/spreadsheetml/2017/richdata2" ref="A2:C4996">
    <sortCondition ref="A1:A4996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GBPUSD=X</vt:lpstr>
      <vt:lpstr>bucketwidth</vt:lpstr>
      <vt:lpstr>meanrtn</vt:lpstr>
      <vt:lpstr>numdata</vt:lpstr>
      <vt:lpstr>stdevrtns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Wilmott</cp:lastModifiedBy>
  <dcterms:created xsi:type="dcterms:W3CDTF">2023-01-19T09:50:58Z</dcterms:created>
  <dcterms:modified xsi:type="dcterms:W3CDTF">2023-01-26T19:20:36Z</dcterms:modified>
</cp:coreProperties>
</file>