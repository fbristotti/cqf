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2" codeName="{D272C609-87CA-5A14-B04D-65DF03BDDAF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iamond/OneDrive/CQF_CORE_OneDrive/DEV_Tutorial/TUTORIAL 3 Implied Volatility/"/>
    </mc:Choice>
  </mc:AlternateContent>
  <xr:revisionPtr revIDLastSave="0" documentId="13_ncr:1_{4D68E72B-10F4-6241-99BC-102C5D102117}" xr6:coauthVersionLast="47" xr6:coauthVersionMax="47" xr10:uidLastSave="{00000000-0000-0000-0000-000000000000}"/>
  <bookViews>
    <workbookView xWindow="3120" yWindow="1140" windowWidth="44780" windowHeight="21900" activeTab="2" xr2:uid="{00000000-000D-0000-FFFF-FFFF00000000}"/>
  </bookViews>
  <sheets>
    <sheet name="Greeks" sheetId="10" r:id="rId1"/>
    <sheet name="Delta Hedge" sheetId="7" r:id="rId2"/>
    <sheet name="P&amp;L Study" sheetId="9" r:id="rId3"/>
    <sheet name="Uncertain Vol." sheetId="1" state="hidden" r:id="rId4"/>
    <sheet name="UVM Binary" sheetId="6" state="hidden" r:id="rId5"/>
  </sheets>
  <functionGroups builtInGroupCount="19"/>
  <definedNames>
    <definedName name="BS_IVHigh">Greeks!$D$12</definedName>
    <definedName name="BS_IVLow">Greeks!$C$12</definedName>
    <definedName name="BS_K">Greeks!$C$2</definedName>
    <definedName name="BS_r">Greeks!$C$3</definedName>
    <definedName name="BS_T">Greeks!$C$4</definedName>
    <definedName name="Delta_0">'P&amp;L Study'!$D$11</definedName>
    <definedName name="DH_dt">'Delta Hedge'!$D$5</definedName>
    <definedName name="DH_PriceT">'Delta Hedge'!$B$112</definedName>
    <definedName name="DH_Rate">'Delta Hedge'!$B$3</definedName>
    <definedName name="DH_Strike">'Delta Hedge'!$B$2</definedName>
    <definedName name="DH_Term">'Delta Hedge'!$B$5</definedName>
    <definedName name="dt">'P&amp;L Study'!$B$6</definedName>
    <definedName name="PL_K">'P&amp;L Study'!$B$3</definedName>
    <definedName name="PL_r">'P&amp;L Study'!$B$2</definedName>
    <definedName name="PL_T">'P&amp;L Study'!$B$4</definedName>
    <definedName name="PL_Vol_a">'P&amp;L Study'!$E$1</definedName>
    <definedName name="PL_Vol_i">'P&amp;L Study'!$E$2</definedName>
    <definedName name="PL_Vol_sim">'P&amp;L Study'!$E$6</definedName>
    <definedName name="S_0">'P&amp;L Study'!$B$11</definedName>
    <definedName name="V_0">'P&amp;L Study'!$C$11</definedName>
    <definedName name="Vol_a">'P&amp;L Study'!$E$1</definedName>
    <definedName name="Vol_i">'P&amp;L Study'!$E$2</definedName>
    <definedName name="Vol_sim">'P&amp;L Study'!$E$6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2" i="9" l="1"/>
  <c r="B13" i="7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I112" i="7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207" i="9"/>
  <c r="Q208" i="9"/>
  <c r="Q209" i="9"/>
  <c r="Q210" i="9"/>
  <c r="Q211" i="9"/>
  <c r="Q1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" i="9"/>
  <c r="F12" i="10"/>
  <c r="E12" i="10"/>
  <c r="H2" i="9"/>
  <c r="E16" i="10"/>
  <c r="D15" i="10"/>
  <c r="C14" i="10"/>
  <c r="C18" i="10"/>
  <c r="C22" i="10"/>
  <c r="I12" i="7"/>
  <c r="F16" i="10"/>
  <c r="F20" i="10"/>
  <c r="F24" i="10"/>
  <c r="F28" i="10"/>
  <c r="F32" i="10"/>
  <c r="F36" i="10"/>
  <c r="F40" i="10"/>
  <c r="F44" i="10"/>
  <c r="F48" i="10"/>
  <c r="F52" i="10"/>
  <c r="F56" i="10"/>
  <c r="F60" i="10"/>
  <c r="F64" i="10"/>
  <c r="F68" i="10"/>
  <c r="F72" i="10"/>
  <c r="F76" i="10"/>
  <c r="F80" i="10"/>
  <c r="F84" i="10"/>
  <c r="F88" i="10"/>
  <c r="F92" i="10"/>
  <c r="F96" i="10"/>
  <c r="F100" i="10"/>
  <c r="F104" i="10"/>
  <c r="F108" i="10"/>
  <c r="F112" i="10"/>
  <c r="E20" i="10"/>
  <c r="E24" i="10"/>
  <c r="E28" i="10"/>
  <c r="E32" i="10"/>
  <c r="E36" i="10"/>
  <c r="E40" i="10"/>
  <c r="E44" i="10"/>
  <c r="E48" i="10"/>
  <c r="E52" i="10"/>
  <c r="E56" i="10"/>
  <c r="E60" i="10"/>
  <c r="E64" i="10"/>
  <c r="H1" i="9"/>
  <c r="C11" i="9"/>
  <c r="E17" i="10"/>
  <c r="D16" i="10"/>
  <c r="C15" i="10"/>
  <c r="C19" i="10"/>
  <c r="C23" i="10"/>
  <c r="R11" i="9"/>
  <c r="F17" i="10"/>
  <c r="F21" i="10"/>
  <c r="F25" i="10"/>
  <c r="F29" i="10"/>
  <c r="F33" i="10"/>
  <c r="F37" i="10"/>
  <c r="F41" i="10"/>
  <c r="F45" i="10"/>
  <c r="F49" i="10"/>
  <c r="F53" i="10"/>
  <c r="F57" i="10"/>
  <c r="F61" i="10"/>
  <c r="F65" i="10"/>
  <c r="F69" i="10"/>
  <c r="F73" i="10"/>
  <c r="F77" i="10"/>
  <c r="F81" i="10"/>
  <c r="F85" i="10"/>
  <c r="F89" i="10"/>
  <c r="F93" i="10"/>
  <c r="F97" i="10"/>
  <c r="F101" i="10"/>
  <c r="F105" i="10"/>
  <c r="F109" i="10"/>
  <c r="F113" i="10"/>
  <c r="E21" i="10"/>
  <c r="E25" i="10"/>
  <c r="E29" i="10"/>
  <c r="E33" i="10"/>
  <c r="E37" i="10"/>
  <c r="E41" i="10"/>
  <c r="E45" i="10"/>
  <c r="E49" i="10"/>
  <c r="E53" i="10"/>
  <c r="E57" i="10"/>
  <c r="E61" i="10"/>
  <c r="E65" i="10"/>
  <c r="E69" i="10"/>
  <c r="E73" i="10"/>
  <c r="E77" i="10"/>
  <c r="E81" i="10"/>
  <c r="E85" i="10"/>
  <c r="E89" i="10"/>
  <c r="E93" i="10"/>
  <c r="E97" i="10"/>
  <c r="B12" i="9"/>
  <c r="E14" i="10"/>
  <c r="E18" i="10"/>
  <c r="D17" i="10"/>
  <c r="C16" i="10"/>
  <c r="C20" i="10"/>
  <c r="D12" i="9"/>
  <c r="F18" i="10"/>
  <c r="F22" i="10"/>
  <c r="F26" i="10"/>
  <c r="F30" i="10"/>
  <c r="F34" i="10"/>
  <c r="F38" i="10"/>
  <c r="F42" i="10"/>
  <c r="F46" i="10"/>
  <c r="F50" i="10"/>
  <c r="F54" i="10"/>
  <c r="F58" i="10"/>
  <c r="F62" i="10"/>
  <c r="F66" i="10"/>
  <c r="F70" i="10"/>
  <c r="F74" i="10"/>
  <c r="F78" i="10"/>
  <c r="F82" i="10"/>
  <c r="F86" i="10"/>
  <c r="F90" i="10"/>
  <c r="F94" i="10"/>
  <c r="F98" i="10"/>
  <c r="F102" i="10"/>
  <c r="F106" i="10"/>
  <c r="F110" i="10"/>
  <c r="F14" i="10"/>
  <c r="E22" i="10"/>
  <c r="E26" i="10"/>
  <c r="E30" i="10"/>
  <c r="E34" i="10"/>
  <c r="E38" i="10"/>
  <c r="E42" i="10"/>
  <c r="E46" i="10"/>
  <c r="E50" i="10"/>
  <c r="D18" i="10"/>
  <c r="C12" i="7"/>
  <c r="F23" i="10"/>
  <c r="F39" i="10"/>
  <c r="F55" i="10"/>
  <c r="F71" i="10"/>
  <c r="F87" i="10"/>
  <c r="F103" i="10"/>
  <c r="E23" i="10"/>
  <c r="E39" i="10"/>
  <c r="E54" i="10"/>
  <c r="E62" i="10"/>
  <c r="E68" i="10"/>
  <c r="E74" i="10"/>
  <c r="E79" i="10"/>
  <c r="E84" i="10"/>
  <c r="E90" i="10"/>
  <c r="E95" i="10"/>
  <c r="E100" i="10"/>
  <c r="E104" i="10"/>
  <c r="E108" i="10"/>
  <c r="E112" i="10"/>
  <c r="D21" i="10"/>
  <c r="D25" i="10"/>
  <c r="D29" i="10"/>
  <c r="D33" i="10"/>
  <c r="D37" i="10"/>
  <c r="D41" i="10"/>
  <c r="D45" i="10"/>
  <c r="D49" i="10"/>
  <c r="D53" i="10"/>
  <c r="D57" i="10"/>
  <c r="D61" i="10"/>
  <c r="D65" i="10"/>
  <c r="D69" i="10"/>
  <c r="D73" i="10"/>
  <c r="D77" i="10"/>
  <c r="D81" i="10"/>
  <c r="D85" i="10"/>
  <c r="D89" i="10"/>
  <c r="D93" i="10"/>
  <c r="D97" i="10"/>
  <c r="D101" i="10"/>
  <c r="D105" i="10"/>
  <c r="D109" i="10"/>
  <c r="D113" i="10"/>
  <c r="C27" i="10"/>
  <c r="C31" i="10"/>
  <c r="C35" i="10"/>
  <c r="C39" i="10"/>
  <c r="C43" i="10"/>
  <c r="C47" i="10"/>
  <c r="C51" i="10"/>
  <c r="C55" i="10"/>
  <c r="C59" i="10"/>
  <c r="C63" i="10"/>
  <c r="C67" i="10"/>
  <c r="C71" i="10"/>
  <c r="C75" i="10"/>
  <c r="C79" i="10"/>
  <c r="C83" i="10"/>
  <c r="C87" i="10"/>
  <c r="C91" i="10"/>
  <c r="C95" i="10"/>
  <c r="C99" i="10"/>
  <c r="C103" i="10"/>
  <c r="C107" i="10"/>
  <c r="C111" i="10"/>
  <c r="C17" i="10"/>
  <c r="E15" i="10"/>
  <c r="C21" i="10"/>
  <c r="F15" i="10"/>
  <c r="F31" i="10"/>
  <c r="F47" i="10"/>
  <c r="F63" i="10"/>
  <c r="F79" i="10"/>
  <c r="F95" i="10"/>
  <c r="F111" i="10"/>
  <c r="E31" i="10"/>
  <c r="E47" i="10"/>
  <c r="E58" i="10"/>
  <c r="E66" i="10"/>
  <c r="E71" i="10"/>
  <c r="E76" i="10"/>
  <c r="D14" i="10"/>
  <c r="F19" i="10"/>
  <c r="F35" i="10"/>
  <c r="F51" i="10"/>
  <c r="F67" i="10"/>
  <c r="F83" i="10"/>
  <c r="F99" i="10"/>
  <c r="E19" i="10"/>
  <c r="E35" i="10"/>
  <c r="E51" i="10"/>
  <c r="E59" i="10"/>
  <c r="E67" i="10"/>
  <c r="E72" i="10"/>
  <c r="E78" i="10"/>
  <c r="F59" i="10"/>
  <c r="E27" i="10"/>
  <c r="E70" i="10"/>
  <c r="E83" i="10"/>
  <c r="E91" i="10"/>
  <c r="E98" i="10"/>
  <c r="E103" i="10"/>
  <c r="E109" i="10"/>
  <c r="D19" i="10"/>
  <c r="D24" i="10"/>
  <c r="D30" i="10"/>
  <c r="D35" i="10"/>
  <c r="D40" i="10"/>
  <c r="D46" i="10"/>
  <c r="D51" i="10"/>
  <c r="D56" i="10"/>
  <c r="D62" i="10"/>
  <c r="D67" i="10"/>
  <c r="D72" i="10"/>
  <c r="D78" i="10"/>
  <c r="D83" i="10"/>
  <c r="D88" i="10"/>
  <c r="D94" i="10"/>
  <c r="D99" i="10"/>
  <c r="D104" i="10"/>
  <c r="D110" i="10"/>
  <c r="C25" i="10"/>
  <c r="C30" i="10"/>
  <c r="C36" i="10"/>
  <c r="C41" i="10"/>
  <c r="C46" i="10"/>
  <c r="C52" i="10"/>
  <c r="C57" i="10"/>
  <c r="C62" i="10"/>
  <c r="C68" i="10"/>
  <c r="C73" i="10"/>
  <c r="C78" i="10"/>
  <c r="C84" i="10"/>
  <c r="C89" i="10"/>
  <c r="C94" i="10"/>
  <c r="C100" i="10"/>
  <c r="C105" i="10"/>
  <c r="C110" i="10"/>
  <c r="C48" i="10"/>
  <c r="C69" i="10"/>
  <c r="C80" i="10"/>
  <c r="C90" i="10"/>
  <c r="C101" i="10"/>
  <c r="C112" i="10"/>
  <c r="D11" i="9"/>
  <c r="F75" i="10"/>
  <c r="E43" i="10"/>
  <c r="E75" i="10"/>
  <c r="E86" i="10"/>
  <c r="E92" i="10"/>
  <c r="E99" i="10"/>
  <c r="E105" i="10"/>
  <c r="E110" i="10"/>
  <c r="D20" i="10"/>
  <c r="D26" i="10"/>
  <c r="D31" i="10"/>
  <c r="D36" i="10"/>
  <c r="D42" i="10"/>
  <c r="D47" i="10"/>
  <c r="D52" i="10"/>
  <c r="D58" i="10"/>
  <c r="D63" i="10"/>
  <c r="D68" i="10"/>
  <c r="D74" i="10"/>
  <c r="D79" i="10"/>
  <c r="D84" i="10"/>
  <c r="D90" i="10"/>
  <c r="D95" i="10"/>
  <c r="D100" i="10"/>
  <c r="D106" i="10"/>
  <c r="D111" i="10"/>
  <c r="C26" i="10"/>
  <c r="C32" i="10"/>
  <c r="C37" i="10"/>
  <c r="C42" i="10"/>
  <c r="C53" i="10"/>
  <c r="C58" i="10"/>
  <c r="C64" i="10"/>
  <c r="C74" i="10"/>
  <c r="C85" i="10"/>
  <c r="C96" i="10"/>
  <c r="C106" i="10"/>
  <c r="F4" i="7"/>
  <c r="F27" i="10"/>
  <c r="F91" i="10"/>
  <c r="E55" i="10"/>
  <c r="E80" i="10"/>
  <c r="E87" i="10"/>
  <c r="E94" i="10"/>
  <c r="E101" i="10"/>
  <c r="E106" i="10"/>
  <c r="E111" i="10"/>
  <c r="D22" i="10"/>
  <c r="D27" i="10"/>
  <c r="D32" i="10"/>
  <c r="D38" i="10"/>
  <c r="D43" i="10"/>
  <c r="D48" i="10"/>
  <c r="D54" i="10"/>
  <c r="D59" i="10"/>
  <c r="D64" i="10"/>
  <c r="D70" i="10"/>
  <c r="D75" i="10"/>
  <c r="D80" i="10"/>
  <c r="D86" i="10"/>
  <c r="D91" i="10"/>
  <c r="D96" i="10"/>
  <c r="D102" i="10"/>
  <c r="D107" i="10"/>
  <c r="D112" i="10"/>
  <c r="C28" i="10"/>
  <c r="C33" i="10"/>
  <c r="C38" i="10"/>
  <c r="C44" i="10"/>
  <c r="C49" i="10"/>
  <c r="C54" i="10"/>
  <c r="C60" i="10"/>
  <c r="C65" i="10"/>
  <c r="C70" i="10"/>
  <c r="C76" i="10"/>
  <c r="C81" i="10"/>
  <c r="C86" i="10"/>
  <c r="C92" i="10"/>
  <c r="C97" i="10"/>
  <c r="C102" i="10"/>
  <c r="C108" i="10"/>
  <c r="C113" i="10"/>
  <c r="K2" i="1" a="1"/>
  <c r="F43" i="10"/>
  <c r="F107" i="10"/>
  <c r="E63" i="10"/>
  <c r="E82" i="10"/>
  <c r="E88" i="10"/>
  <c r="E96" i="10"/>
  <c r="E102" i="10"/>
  <c r="E107" i="10"/>
  <c r="E113" i="10"/>
  <c r="D23" i="10"/>
  <c r="D28" i="10"/>
  <c r="D34" i="10"/>
  <c r="D39" i="10"/>
  <c r="D44" i="10"/>
  <c r="D50" i="10"/>
  <c r="D55" i="10"/>
  <c r="D60" i="10"/>
  <c r="D66" i="10"/>
  <c r="D71" i="10"/>
  <c r="D76" i="10"/>
  <c r="D82" i="10"/>
  <c r="D87" i="10"/>
  <c r="D92" i="10"/>
  <c r="D98" i="10"/>
  <c r="D103" i="10"/>
  <c r="D108" i="10"/>
  <c r="C24" i="10"/>
  <c r="C29" i="10"/>
  <c r="C34" i="10"/>
  <c r="C40" i="10"/>
  <c r="C45" i="10"/>
  <c r="C50" i="10"/>
  <c r="C56" i="10"/>
  <c r="C61" i="10"/>
  <c r="C66" i="10"/>
  <c r="C72" i="10"/>
  <c r="C77" i="10"/>
  <c r="C82" i="10"/>
  <c r="C88" i="10"/>
  <c r="C93" i="10"/>
  <c r="C98" i="10"/>
  <c r="C104" i="10"/>
  <c r="C109" i="10"/>
  <c r="R12" i="9"/>
  <c r="C49" i="7"/>
  <c r="C31" i="7"/>
  <c r="I42" i="7"/>
  <c r="C56" i="7"/>
  <c r="C30" i="7"/>
  <c r="I13" i="7"/>
  <c r="C52" i="7"/>
  <c r="C16" i="7"/>
  <c r="I30" i="7"/>
  <c r="C45" i="7"/>
  <c r="I28" i="7"/>
  <c r="I60" i="7"/>
  <c r="C61" i="7"/>
  <c r="C35" i="7"/>
  <c r="C57" i="7"/>
  <c r="C23" i="7"/>
  <c r="I34" i="7"/>
  <c r="C48" i="7"/>
  <c r="I63" i="7"/>
  <c r="C22" i="7"/>
  <c r="C59" i="7"/>
  <c r="I29" i="7"/>
  <c r="C42" i="7"/>
  <c r="I54" i="7"/>
  <c r="I19" i="7"/>
  <c r="I17" i="7"/>
  <c r="C47" i="7"/>
  <c r="I58" i="7"/>
  <c r="I23" i="7"/>
  <c r="I24" i="7"/>
  <c r="C27" i="7"/>
  <c r="I21" i="7"/>
  <c r="C34" i="7"/>
  <c r="I46" i="7"/>
  <c r="I27" i="7"/>
  <c r="I16" i="7"/>
  <c r="I48" i="7"/>
  <c r="I59" i="7"/>
  <c r="C17" i="7"/>
  <c r="I25" i="7"/>
  <c r="C39" i="7"/>
  <c r="I50" i="7"/>
  <c r="I15" i="7"/>
  <c r="C13" i="7"/>
  <c r="I44" i="7"/>
  <c r="C28" i="7"/>
  <c r="I45" i="7"/>
  <c r="C58" i="7"/>
  <c r="C21" i="7"/>
  <c r="I35" i="7"/>
  <c r="C14" i="7"/>
  <c r="I33" i="7"/>
  <c r="C63" i="7"/>
  <c r="C24" i="7"/>
  <c r="I39" i="7"/>
  <c r="C54" i="7"/>
  <c r="I36" i="7"/>
  <c r="I37" i="7"/>
  <c r="C50" i="7"/>
  <c r="I62" i="7"/>
  <c r="I43" i="7"/>
  <c r="C38" i="7"/>
  <c r="I20" i="7"/>
  <c r="I40" i="7"/>
  <c r="C25" i="7"/>
  <c r="I41" i="7"/>
  <c r="C55" i="7"/>
  <c r="C19" i="7"/>
  <c r="I31" i="7"/>
  <c r="C62" i="7"/>
  <c r="C15" i="7"/>
  <c r="C44" i="7"/>
  <c r="I61" i="7"/>
  <c r="I22" i="7"/>
  <c r="C37" i="7"/>
  <c r="I51" i="7"/>
  <c r="C33" i="7"/>
  <c r="I49" i="7"/>
  <c r="I26" i="7"/>
  <c r="C40" i="7"/>
  <c r="I55" i="7"/>
  <c r="C46" i="7"/>
  <c r="C18" i="7"/>
  <c r="I53" i="7"/>
  <c r="I14" i="7"/>
  <c r="C29" i="7"/>
  <c r="C51" i="7"/>
  <c r="C43" i="7"/>
  <c r="C36" i="7"/>
  <c r="I52" i="7"/>
  <c r="C41" i="7"/>
  <c r="I57" i="7"/>
  <c r="I18" i="7"/>
  <c r="C32" i="7"/>
  <c r="I47" i="7"/>
  <c r="I56" i="7"/>
  <c r="I32" i="7"/>
  <c r="C60" i="7"/>
  <c r="C26" i="7"/>
  <c r="I38" i="7"/>
  <c r="C53" i="7"/>
  <c r="C20" i="7"/>
  <c r="L47" i="1" l="1"/>
  <c r="K4" i="1"/>
  <c r="L79" i="1"/>
  <c r="M75" i="1"/>
  <c r="M29" i="1"/>
  <c r="M44" i="1"/>
  <c r="M13" i="1"/>
  <c r="L9" i="1"/>
  <c r="K82" i="1"/>
  <c r="K33" i="1"/>
  <c r="M56" i="1"/>
  <c r="L92" i="1"/>
  <c r="L70" i="1"/>
  <c r="M23" i="1"/>
  <c r="M99" i="1"/>
  <c r="L37" i="1"/>
  <c r="L75" i="1"/>
  <c r="K73" i="1"/>
  <c r="L98" i="1"/>
  <c r="L78" i="1"/>
  <c r="M58" i="1"/>
  <c r="L36" i="1"/>
  <c r="L3" i="1"/>
  <c r="L55" i="1"/>
  <c r="M48" i="1"/>
  <c r="M84" i="1"/>
  <c r="M30" i="1"/>
  <c r="L20" i="1"/>
  <c r="K29" i="1"/>
  <c r="K17" i="1"/>
  <c r="L24" i="1"/>
  <c r="M8" i="1"/>
  <c r="M89" i="1"/>
  <c r="L99" i="1"/>
  <c r="L49" i="1"/>
  <c r="K94" i="1"/>
  <c r="K10" i="1"/>
  <c r="L65" i="1"/>
  <c r="M72" i="1"/>
  <c r="M102" i="1"/>
  <c r="M35" i="1"/>
  <c r="K30" i="1"/>
  <c r="L91" i="1"/>
  <c r="K86" i="1"/>
  <c r="M66" i="1"/>
  <c r="K58" i="1"/>
  <c r="M82" i="1"/>
  <c r="L80" i="1"/>
  <c r="L61" i="1"/>
  <c r="K84" i="1"/>
  <c r="K18" i="1"/>
  <c r="K78" i="1"/>
  <c r="K71" i="1"/>
  <c r="K102" i="1"/>
  <c r="M76" i="1"/>
  <c r="L81" i="1"/>
  <c r="M98" i="1"/>
  <c r="M62" i="1"/>
  <c r="M33" i="1"/>
  <c r="M59" i="1"/>
  <c r="L64" i="1"/>
  <c r="K96" i="1"/>
  <c r="K41" i="1"/>
  <c r="K27" i="1"/>
  <c r="L67" i="1"/>
  <c r="L17" i="1"/>
  <c r="L68" i="1"/>
  <c r="K61" i="1"/>
  <c r="M85" i="1"/>
  <c r="K22" i="1"/>
  <c r="M10" i="1"/>
  <c r="M97" i="1"/>
  <c r="K80" i="1"/>
  <c r="L19" i="1"/>
  <c r="K89" i="1"/>
  <c r="L6" i="1"/>
  <c r="K57" i="1"/>
  <c r="M3" i="1"/>
  <c r="K88" i="1"/>
  <c r="L45" i="1"/>
  <c r="L94" i="1"/>
  <c r="M26" i="1"/>
  <c r="M7" i="1"/>
  <c r="M60" i="1"/>
  <c r="K87" i="1"/>
  <c r="K91" i="1"/>
  <c r="L58" i="1"/>
  <c r="K44" i="1"/>
  <c r="L12" i="1"/>
  <c r="M71" i="1"/>
  <c r="L72" i="1"/>
  <c r="M6" i="1"/>
  <c r="M51" i="1"/>
  <c r="L14" i="1"/>
  <c r="M4" i="1"/>
  <c r="K28" i="1"/>
  <c r="K19" i="1"/>
  <c r="L66" i="1"/>
  <c r="L83" i="1"/>
  <c r="M69" i="1"/>
  <c r="L25" i="1"/>
  <c r="M39" i="1"/>
  <c r="M90" i="1"/>
  <c r="K74" i="1"/>
  <c r="K47" i="1"/>
  <c r="L28" i="1"/>
  <c r="L42" i="1"/>
  <c r="K12" i="1"/>
  <c r="K54" i="1"/>
  <c r="K69" i="1"/>
  <c r="K76" i="1"/>
  <c r="M101" i="1"/>
  <c r="M9" i="1"/>
  <c r="L69" i="1"/>
  <c r="M55" i="1"/>
  <c r="L15" i="1"/>
  <c r="L11" i="1"/>
  <c r="K11" i="1"/>
  <c r="L71" i="1"/>
  <c r="K36" i="1"/>
  <c r="K13" i="1"/>
  <c r="K52" i="1"/>
  <c r="K72" i="1"/>
  <c r="L87" i="1"/>
  <c r="L26" i="1"/>
  <c r="L74" i="1"/>
  <c r="M28" i="1"/>
  <c r="K77" i="1"/>
  <c r="L51" i="1"/>
  <c r="M63" i="1"/>
  <c r="L95" i="1"/>
  <c r="L102" i="1"/>
  <c r="L85" i="1"/>
  <c r="K60" i="1"/>
  <c r="M52" i="1"/>
  <c r="K48" i="1"/>
  <c r="M96" i="1"/>
  <c r="K100" i="1"/>
  <c r="K20" i="1"/>
  <c r="M21" i="1"/>
  <c r="L100" i="1"/>
  <c r="L44" i="1"/>
  <c r="K40" i="1"/>
  <c r="M43" i="1"/>
  <c r="M47" i="1"/>
  <c r="K81" i="1"/>
  <c r="L90" i="1"/>
  <c r="M67" i="1"/>
  <c r="K98" i="1"/>
  <c r="M70" i="1"/>
  <c r="M27" i="1"/>
  <c r="M2" i="1"/>
  <c r="M87" i="1"/>
  <c r="K2" i="1"/>
  <c r="M16" i="1"/>
  <c r="K8" i="1"/>
  <c r="L41" i="1"/>
  <c r="M68" i="1"/>
  <c r="L31" i="1"/>
  <c r="L60" i="1"/>
  <c r="L29" i="1"/>
  <c r="M100" i="1"/>
  <c r="M93" i="1"/>
  <c r="M77" i="1"/>
  <c r="M49" i="1"/>
  <c r="M79" i="1"/>
  <c r="K37" i="1"/>
  <c r="L96" i="1"/>
  <c r="L73" i="1"/>
  <c r="M78" i="1"/>
  <c r="M73" i="1"/>
  <c r="M42" i="1"/>
  <c r="K31" i="1"/>
  <c r="K59" i="1"/>
  <c r="L82" i="1"/>
  <c r="K21" i="1"/>
  <c r="L76" i="1"/>
  <c r="M38" i="1"/>
  <c r="M65" i="1"/>
  <c r="M36" i="1"/>
  <c r="M86" i="1"/>
  <c r="L59" i="1"/>
  <c r="M37" i="1"/>
  <c r="M17" i="1"/>
  <c r="L48" i="1"/>
  <c r="L62" i="1"/>
  <c r="L8" i="1"/>
  <c r="M12" i="1"/>
  <c r="K7" i="1"/>
  <c r="K43" i="1"/>
  <c r="L89" i="1"/>
  <c r="K79" i="1"/>
  <c r="L2" i="1"/>
  <c r="L21" i="1"/>
  <c r="K50" i="1"/>
  <c r="M94" i="1"/>
  <c r="M25" i="1"/>
  <c r="L35" i="1"/>
  <c r="K32" i="1"/>
  <c r="M64" i="1"/>
  <c r="K70" i="1"/>
  <c r="K99" i="1"/>
  <c r="D59" i="7"/>
  <c r="E59" i="7" s="1"/>
  <c r="D39" i="7"/>
  <c r="E39" i="7" s="1"/>
  <c r="D38" i="7"/>
  <c r="D47" i="7"/>
  <c r="E47" i="7" s="1"/>
  <c r="D46" i="7"/>
  <c r="E46" i="7" s="1"/>
  <c r="D15" i="7"/>
  <c r="E15" i="7" s="1"/>
  <c r="D54" i="7"/>
  <c r="D23" i="7"/>
  <c r="E23" i="7" s="1"/>
  <c r="D22" i="7"/>
  <c r="E22" i="7" s="1"/>
  <c r="D62" i="7"/>
  <c r="E62" i="7" s="1"/>
  <c r="D51" i="7"/>
  <c r="E51" i="7" s="1"/>
  <c r="D31" i="7"/>
  <c r="D30" i="7"/>
  <c r="E30" i="7" s="1"/>
  <c r="D21" i="7"/>
  <c r="E21" i="7" s="1"/>
  <c r="D20" i="7"/>
  <c r="J12" i="9"/>
  <c r="D61" i="7"/>
  <c r="E61" i="7" s="1"/>
  <c r="D56" i="7"/>
  <c r="E56" i="7" s="1"/>
  <c r="D53" i="7"/>
  <c r="D48" i="7"/>
  <c r="D41" i="7"/>
  <c r="E41" i="7" s="1"/>
  <c r="D40" i="7"/>
  <c r="E40" i="7" s="1"/>
  <c r="D33" i="7"/>
  <c r="D32" i="7"/>
  <c r="E32" i="7" s="1"/>
  <c r="D25" i="7"/>
  <c r="E25" i="7" s="1"/>
  <c r="D24" i="7"/>
  <c r="E24" i="7" s="1"/>
  <c r="V12" i="9"/>
  <c r="S12" i="9" s="1"/>
  <c r="D63" i="7"/>
  <c r="E63" i="7" s="1"/>
  <c r="D58" i="7"/>
  <c r="E58" i="7" s="1"/>
  <c r="D55" i="7"/>
  <c r="E55" i="7" s="1"/>
  <c r="D50" i="7"/>
  <c r="D43" i="7"/>
  <c r="E43" i="7" s="1"/>
  <c r="D42" i="7"/>
  <c r="E42" i="7" s="1"/>
  <c r="D35" i="7"/>
  <c r="E35" i="7" s="1"/>
  <c r="D34" i="7"/>
  <c r="D27" i="7"/>
  <c r="E27" i="7" s="1"/>
  <c r="D26" i="7"/>
  <c r="E26" i="7" s="1"/>
  <c r="D17" i="7"/>
  <c r="E17" i="7" s="1"/>
  <c r="D16" i="7"/>
  <c r="E11" i="9"/>
  <c r="F11" i="9" s="1"/>
  <c r="G11" i="9" s="1"/>
  <c r="H3" i="9"/>
  <c r="D60" i="7"/>
  <c r="E60" i="7" s="1"/>
  <c r="D57" i="7"/>
  <c r="D52" i="7"/>
  <c r="E52" i="7" s="1"/>
  <c r="D49" i="7"/>
  <c r="E49" i="7" s="1"/>
  <c r="D45" i="7"/>
  <c r="E45" i="7" s="1"/>
  <c r="D44" i="7"/>
  <c r="D37" i="7"/>
  <c r="E37" i="7" s="1"/>
  <c r="D36" i="7"/>
  <c r="E36" i="7" s="1"/>
  <c r="D29" i="7"/>
  <c r="E29" i="7" s="1"/>
  <c r="D28" i="7"/>
  <c r="D19" i="7"/>
  <c r="E19" i="7" s="1"/>
  <c r="D18" i="7"/>
  <c r="E18" i="7" s="1"/>
  <c r="D14" i="7"/>
  <c r="E14" i="7" s="1"/>
  <c r="M57" i="1"/>
  <c r="L13" i="1"/>
  <c r="M46" i="1"/>
  <c r="B64" i="7"/>
  <c r="K16" i="1"/>
  <c r="M88" i="1"/>
  <c r="M50" i="1"/>
  <c r="K97" i="1"/>
  <c r="L30" i="1"/>
  <c r="L40" i="1"/>
  <c r="K53" i="1"/>
  <c r="M31" i="1"/>
  <c r="K67" i="1"/>
  <c r="M74" i="1"/>
  <c r="K83" i="1"/>
  <c r="K25" i="1"/>
  <c r="L43" i="1"/>
  <c r="K65" i="1"/>
  <c r="K56" i="1"/>
  <c r="K90" i="1"/>
  <c r="K62" i="1"/>
  <c r="M41" i="1"/>
  <c r="M20" i="1"/>
  <c r="M15" i="1"/>
  <c r="L52" i="1"/>
  <c r="L88" i="1"/>
  <c r="L77" i="1"/>
  <c r="M40" i="1"/>
  <c r="M91" i="1"/>
  <c r="M18" i="1"/>
  <c r="L39" i="1"/>
  <c r="K51" i="1"/>
  <c r="L53" i="1"/>
  <c r="M83" i="1"/>
  <c r="K92" i="1"/>
  <c r="M45" i="1"/>
  <c r="K14" i="1"/>
  <c r="L4" i="1"/>
  <c r="M81" i="1"/>
  <c r="K75" i="1"/>
  <c r="M19" i="1"/>
  <c r="K101" i="1"/>
  <c r="M80" i="1"/>
  <c r="K42" i="1"/>
  <c r="L22" i="1"/>
  <c r="M5" i="1"/>
  <c r="L63" i="1"/>
  <c r="K6" i="1"/>
  <c r="K49" i="1"/>
  <c r="L86" i="1"/>
  <c r="L101" i="1"/>
  <c r="K35" i="1"/>
  <c r="L18" i="1"/>
  <c r="L32" i="1"/>
  <c r="K39" i="1"/>
  <c r="L46" i="1"/>
  <c r="L57" i="1"/>
  <c r="M14" i="1"/>
  <c r="K64" i="1"/>
  <c r="K38" i="1"/>
  <c r="M92" i="1"/>
  <c r="L84" i="1"/>
  <c r="K45" i="1"/>
  <c r="K15" i="1"/>
  <c r="L54" i="1"/>
  <c r="L93" i="1"/>
  <c r="L97" i="1"/>
  <c r="K66" i="1"/>
  <c r="L23" i="1"/>
  <c r="M22" i="1"/>
  <c r="K95" i="1"/>
  <c r="L33" i="1"/>
  <c r="K55" i="1"/>
  <c r="K34" i="1"/>
  <c r="L10" i="1"/>
  <c r="L7" i="1"/>
  <c r="M34" i="1"/>
  <c r="L56" i="1"/>
  <c r="K85" i="1"/>
  <c r="K23" i="1"/>
  <c r="M95" i="1"/>
  <c r="K9" i="1"/>
  <c r="M61" i="1"/>
  <c r="M53" i="1"/>
  <c r="L27" i="1"/>
  <c r="K24" i="1"/>
  <c r="K3" i="1"/>
  <c r="L34" i="1"/>
  <c r="K26" i="1"/>
  <c r="K46" i="1"/>
  <c r="L16" i="1"/>
  <c r="L5" i="1"/>
  <c r="K5" i="1"/>
  <c r="L38" i="1"/>
  <c r="M54" i="1"/>
  <c r="M24" i="1"/>
  <c r="K93" i="1"/>
  <c r="K68" i="1"/>
  <c r="K63" i="1"/>
  <c r="M32" i="1"/>
  <c r="M11" i="1"/>
  <c r="L50" i="1"/>
  <c r="D13" i="7"/>
  <c r="E13" i="7" s="1"/>
  <c r="D12" i="7"/>
  <c r="E12" i="7" s="1"/>
  <c r="F12" i="7" s="1"/>
  <c r="E54" i="7"/>
  <c r="E38" i="7"/>
  <c r="E33" i="7"/>
  <c r="E57" i="7"/>
  <c r="E44" i="7"/>
  <c r="E31" i="7"/>
  <c r="E28" i="7"/>
  <c r="E20" i="7"/>
  <c r="E50" i="7"/>
  <c r="E34" i="7"/>
  <c r="E53" i="7"/>
  <c r="E48" i="7"/>
  <c r="E16" i="7"/>
  <c r="A13" i="9"/>
  <c r="N94" i="1"/>
  <c r="N86" i="1"/>
  <c r="N78" i="1"/>
  <c r="N27" i="1"/>
  <c r="N61" i="1"/>
  <c r="N44" i="1"/>
  <c r="N28" i="1"/>
  <c r="N74" i="1"/>
  <c r="N12" i="1"/>
  <c r="N36" i="1"/>
  <c r="N77" i="1"/>
  <c r="N48" i="1"/>
  <c r="N8" i="1"/>
  <c r="N21" i="1"/>
  <c r="N79" i="1"/>
  <c r="N97" i="1"/>
  <c r="N25" i="1"/>
  <c r="N90" i="1"/>
  <c r="N51" i="1"/>
  <c r="N75" i="1"/>
  <c r="N42" i="1"/>
  <c r="N6" i="1"/>
  <c r="N35" i="1"/>
  <c r="N38" i="1"/>
  <c r="N15" i="1"/>
  <c r="N66" i="1"/>
  <c r="N23" i="1"/>
  <c r="N41" i="1"/>
  <c r="N76" i="1"/>
  <c r="N40" i="1"/>
  <c r="N37" i="1"/>
  <c r="N32" i="1"/>
  <c r="N82" i="1"/>
  <c r="N29" i="1"/>
  <c r="N10" i="1"/>
  <c r="N71" i="1"/>
  <c r="N80" i="1"/>
  <c r="N57" i="1"/>
  <c r="N87" i="1"/>
  <c r="N19" i="1"/>
  <c r="N47" i="1"/>
  <c r="N54" i="1"/>
  <c r="N13" i="1"/>
  <c r="N98" i="1"/>
  <c r="N31" i="1"/>
  <c r="N7" i="1"/>
  <c r="N70" i="1"/>
  <c r="B13" i="9"/>
  <c r="N16" i="1"/>
  <c r="N67" i="1"/>
  <c r="N62" i="1"/>
  <c r="N14" i="1"/>
  <c r="N49" i="1"/>
  <c r="N55" i="1"/>
  <c r="N26" i="1"/>
  <c r="N5" i="1"/>
  <c r="N93" i="1"/>
  <c r="C12" i="9"/>
  <c r="N72" i="1"/>
  <c r="N50" i="1"/>
  <c r="N53" i="1"/>
  <c r="N83" i="1"/>
  <c r="N56" i="1"/>
  <c r="N92" i="1"/>
  <c r="N39" i="1"/>
  <c r="N64" i="1"/>
  <c r="N45" i="1"/>
  <c r="N95" i="1"/>
  <c r="N85" i="1"/>
  <c r="N3" i="1"/>
  <c r="N63" i="1"/>
  <c r="N4" i="1"/>
  <c r="N33" i="1"/>
  <c r="N73" i="1"/>
  <c r="N17" i="1"/>
  <c r="N30" i="1"/>
  <c r="N58" i="1"/>
  <c r="N84" i="1"/>
  <c r="N102" i="1"/>
  <c r="N96" i="1"/>
  <c r="N22" i="1"/>
  <c r="N91" i="1"/>
  <c r="N69" i="1"/>
  <c r="N11" i="1"/>
  <c r="N52" i="1"/>
  <c r="N60" i="1"/>
  <c r="N100" i="1"/>
  <c r="N81" i="1"/>
  <c r="N59" i="1"/>
  <c r="N43" i="1"/>
  <c r="N99" i="1"/>
  <c r="N65" i="1"/>
  <c r="N101" i="1"/>
  <c r="N34" i="1"/>
  <c r="N9" i="1"/>
  <c r="N24" i="1"/>
  <c r="N46" i="1"/>
  <c r="N68" i="1"/>
  <c r="N18" i="1"/>
  <c r="N89" i="1"/>
  <c r="N88" i="1"/>
  <c r="N20" i="1"/>
  <c r="C64" i="7"/>
  <c r="I64" i="7"/>
  <c r="E12" i="9" l="1"/>
  <c r="V13" i="9"/>
  <c r="S13" i="9" s="1"/>
  <c r="D64" i="7"/>
  <c r="E64" i="7" s="1"/>
  <c r="F12" i="9"/>
  <c r="B65" i="7"/>
  <c r="B66" i="7" s="1"/>
  <c r="T12" i="9"/>
  <c r="U12" i="9" s="1"/>
  <c r="A14" i="9"/>
  <c r="F13" i="7"/>
  <c r="G12" i="7"/>
  <c r="G12" i="9"/>
  <c r="C13" i="9"/>
  <c r="R13" i="9"/>
  <c r="D13" i="9"/>
  <c r="B14" i="9"/>
  <c r="I65" i="7"/>
  <c r="C65" i="7"/>
  <c r="I66" i="7"/>
  <c r="C66" i="7"/>
  <c r="D66" i="7" l="1"/>
  <c r="V14" i="9"/>
  <c r="S14" i="9" s="1"/>
  <c r="J13" i="9"/>
  <c r="F13" i="9" s="1"/>
  <c r="T13" i="9"/>
  <c r="U13" i="9" s="1"/>
  <c r="D65" i="7"/>
  <c r="E65" i="7" s="1"/>
  <c r="G13" i="7"/>
  <c r="F14" i="7" s="1"/>
  <c r="B67" i="7"/>
  <c r="E66" i="7"/>
  <c r="E13" i="9"/>
  <c r="A15" i="9"/>
  <c r="R14" i="9"/>
  <c r="C14" i="9"/>
  <c r="B15" i="9"/>
  <c r="D14" i="9"/>
  <c r="C67" i="7"/>
  <c r="I67" i="7"/>
  <c r="J14" i="9" l="1"/>
  <c r="F14" i="9" s="1"/>
  <c r="V15" i="9"/>
  <c r="S15" i="9" s="1"/>
  <c r="E14" i="9"/>
  <c r="D67" i="7"/>
  <c r="E67" i="7" s="1"/>
  <c r="T14" i="9"/>
  <c r="U14" i="9" s="1"/>
  <c r="G13" i="9"/>
  <c r="B68" i="7"/>
  <c r="G14" i="7"/>
  <c r="F15" i="7" s="1"/>
  <c r="A16" i="9"/>
  <c r="G14" i="9"/>
  <c r="B16" i="9"/>
  <c r="D15" i="9"/>
  <c r="R15" i="9"/>
  <c r="C15" i="9"/>
  <c r="I68" i="7"/>
  <c r="C68" i="7"/>
  <c r="E15" i="9" l="1"/>
  <c r="D68" i="7"/>
  <c r="E68" i="7" s="1"/>
  <c r="T15" i="9"/>
  <c r="U15" i="9" s="1"/>
  <c r="J15" i="9"/>
  <c r="F15" i="9" s="1"/>
  <c r="G15" i="9" s="1"/>
  <c r="V16" i="9"/>
  <c r="S16" i="9" s="1"/>
  <c r="G15" i="7"/>
  <c r="F16" i="7" s="1"/>
  <c r="A17" i="9"/>
  <c r="B69" i="7"/>
  <c r="B17" i="9"/>
  <c r="C16" i="9"/>
  <c r="D16" i="9"/>
  <c r="R16" i="9"/>
  <c r="C69" i="7"/>
  <c r="I69" i="7"/>
  <c r="D69" i="7" l="1"/>
  <c r="T16" i="9"/>
  <c r="U16" i="9" s="1"/>
  <c r="J16" i="9"/>
  <c r="F16" i="9" s="1"/>
  <c r="G16" i="9" s="1"/>
  <c r="E16" i="9"/>
  <c r="V17" i="9"/>
  <c r="S17" i="9" s="1"/>
  <c r="G16" i="7"/>
  <c r="F17" i="7" s="1"/>
  <c r="B70" i="7"/>
  <c r="E69" i="7"/>
  <c r="A18" i="9"/>
  <c r="B18" i="9"/>
  <c r="R17" i="9"/>
  <c r="D17" i="9"/>
  <c r="C17" i="9"/>
  <c r="C70" i="7"/>
  <c r="I70" i="7"/>
  <c r="J17" i="9" l="1"/>
  <c r="F17" i="9" s="1"/>
  <c r="T17" i="9"/>
  <c r="U17" i="9" s="1"/>
  <c r="D70" i="7"/>
  <c r="E70" i="7" s="1"/>
  <c r="V18" i="9"/>
  <c r="S18" i="9" s="1"/>
  <c r="B71" i="7"/>
  <c r="E17" i="9"/>
  <c r="G17" i="9" s="1"/>
  <c r="G17" i="7"/>
  <c r="F18" i="7" s="1"/>
  <c r="A19" i="9"/>
  <c r="C18" i="9"/>
  <c r="R18" i="9"/>
  <c r="D18" i="9"/>
  <c r="B19" i="9"/>
  <c r="C71" i="7"/>
  <c r="I71" i="7"/>
  <c r="V19" i="9" l="1"/>
  <c r="S19" i="9" s="1"/>
  <c r="J18" i="9"/>
  <c r="F18" i="9" s="1"/>
  <c r="T18" i="9"/>
  <c r="U18" i="9" s="1"/>
  <c r="D71" i="7"/>
  <c r="E71" i="7" s="1"/>
  <c r="G18" i="7"/>
  <c r="F19" i="7" s="1"/>
  <c r="E18" i="9"/>
  <c r="A20" i="9"/>
  <c r="B72" i="7"/>
  <c r="B20" i="9"/>
  <c r="R19" i="9"/>
  <c r="D19" i="9"/>
  <c r="C19" i="9"/>
  <c r="C72" i="7"/>
  <c r="I72" i="7"/>
  <c r="E19" i="9" l="1"/>
  <c r="D72" i="7"/>
  <c r="E72" i="7" s="1"/>
  <c r="J19" i="9"/>
  <c r="F19" i="9" s="1"/>
  <c r="G19" i="9" s="1"/>
  <c r="T19" i="9"/>
  <c r="U19" i="9" s="1"/>
  <c r="V20" i="9"/>
  <c r="S20" i="9" s="1"/>
  <c r="G18" i="9"/>
  <c r="A21" i="9"/>
  <c r="B73" i="7"/>
  <c r="G19" i="7"/>
  <c r="F20" i="7" s="1"/>
  <c r="B21" i="9"/>
  <c r="C20" i="9"/>
  <c r="D20" i="9"/>
  <c r="R20" i="9"/>
  <c r="I73" i="7"/>
  <c r="C73" i="7"/>
  <c r="D73" i="7" l="1"/>
  <c r="T20" i="9"/>
  <c r="U20" i="9" s="1"/>
  <c r="J20" i="9"/>
  <c r="F20" i="9" s="1"/>
  <c r="V21" i="9"/>
  <c r="S21" i="9" s="1"/>
  <c r="G20" i="7"/>
  <c r="F21" i="7" s="1"/>
  <c r="E20" i="9"/>
  <c r="B74" i="7"/>
  <c r="E73" i="7"/>
  <c r="A22" i="9"/>
  <c r="C21" i="9"/>
  <c r="B22" i="9"/>
  <c r="D21" i="9"/>
  <c r="R21" i="9"/>
  <c r="C74" i="7"/>
  <c r="I74" i="7"/>
  <c r="T21" i="9" l="1"/>
  <c r="U21" i="9" s="1"/>
  <c r="J21" i="9"/>
  <c r="F21" i="9" s="1"/>
  <c r="V22" i="9"/>
  <c r="S22" i="9" s="1"/>
  <c r="D74" i="7"/>
  <c r="E74" i="7" s="1"/>
  <c r="G20" i="9"/>
  <c r="B75" i="7"/>
  <c r="G21" i="7"/>
  <c r="F22" i="7" s="1"/>
  <c r="A23" i="9"/>
  <c r="E21" i="9"/>
  <c r="G21" i="9" s="1"/>
  <c r="C22" i="9"/>
  <c r="R22" i="9"/>
  <c r="B23" i="9"/>
  <c r="D22" i="9"/>
  <c r="I75" i="7"/>
  <c r="C75" i="7"/>
  <c r="D75" i="7" l="1"/>
  <c r="J22" i="9"/>
  <c r="F22" i="9" s="1"/>
  <c r="V23" i="9"/>
  <c r="S23" i="9" s="1"/>
  <c r="T22" i="9"/>
  <c r="U22" i="9" s="1"/>
  <c r="E22" i="9"/>
  <c r="G22" i="7"/>
  <c r="F23" i="7" s="1"/>
  <c r="A24" i="9"/>
  <c r="G22" i="9"/>
  <c r="B76" i="7"/>
  <c r="E75" i="7"/>
  <c r="R23" i="9"/>
  <c r="B24" i="9"/>
  <c r="D23" i="9"/>
  <c r="C23" i="9"/>
  <c r="I76" i="7"/>
  <c r="C76" i="7"/>
  <c r="D76" i="7" l="1"/>
  <c r="E76" i="7" s="1"/>
  <c r="E23" i="9"/>
  <c r="J23" i="9"/>
  <c r="F23" i="9" s="1"/>
  <c r="G23" i="9" s="1"/>
  <c r="V24" i="9"/>
  <c r="S24" i="9" s="1"/>
  <c r="T23" i="9"/>
  <c r="U23" i="9" s="1"/>
  <c r="G23" i="7"/>
  <c r="F24" i="7" s="1"/>
  <c r="B77" i="7"/>
  <c r="A25" i="9"/>
  <c r="B25" i="9"/>
  <c r="R24" i="9"/>
  <c r="C24" i="9"/>
  <c r="D24" i="9"/>
  <c r="I77" i="7"/>
  <c r="C77" i="7"/>
  <c r="J24" i="9" l="1"/>
  <c r="F24" i="9" s="1"/>
  <c r="D77" i="7"/>
  <c r="E77" i="7" s="1"/>
  <c r="T24" i="9"/>
  <c r="U24" i="9" s="1"/>
  <c r="V25" i="9"/>
  <c r="S25" i="9" s="1"/>
  <c r="A26" i="9"/>
  <c r="B78" i="7"/>
  <c r="G24" i="7"/>
  <c r="F25" i="7" s="1"/>
  <c r="E24" i="9"/>
  <c r="G24" i="9" s="1"/>
  <c r="B26" i="9"/>
  <c r="D25" i="9"/>
  <c r="C25" i="9"/>
  <c r="R25" i="9"/>
  <c r="C78" i="7"/>
  <c r="I78" i="7"/>
  <c r="T25" i="9" l="1"/>
  <c r="U25" i="9" s="1"/>
  <c r="D78" i="7"/>
  <c r="E78" i="7" s="1"/>
  <c r="J25" i="9"/>
  <c r="F25" i="9" s="1"/>
  <c r="V26" i="9"/>
  <c r="S26" i="9" s="1"/>
  <c r="G25" i="7"/>
  <c r="F26" i="7" s="1"/>
  <c r="E25" i="9"/>
  <c r="G25" i="9" s="1"/>
  <c r="B79" i="7"/>
  <c r="A27" i="9"/>
  <c r="R26" i="9"/>
  <c r="C26" i="9"/>
  <c r="D26" i="9"/>
  <c r="B27" i="9"/>
  <c r="I79" i="7"/>
  <c r="C79" i="7"/>
  <c r="V27" i="9" l="1"/>
  <c r="S27" i="9" s="1"/>
  <c r="J26" i="9"/>
  <c r="F26" i="9" s="1"/>
  <c r="T26" i="9"/>
  <c r="U26" i="9" s="1"/>
  <c r="D79" i="7"/>
  <c r="E79" i="7" s="1"/>
  <c r="G26" i="7"/>
  <c r="F27" i="7" s="1"/>
  <c r="E26" i="9"/>
  <c r="A28" i="9"/>
  <c r="B80" i="7"/>
  <c r="B28" i="9"/>
  <c r="D27" i="9"/>
  <c r="C27" i="9"/>
  <c r="R27" i="9"/>
  <c r="C80" i="7"/>
  <c r="I80" i="7"/>
  <c r="T27" i="9" l="1"/>
  <c r="U27" i="9" s="1"/>
  <c r="D80" i="7"/>
  <c r="E80" i="7" s="1"/>
  <c r="E27" i="9"/>
  <c r="J27" i="9"/>
  <c r="F27" i="9" s="1"/>
  <c r="G27" i="9" s="1"/>
  <c r="V28" i="9"/>
  <c r="S28" i="9" s="1"/>
  <c r="G26" i="9"/>
  <c r="G27" i="7"/>
  <c r="F28" i="7" s="1"/>
  <c r="B81" i="7"/>
  <c r="A29" i="9"/>
  <c r="B29" i="9"/>
  <c r="C28" i="9"/>
  <c r="D28" i="9"/>
  <c r="R28" i="9"/>
  <c r="C81" i="7"/>
  <c r="I81" i="7"/>
  <c r="T28" i="9" l="1"/>
  <c r="U28" i="9" s="1"/>
  <c r="J28" i="9"/>
  <c r="F28" i="9" s="1"/>
  <c r="E28" i="9"/>
  <c r="D81" i="7"/>
  <c r="E81" i="7" s="1"/>
  <c r="V29" i="9"/>
  <c r="S29" i="9" s="1"/>
  <c r="G28" i="7"/>
  <c r="F29" i="7" s="1"/>
  <c r="B82" i="7"/>
  <c r="A30" i="9"/>
  <c r="G28" i="9"/>
  <c r="B30" i="9"/>
  <c r="R29" i="9"/>
  <c r="D29" i="9"/>
  <c r="C29" i="9"/>
  <c r="I82" i="7"/>
  <c r="C82" i="7"/>
  <c r="E29" i="9" l="1"/>
  <c r="J29" i="9"/>
  <c r="F29" i="9" s="1"/>
  <c r="D82" i="7"/>
  <c r="E82" i="7" s="1"/>
  <c r="T29" i="9"/>
  <c r="U29" i="9" s="1"/>
  <c r="V30" i="9"/>
  <c r="S30" i="9" s="1"/>
  <c r="G29" i="7"/>
  <c r="F30" i="7" s="1"/>
  <c r="A31" i="9"/>
  <c r="B83" i="7"/>
  <c r="G29" i="9"/>
  <c r="B31" i="9"/>
  <c r="C30" i="9"/>
  <c r="R30" i="9"/>
  <c r="D30" i="9"/>
  <c r="C83" i="7"/>
  <c r="I83" i="7"/>
  <c r="J30" i="9" l="1"/>
  <c r="F30" i="9" s="1"/>
  <c r="T30" i="9"/>
  <c r="U30" i="9" s="1"/>
  <c r="E30" i="9"/>
  <c r="V31" i="9"/>
  <c r="S31" i="9" s="1"/>
  <c r="D83" i="7"/>
  <c r="E83" i="7" s="1"/>
  <c r="B84" i="7"/>
  <c r="A32" i="9"/>
  <c r="G30" i="7"/>
  <c r="F31" i="7" s="1"/>
  <c r="C31" i="9"/>
  <c r="B32" i="9"/>
  <c r="R31" i="9"/>
  <c r="D31" i="9"/>
  <c r="C84" i="7"/>
  <c r="I84" i="7"/>
  <c r="J31" i="9" l="1"/>
  <c r="F31" i="9" s="1"/>
  <c r="T31" i="9"/>
  <c r="U31" i="9" s="1"/>
  <c r="V32" i="9"/>
  <c r="S32" i="9" s="1"/>
  <c r="D84" i="7"/>
  <c r="E84" i="7" s="1"/>
  <c r="E31" i="9"/>
  <c r="G30" i="9"/>
  <c r="A33" i="9"/>
  <c r="G31" i="7"/>
  <c r="F32" i="7" s="1"/>
  <c r="G31" i="9"/>
  <c r="B85" i="7"/>
  <c r="C32" i="9"/>
  <c r="B33" i="9"/>
  <c r="D32" i="9"/>
  <c r="R32" i="9"/>
  <c r="I85" i="7"/>
  <c r="C85" i="7"/>
  <c r="T32" i="9" l="1"/>
  <c r="U32" i="9" s="1"/>
  <c r="J32" i="9"/>
  <c r="F32" i="9" s="1"/>
  <c r="V33" i="9"/>
  <c r="S33" i="9" s="1"/>
  <c r="D85" i="7"/>
  <c r="E85" i="7" s="1"/>
  <c r="G32" i="7"/>
  <c r="F33" i="7" s="1"/>
  <c r="B86" i="7"/>
  <c r="E32" i="9"/>
  <c r="G32" i="9" s="1"/>
  <c r="A34" i="9"/>
  <c r="C33" i="9"/>
  <c r="R33" i="9"/>
  <c r="B34" i="9"/>
  <c r="D33" i="9"/>
  <c r="I86" i="7"/>
  <c r="C86" i="7"/>
  <c r="J33" i="9" l="1"/>
  <c r="F33" i="9" s="1"/>
  <c r="V34" i="9"/>
  <c r="S34" i="9" s="1"/>
  <c r="T33" i="9"/>
  <c r="U33" i="9" s="1"/>
  <c r="D86" i="7"/>
  <c r="E86" i="7" s="1"/>
  <c r="G33" i="7"/>
  <c r="F34" i="7" s="1"/>
  <c r="E33" i="9"/>
  <c r="G33" i="9" s="1"/>
  <c r="B87" i="7"/>
  <c r="A35" i="9"/>
  <c r="R34" i="9"/>
  <c r="D34" i="9"/>
  <c r="B35" i="9"/>
  <c r="C34" i="9"/>
  <c r="I87" i="7"/>
  <c r="C87" i="7"/>
  <c r="E34" i="9" l="1"/>
  <c r="V35" i="9"/>
  <c r="S35" i="9" s="1"/>
  <c r="J34" i="9"/>
  <c r="F34" i="9" s="1"/>
  <c r="G34" i="9" s="1"/>
  <c r="T34" i="9"/>
  <c r="U34" i="9" s="1"/>
  <c r="D87" i="7"/>
  <c r="A36" i="9"/>
  <c r="G34" i="7"/>
  <c r="F35" i="7" s="1"/>
  <c r="B88" i="7"/>
  <c r="E87" i="7"/>
  <c r="R35" i="9"/>
  <c r="B36" i="9"/>
  <c r="D35" i="9"/>
  <c r="C35" i="9"/>
  <c r="I88" i="7"/>
  <c r="C88" i="7"/>
  <c r="D88" i="7" l="1"/>
  <c r="J35" i="9"/>
  <c r="F35" i="9" s="1"/>
  <c r="V36" i="9"/>
  <c r="S36" i="9" s="1"/>
  <c r="T35" i="9"/>
  <c r="U35" i="9" s="1"/>
  <c r="G35" i="7"/>
  <c r="F36" i="7" s="1"/>
  <c r="B89" i="7"/>
  <c r="E88" i="7"/>
  <c r="A37" i="9"/>
  <c r="E35" i="9"/>
  <c r="G35" i="9" s="1"/>
  <c r="D36" i="9"/>
  <c r="C36" i="9"/>
  <c r="R36" i="9"/>
  <c r="B37" i="9"/>
  <c r="I89" i="7"/>
  <c r="C89" i="7"/>
  <c r="V37" i="9" l="1"/>
  <c r="S37" i="9" s="1"/>
  <c r="T36" i="9"/>
  <c r="U36" i="9" s="1"/>
  <c r="D89" i="7"/>
  <c r="E89" i="7" s="1"/>
  <c r="E36" i="9"/>
  <c r="J36" i="9"/>
  <c r="F36" i="9" s="1"/>
  <c r="G36" i="9" s="1"/>
  <c r="B90" i="7"/>
  <c r="A38" i="9"/>
  <c r="G36" i="7"/>
  <c r="F37" i="7" s="1"/>
  <c r="R37" i="9"/>
  <c r="D37" i="9"/>
  <c r="B38" i="9"/>
  <c r="C37" i="9"/>
  <c r="C90" i="7"/>
  <c r="I90" i="7"/>
  <c r="V38" i="9" l="1"/>
  <c r="S38" i="9" s="1"/>
  <c r="D90" i="7"/>
  <c r="E90" i="7" s="1"/>
  <c r="J37" i="9"/>
  <c r="F37" i="9" s="1"/>
  <c r="T37" i="9"/>
  <c r="U37" i="9" s="1"/>
  <c r="G37" i="7"/>
  <c r="F38" i="7" s="1"/>
  <c r="A39" i="9"/>
  <c r="E37" i="9"/>
  <c r="B91" i="7"/>
  <c r="B39" i="9"/>
  <c r="C38" i="9"/>
  <c r="R38" i="9"/>
  <c r="D38" i="9"/>
  <c r="I91" i="7"/>
  <c r="C91" i="7"/>
  <c r="J38" i="9" l="1"/>
  <c r="F38" i="9" s="1"/>
  <c r="T38" i="9"/>
  <c r="U38" i="9" s="1"/>
  <c r="D91" i="7"/>
  <c r="E91" i="7" s="1"/>
  <c r="E38" i="9"/>
  <c r="G38" i="9" s="1"/>
  <c r="V39" i="9"/>
  <c r="S39" i="9" s="1"/>
  <c r="G37" i="9"/>
  <c r="G38" i="7"/>
  <c r="F39" i="7" s="1"/>
  <c r="B92" i="7"/>
  <c r="A40" i="9"/>
  <c r="C39" i="9"/>
  <c r="B40" i="9"/>
  <c r="D39" i="9"/>
  <c r="R39" i="9"/>
  <c r="C92" i="7"/>
  <c r="I92" i="7"/>
  <c r="T39" i="9" l="1"/>
  <c r="U39" i="9" s="1"/>
  <c r="J39" i="9"/>
  <c r="F39" i="9" s="1"/>
  <c r="D92" i="7"/>
  <c r="E92" i="7" s="1"/>
  <c r="V40" i="9"/>
  <c r="S40" i="9" s="1"/>
  <c r="B93" i="7"/>
  <c r="A41" i="9"/>
  <c r="G39" i="7"/>
  <c r="F40" i="7" s="1"/>
  <c r="E39" i="9"/>
  <c r="G39" i="9" s="1"/>
  <c r="C40" i="9"/>
  <c r="R40" i="9"/>
  <c r="B41" i="9"/>
  <c r="D40" i="9"/>
  <c r="I93" i="7"/>
  <c r="C93" i="7"/>
  <c r="J40" i="9" l="1"/>
  <c r="F40" i="9" s="1"/>
  <c r="D93" i="7"/>
  <c r="E93" i="7" s="1"/>
  <c r="V41" i="9"/>
  <c r="S41" i="9" s="1"/>
  <c r="T40" i="9"/>
  <c r="U40" i="9" s="1"/>
  <c r="G40" i="7"/>
  <c r="F41" i="7" s="1"/>
  <c r="B94" i="7"/>
  <c r="A42" i="9"/>
  <c r="E40" i="9"/>
  <c r="G40" i="9" s="1"/>
  <c r="C41" i="9"/>
  <c r="R41" i="9"/>
  <c r="B42" i="9"/>
  <c r="D41" i="9"/>
  <c r="C94" i="7"/>
  <c r="I94" i="7"/>
  <c r="J41" i="9" l="1"/>
  <c r="F41" i="9" s="1"/>
  <c r="V42" i="9"/>
  <c r="S42" i="9" s="1"/>
  <c r="T41" i="9"/>
  <c r="U41" i="9" s="1"/>
  <c r="E41" i="9"/>
  <c r="D94" i="7"/>
  <c r="G41" i="7"/>
  <c r="F42" i="7" s="1"/>
  <c r="A43" i="9"/>
  <c r="B95" i="7"/>
  <c r="E94" i="7"/>
  <c r="G41" i="9"/>
  <c r="R42" i="9"/>
  <c r="D42" i="9"/>
  <c r="B43" i="9"/>
  <c r="C42" i="9"/>
  <c r="C95" i="7"/>
  <c r="I95" i="7"/>
  <c r="D95" i="7" l="1"/>
  <c r="V43" i="9"/>
  <c r="S43" i="9" s="1"/>
  <c r="J42" i="9"/>
  <c r="F42" i="9" s="1"/>
  <c r="T42" i="9"/>
  <c r="U42" i="9" s="1"/>
  <c r="E42" i="9"/>
  <c r="G42" i="9" s="1"/>
  <c r="G42" i="7"/>
  <c r="F43" i="7" s="1"/>
  <c r="B96" i="7"/>
  <c r="E95" i="7"/>
  <c r="A44" i="9"/>
  <c r="C43" i="9"/>
  <c r="B44" i="9"/>
  <c r="R43" i="9"/>
  <c r="D43" i="9"/>
  <c r="C96" i="7"/>
  <c r="I96" i="7"/>
  <c r="J43" i="9" l="1"/>
  <c r="F43" i="9" s="1"/>
  <c r="T43" i="9"/>
  <c r="U43" i="9" s="1"/>
  <c r="D96" i="7"/>
  <c r="E96" i="7" s="1"/>
  <c r="V44" i="9"/>
  <c r="S44" i="9" s="1"/>
  <c r="B97" i="7"/>
  <c r="E43" i="9"/>
  <c r="G43" i="9" s="1"/>
  <c r="G43" i="7"/>
  <c r="F44" i="7" s="1"/>
  <c r="A45" i="9"/>
  <c r="R44" i="9"/>
  <c r="D44" i="9"/>
  <c r="C44" i="9"/>
  <c r="B45" i="9"/>
  <c r="I97" i="7"/>
  <c r="C97" i="7"/>
  <c r="V45" i="9" l="1"/>
  <c r="S45" i="9" s="1"/>
  <c r="D97" i="7"/>
  <c r="E97" i="7" s="1"/>
  <c r="E44" i="9"/>
  <c r="G44" i="9" s="1"/>
  <c r="J44" i="9"/>
  <c r="F44" i="9" s="1"/>
  <c r="T44" i="9"/>
  <c r="U44" i="9" s="1"/>
  <c r="A46" i="9"/>
  <c r="G44" i="7"/>
  <c r="F45" i="7" s="1"/>
  <c r="B98" i="7"/>
  <c r="B46" i="9"/>
  <c r="C45" i="9"/>
  <c r="R45" i="9"/>
  <c r="D45" i="9"/>
  <c r="I98" i="7"/>
  <c r="C98" i="7"/>
  <c r="D98" i="7" l="1"/>
  <c r="J45" i="9"/>
  <c r="F45" i="9" s="1"/>
  <c r="T45" i="9"/>
  <c r="U45" i="9" s="1"/>
  <c r="E45" i="9"/>
  <c r="G45" i="9" s="1"/>
  <c r="V46" i="9"/>
  <c r="S46" i="9" s="1"/>
  <c r="G45" i="7"/>
  <c r="F46" i="7" s="1"/>
  <c r="A47" i="9"/>
  <c r="B99" i="7"/>
  <c r="E98" i="7"/>
  <c r="B47" i="9"/>
  <c r="C46" i="9"/>
  <c r="R46" i="9"/>
  <c r="D46" i="9"/>
  <c r="I99" i="7"/>
  <c r="C99" i="7"/>
  <c r="D99" i="7" l="1"/>
  <c r="J46" i="9"/>
  <c r="F46" i="9" s="1"/>
  <c r="T46" i="9"/>
  <c r="U46" i="9" s="1"/>
  <c r="E46" i="9"/>
  <c r="G46" i="9" s="1"/>
  <c r="V47" i="9"/>
  <c r="S47" i="9" s="1"/>
  <c r="G46" i="7"/>
  <c r="F47" i="7" s="1"/>
  <c r="A48" i="9"/>
  <c r="B100" i="7"/>
  <c r="E99" i="7"/>
  <c r="B48" i="9"/>
  <c r="C47" i="9"/>
  <c r="R47" i="9"/>
  <c r="D47" i="9"/>
  <c r="I100" i="7"/>
  <c r="C100" i="7"/>
  <c r="J47" i="9" l="1"/>
  <c r="F47" i="9" s="1"/>
  <c r="T47" i="9"/>
  <c r="U47" i="9" s="1"/>
  <c r="D100" i="7"/>
  <c r="E100" i="7" s="1"/>
  <c r="E47" i="9"/>
  <c r="G47" i="9" s="1"/>
  <c r="V48" i="9"/>
  <c r="S48" i="9" s="1"/>
  <c r="B101" i="7"/>
  <c r="A49" i="9"/>
  <c r="G47" i="7"/>
  <c r="F48" i="7" s="1"/>
  <c r="B49" i="9"/>
  <c r="R48" i="9"/>
  <c r="C48" i="9"/>
  <c r="D48" i="9"/>
  <c r="I101" i="7"/>
  <c r="C101" i="7"/>
  <c r="J48" i="9" l="1"/>
  <c r="F48" i="9" s="1"/>
  <c r="E48" i="9"/>
  <c r="T48" i="9"/>
  <c r="U48" i="9" s="1"/>
  <c r="D101" i="7"/>
  <c r="E101" i="7" s="1"/>
  <c r="V49" i="9"/>
  <c r="S49" i="9" s="1"/>
  <c r="G48" i="7"/>
  <c r="F49" i="7"/>
  <c r="A50" i="9"/>
  <c r="G48" i="9"/>
  <c r="B102" i="7"/>
  <c r="B50" i="9"/>
  <c r="C49" i="9"/>
  <c r="D49" i="9"/>
  <c r="R49" i="9"/>
  <c r="I102" i="7"/>
  <c r="C102" i="7"/>
  <c r="D102" i="7" l="1"/>
  <c r="T49" i="9"/>
  <c r="U49" i="9" s="1"/>
  <c r="J49" i="9"/>
  <c r="F49" i="9" s="1"/>
  <c r="V50" i="9"/>
  <c r="S50" i="9" s="1"/>
  <c r="A51" i="9"/>
  <c r="E49" i="9"/>
  <c r="G49" i="9" s="1"/>
  <c r="B103" i="7"/>
  <c r="E102" i="7"/>
  <c r="G49" i="7"/>
  <c r="F50" i="7" s="1"/>
  <c r="B51" i="9"/>
  <c r="C50" i="9"/>
  <c r="R50" i="9"/>
  <c r="D50" i="9"/>
  <c r="C103" i="7"/>
  <c r="I103" i="7"/>
  <c r="J50" i="9" l="1"/>
  <c r="F50" i="9" s="1"/>
  <c r="T50" i="9"/>
  <c r="U50" i="9" s="1"/>
  <c r="D103" i="7"/>
  <c r="E103" i="7" s="1"/>
  <c r="E50" i="9"/>
  <c r="G50" i="9" s="1"/>
  <c r="V51" i="9"/>
  <c r="S51" i="9" s="1"/>
  <c r="A52" i="9"/>
  <c r="G50" i="7"/>
  <c r="F51" i="7" s="1"/>
  <c r="B104" i="7"/>
  <c r="B52" i="9"/>
  <c r="R51" i="9"/>
  <c r="D51" i="9"/>
  <c r="C51" i="9"/>
  <c r="C104" i="7"/>
  <c r="I104" i="7"/>
  <c r="D104" i="7" l="1"/>
  <c r="J51" i="9"/>
  <c r="F51" i="9" s="1"/>
  <c r="T51" i="9"/>
  <c r="U51" i="9" s="1"/>
  <c r="V52" i="9"/>
  <c r="S52" i="9" s="1"/>
  <c r="G51" i="7"/>
  <c r="F52" i="7" s="1"/>
  <c r="A53" i="9"/>
  <c r="B105" i="7"/>
  <c r="E104" i="7"/>
  <c r="E51" i="9"/>
  <c r="G51" i="9" s="1"/>
  <c r="C52" i="9"/>
  <c r="D52" i="9"/>
  <c r="B53" i="9"/>
  <c r="R52" i="9"/>
  <c r="I105" i="7"/>
  <c r="C105" i="7"/>
  <c r="T52" i="9" l="1"/>
  <c r="U52" i="9" s="1"/>
  <c r="V53" i="9"/>
  <c r="S53" i="9" s="1"/>
  <c r="J52" i="9"/>
  <c r="F52" i="9" s="1"/>
  <c r="D105" i="7"/>
  <c r="E105" i="7" s="1"/>
  <c r="G52" i="7"/>
  <c r="F53" i="7" s="1"/>
  <c r="A54" i="9"/>
  <c r="B106" i="7"/>
  <c r="E52" i="9"/>
  <c r="D53" i="9"/>
  <c r="B54" i="9"/>
  <c r="C53" i="9"/>
  <c r="R53" i="9"/>
  <c r="I106" i="7"/>
  <c r="C106" i="7"/>
  <c r="T53" i="9" l="1"/>
  <c r="U53" i="9" s="1"/>
  <c r="V54" i="9"/>
  <c r="S54" i="9" s="1"/>
  <c r="D106" i="7"/>
  <c r="E106" i="7" s="1"/>
  <c r="J53" i="9"/>
  <c r="F53" i="9" s="1"/>
  <c r="G52" i="9"/>
  <c r="G53" i="7"/>
  <c r="F54" i="7" s="1"/>
  <c r="B107" i="7"/>
  <c r="A55" i="9"/>
  <c r="E53" i="9"/>
  <c r="G53" i="9" s="1"/>
  <c r="C54" i="9"/>
  <c r="R54" i="9"/>
  <c r="B55" i="9"/>
  <c r="D54" i="9"/>
  <c r="C107" i="7"/>
  <c r="I107" i="7"/>
  <c r="J54" i="9" l="1"/>
  <c r="F54" i="9" s="1"/>
  <c r="V55" i="9"/>
  <c r="S55" i="9" s="1"/>
  <c r="T54" i="9"/>
  <c r="U54" i="9" s="1"/>
  <c r="D107" i="7"/>
  <c r="E107" i="7" s="1"/>
  <c r="G54" i="7"/>
  <c r="F55" i="7" s="1"/>
  <c r="A56" i="9"/>
  <c r="B108" i="7"/>
  <c r="E54" i="9"/>
  <c r="G54" i="9" s="1"/>
  <c r="D55" i="9"/>
  <c r="C55" i="9"/>
  <c r="B56" i="9"/>
  <c r="R55" i="9"/>
  <c r="I108" i="7"/>
  <c r="C108" i="7"/>
  <c r="T55" i="9" l="1"/>
  <c r="U55" i="9" s="1"/>
  <c r="V56" i="9"/>
  <c r="S56" i="9" s="1"/>
  <c r="D108" i="7"/>
  <c r="E108" i="7" s="1"/>
  <c r="E55" i="9"/>
  <c r="J55" i="9"/>
  <c r="F55" i="9" s="1"/>
  <c r="G55" i="9" s="1"/>
  <c r="B109" i="7"/>
  <c r="G55" i="7"/>
  <c r="F56" i="7" s="1"/>
  <c r="A57" i="9"/>
  <c r="C56" i="9"/>
  <c r="R56" i="9"/>
  <c r="B57" i="9"/>
  <c r="D56" i="9"/>
  <c r="I109" i="7"/>
  <c r="C109" i="7"/>
  <c r="D109" i="7" l="1"/>
  <c r="E109" i="7" s="1"/>
  <c r="J56" i="9"/>
  <c r="F56" i="9" s="1"/>
  <c r="V57" i="9"/>
  <c r="S57" i="9" s="1"/>
  <c r="T56" i="9"/>
  <c r="U56" i="9" s="1"/>
  <c r="E56" i="9"/>
  <c r="A58" i="9"/>
  <c r="G56" i="7"/>
  <c r="F57" i="7" s="1"/>
  <c r="G56" i="9"/>
  <c r="B110" i="7"/>
  <c r="R57" i="9"/>
  <c r="D57" i="9"/>
  <c r="B58" i="9"/>
  <c r="C57" i="9"/>
  <c r="C110" i="7"/>
  <c r="I110" i="7"/>
  <c r="V58" i="9" l="1"/>
  <c r="S58" i="9" s="1"/>
  <c r="J57" i="9"/>
  <c r="F57" i="9" s="1"/>
  <c r="D110" i="7"/>
  <c r="E110" i="7" s="1"/>
  <c r="T57" i="9"/>
  <c r="U57" i="9" s="1"/>
  <c r="G57" i="7"/>
  <c r="F58" i="7" s="1"/>
  <c r="E57" i="9"/>
  <c r="G57" i="9"/>
  <c r="B111" i="7"/>
  <c r="A59" i="9"/>
  <c r="B59" i="9"/>
  <c r="R58" i="9"/>
  <c r="D58" i="9"/>
  <c r="C58" i="9"/>
  <c r="I111" i="7"/>
  <c r="C111" i="7"/>
  <c r="J58" i="9" l="1"/>
  <c r="F58" i="9" s="1"/>
  <c r="T58" i="9"/>
  <c r="U58" i="9" s="1"/>
  <c r="D111" i="7"/>
  <c r="E111" i="7" s="1"/>
  <c r="V59" i="9"/>
  <c r="S59" i="9" s="1"/>
  <c r="G58" i="7"/>
  <c r="F59" i="7" s="1"/>
  <c r="E58" i="9"/>
  <c r="G58" i="9" s="1"/>
  <c r="A60" i="9"/>
  <c r="B112" i="7"/>
  <c r="C112" i="7" s="1"/>
  <c r="D112" i="7" s="1"/>
  <c r="E112" i="7" s="1"/>
  <c r="D59" i="9"/>
  <c r="B60" i="9"/>
  <c r="R59" i="9"/>
  <c r="C59" i="9"/>
  <c r="E59" i="9" l="1"/>
  <c r="T59" i="9"/>
  <c r="U59" i="9" s="1"/>
  <c r="V60" i="9"/>
  <c r="S60" i="9" s="1"/>
  <c r="J59" i="9"/>
  <c r="F59" i="9" s="1"/>
  <c r="G59" i="7"/>
  <c r="F60" i="7" s="1"/>
  <c r="A61" i="9"/>
  <c r="G59" i="9"/>
  <c r="R60" i="9"/>
  <c r="D60" i="9"/>
  <c r="B61" i="9"/>
  <c r="C60" i="9"/>
  <c r="E60" i="9" l="1"/>
  <c r="V61" i="9"/>
  <c r="S61" i="9" s="1"/>
  <c r="J60" i="9"/>
  <c r="F60" i="9" s="1"/>
  <c r="G60" i="9" s="1"/>
  <c r="T60" i="9"/>
  <c r="U60" i="9" s="1"/>
  <c r="G60" i="7"/>
  <c r="F61" i="7" s="1"/>
  <c r="A62" i="9"/>
  <c r="C61" i="9"/>
  <c r="B62" i="9"/>
  <c r="R61" i="9"/>
  <c r="D61" i="9"/>
  <c r="J61" i="9" l="1"/>
  <c r="F61" i="9" s="1"/>
  <c r="T61" i="9"/>
  <c r="U61" i="9" s="1"/>
  <c r="V62" i="9"/>
  <c r="S62" i="9" s="1"/>
  <c r="A63" i="9"/>
  <c r="G61" i="7"/>
  <c r="F62" i="7" s="1"/>
  <c r="E61" i="9"/>
  <c r="G61" i="9" s="1"/>
  <c r="R62" i="9"/>
  <c r="B63" i="9"/>
  <c r="C62" i="9"/>
  <c r="D62" i="9"/>
  <c r="J62" i="9" l="1"/>
  <c r="F62" i="9" s="1"/>
  <c r="V63" i="9"/>
  <c r="S63" i="9" s="1"/>
  <c r="T62" i="9"/>
  <c r="U62" i="9" s="1"/>
  <c r="G62" i="7"/>
  <c r="F63" i="7" s="1"/>
  <c r="A64" i="9"/>
  <c r="E62" i="9"/>
  <c r="G62" i="9" s="1"/>
  <c r="D63" i="9"/>
  <c r="R63" i="9"/>
  <c r="C63" i="9"/>
  <c r="B64" i="9"/>
  <c r="V64" i="9" l="1"/>
  <c r="S64" i="9" s="1"/>
  <c r="E63" i="9"/>
  <c r="G63" i="9" s="1"/>
  <c r="T63" i="9"/>
  <c r="U63" i="9" s="1"/>
  <c r="J63" i="9"/>
  <c r="F63" i="9" s="1"/>
  <c r="A65" i="9"/>
  <c r="G63" i="7"/>
  <c r="F64" i="7" s="1"/>
  <c r="R64" i="9"/>
  <c r="C64" i="9"/>
  <c r="B65" i="9"/>
  <c r="D64" i="9"/>
  <c r="J64" i="9" l="1"/>
  <c r="F64" i="9" s="1"/>
  <c r="V65" i="9"/>
  <c r="S65" i="9" s="1"/>
  <c r="T64" i="9"/>
  <c r="U64" i="9" s="1"/>
  <c r="G64" i="7"/>
  <c r="F65" i="7" s="1"/>
  <c r="E64" i="9"/>
  <c r="G64" i="9" s="1"/>
  <c r="A66" i="9"/>
  <c r="D65" i="9"/>
  <c r="B66" i="9"/>
  <c r="C65" i="9"/>
  <c r="R65" i="9"/>
  <c r="T65" i="9" l="1"/>
  <c r="U65" i="9" s="1"/>
  <c r="E65" i="9"/>
  <c r="V66" i="9"/>
  <c r="S66" i="9" s="1"/>
  <c r="J65" i="9"/>
  <c r="F65" i="9" s="1"/>
  <c r="G65" i="7"/>
  <c r="F66" i="7" s="1"/>
  <c r="G65" i="9"/>
  <c r="A67" i="9"/>
  <c r="R66" i="9"/>
  <c r="B67" i="9"/>
  <c r="C66" i="9"/>
  <c r="D66" i="9"/>
  <c r="J66" i="9" l="1"/>
  <c r="F66" i="9" s="1"/>
  <c r="E66" i="9"/>
  <c r="V67" i="9"/>
  <c r="S67" i="9" s="1"/>
  <c r="T66" i="9"/>
  <c r="U66" i="9" s="1"/>
  <c r="G66" i="7"/>
  <c r="F67" i="7" s="1"/>
  <c r="A68" i="9"/>
  <c r="G66" i="9"/>
  <c r="R67" i="9"/>
  <c r="B68" i="9"/>
  <c r="C67" i="9"/>
  <c r="D67" i="9"/>
  <c r="J67" i="9" l="1"/>
  <c r="F67" i="9" s="1"/>
  <c r="E67" i="9"/>
  <c r="G67" i="9" s="1"/>
  <c r="V68" i="9"/>
  <c r="S68" i="9" s="1"/>
  <c r="T67" i="9"/>
  <c r="U67" i="9" s="1"/>
  <c r="G67" i="7"/>
  <c r="F68" i="7" s="1"/>
  <c r="A69" i="9"/>
  <c r="R68" i="9"/>
  <c r="D68" i="9"/>
  <c r="C68" i="9"/>
  <c r="B69" i="9"/>
  <c r="V69" i="9" l="1"/>
  <c r="S69" i="9" s="1"/>
  <c r="E68" i="9"/>
  <c r="J68" i="9"/>
  <c r="F68" i="9" s="1"/>
  <c r="G68" i="9" s="1"/>
  <c r="T68" i="9"/>
  <c r="U68" i="9" s="1"/>
  <c r="G68" i="7"/>
  <c r="F69" i="7" s="1"/>
  <c r="A70" i="9"/>
  <c r="B70" i="9"/>
  <c r="C69" i="9"/>
  <c r="D69" i="9"/>
  <c r="R69" i="9"/>
  <c r="T69" i="9" l="1"/>
  <c r="U69" i="9" s="1"/>
  <c r="J69" i="9"/>
  <c r="F69" i="9" s="1"/>
  <c r="V70" i="9"/>
  <c r="S70" i="9" s="1"/>
  <c r="G69" i="7"/>
  <c r="F70" i="7" s="1"/>
  <c r="A71" i="9"/>
  <c r="E69" i="9"/>
  <c r="G69" i="9" s="1"/>
  <c r="R70" i="9"/>
  <c r="C70" i="9"/>
  <c r="D70" i="9"/>
  <c r="B71" i="9"/>
  <c r="V71" i="9" l="1"/>
  <c r="S71" i="9" s="1"/>
  <c r="J70" i="9"/>
  <c r="F70" i="9" s="1"/>
  <c r="T70" i="9"/>
  <c r="U70" i="9" s="1"/>
  <c r="A72" i="9"/>
  <c r="G70" i="7"/>
  <c r="F71" i="7" s="1"/>
  <c r="E70" i="9"/>
  <c r="G70" i="9" s="1"/>
  <c r="C71" i="9"/>
  <c r="B72" i="9"/>
  <c r="D71" i="9"/>
  <c r="R71" i="9"/>
  <c r="T71" i="9" l="1"/>
  <c r="U71" i="9" s="1"/>
  <c r="J71" i="9"/>
  <c r="F71" i="9" s="1"/>
  <c r="V72" i="9"/>
  <c r="S72" i="9" s="1"/>
  <c r="G71" i="7"/>
  <c r="F72" i="7" s="1"/>
  <c r="A73" i="9"/>
  <c r="E71" i="9"/>
  <c r="G71" i="9" s="1"/>
  <c r="C72" i="9"/>
  <c r="R72" i="9"/>
  <c r="B73" i="9"/>
  <c r="D72" i="9"/>
  <c r="J72" i="9" l="1"/>
  <c r="F72" i="9" s="1"/>
  <c r="V73" i="9"/>
  <c r="S73" i="9" s="1"/>
  <c r="T72" i="9"/>
  <c r="U72" i="9" s="1"/>
  <c r="G72" i="7"/>
  <c r="F73" i="7" s="1"/>
  <c r="E72" i="9"/>
  <c r="G72" i="9" s="1"/>
  <c r="A74" i="9"/>
  <c r="D73" i="9"/>
  <c r="B74" i="9"/>
  <c r="C73" i="9"/>
  <c r="R73" i="9"/>
  <c r="T73" i="9" l="1"/>
  <c r="U73" i="9" s="1"/>
  <c r="E73" i="9"/>
  <c r="V74" i="9"/>
  <c r="S74" i="9" s="1"/>
  <c r="J73" i="9"/>
  <c r="F73" i="9" s="1"/>
  <c r="G73" i="7"/>
  <c r="F74" i="7" s="1"/>
  <c r="A75" i="9"/>
  <c r="G73" i="9"/>
  <c r="C74" i="9"/>
  <c r="R74" i="9"/>
  <c r="D74" i="9"/>
  <c r="B75" i="9"/>
  <c r="V75" i="9" l="1"/>
  <c r="S75" i="9" s="1"/>
  <c r="J74" i="9"/>
  <c r="F74" i="9" s="1"/>
  <c r="G74" i="9" s="1"/>
  <c r="T74" i="9"/>
  <c r="U74" i="9" s="1"/>
  <c r="E74" i="9"/>
  <c r="A76" i="9"/>
  <c r="G74" i="7"/>
  <c r="F75" i="7" s="1"/>
  <c r="D75" i="9"/>
  <c r="B76" i="9"/>
  <c r="R75" i="9"/>
  <c r="C75" i="9"/>
  <c r="T75" i="9" l="1"/>
  <c r="U75" i="9" s="1"/>
  <c r="V76" i="9"/>
  <c r="S76" i="9" s="1"/>
  <c r="J75" i="9"/>
  <c r="F75" i="9" s="1"/>
  <c r="E75" i="9"/>
  <c r="G75" i="7"/>
  <c r="F76" i="7" s="1"/>
  <c r="A77" i="9"/>
  <c r="C76" i="9"/>
  <c r="R76" i="9"/>
  <c r="B77" i="9"/>
  <c r="D76" i="9"/>
  <c r="J76" i="9" l="1"/>
  <c r="F76" i="9" s="1"/>
  <c r="V77" i="9"/>
  <c r="S77" i="9" s="1"/>
  <c r="T76" i="9"/>
  <c r="U76" i="9" s="1"/>
  <c r="E76" i="9"/>
  <c r="G75" i="9"/>
  <c r="G76" i="7"/>
  <c r="F77" i="7" s="1"/>
  <c r="A78" i="9"/>
  <c r="G76" i="9"/>
  <c r="R77" i="9"/>
  <c r="D77" i="9"/>
  <c r="B78" i="9"/>
  <c r="C77" i="9"/>
  <c r="E77" i="9" l="1"/>
  <c r="V78" i="9"/>
  <c r="S78" i="9" s="1"/>
  <c r="J77" i="9"/>
  <c r="F77" i="9" s="1"/>
  <c r="G77" i="9" s="1"/>
  <c r="T77" i="9"/>
  <c r="U77" i="9" s="1"/>
  <c r="G77" i="7"/>
  <c r="F78" i="7" s="1"/>
  <c r="A79" i="9"/>
  <c r="R78" i="9"/>
  <c r="B79" i="9"/>
  <c r="D78" i="9"/>
  <c r="C78" i="9"/>
  <c r="E78" i="9" l="1"/>
  <c r="J78" i="9"/>
  <c r="F78" i="9" s="1"/>
  <c r="V79" i="9"/>
  <c r="S79" i="9" s="1"/>
  <c r="T78" i="9"/>
  <c r="U78" i="9" s="1"/>
  <c r="G78" i="7"/>
  <c r="F79" i="7" s="1"/>
  <c r="A80" i="9"/>
  <c r="G78" i="9"/>
  <c r="R79" i="9"/>
  <c r="C79" i="9"/>
  <c r="D79" i="9"/>
  <c r="B80" i="9"/>
  <c r="V80" i="9" l="1"/>
  <c r="S80" i="9" s="1"/>
  <c r="J79" i="9"/>
  <c r="F79" i="9" s="1"/>
  <c r="T79" i="9"/>
  <c r="U79" i="9" s="1"/>
  <c r="A81" i="9"/>
  <c r="G79" i="7"/>
  <c r="F80" i="7" s="1"/>
  <c r="E79" i="9"/>
  <c r="G79" i="9" s="1"/>
  <c r="C80" i="9"/>
  <c r="R80" i="9"/>
  <c r="B81" i="9"/>
  <c r="D80" i="9"/>
  <c r="J80" i="9" l="1"/>
  <c r="F80" i="9" s="1"/>
  <c r="V81" i="9"/>
  <c r="S81" i="9" s="1"/>
  <c r="T80" i="9"/>
  <c r="U80" i="9" s="1"/>
  <c r="G80" i="7"/>
  <c r="F81" i="7" s="1"/>
  <c r="E80" i="9"/>
  <c r="G80" i="9" s="1"/>
  <c r="A82" i="9"/>
  <c r="R81" i="9"/>
  <c r="D81" i="9"/>
  <c r="C81" i="9"/>
  <c r="B82" i="9"/>
  <c r="V82" i="9" l="1"/>
  <c r="S82" i="9" s="1"/>
  <c r="J81" i="9"/>
  <c r="F81" i="9" s="1"/>
  <c r="T81" i="9"/>
  <c r="U81" i="9" s="1"/>
  <c r="G81" i="7"/>
  <c r="F82" i="7" s="1"/>
  <c r="E81" i="9"/>
  <c r="A83" i="9"/>
  <c r="C82" i="9"/>
  <c r="B83" i="9"/>
  <c r="R82" i="9"/>
  <c r="D82" i="9"/>
  <c r="J82" i="9" l="1"/>
  <c r="F82" i="9" s="1"/>
  <c r="T82" i="9"/>
  <c r="U82" i="9" s="1"/>
  <c r="V83" i="9"/>
  <c r="S83" i="9" s="1"/>
  <c r="E82" i="9"/>
  <c r="G81" i="9"/>
  <c r="G82" i="7"/>
  <c r="F83" i="7" s="1"/>
  <c r="G82" i="9"/>
  <c r="A84" i="9"/>
  <c r="D83" i="9"/>
  <c r="R83" i="9"/>
  <c r="C83" i="9"/>
  <c r="B84" i="9"/>
  <c r="V84" i="9" l="1"/>
  <c r="S84" i="9" s="1"/>
  <c r="T83" i="9"/>
  <c r="U83" i="9" s="1"/>
  <c r="J83" i="9"/>
  <c r="F83" i="9" s="1"/>
  <c r="G83" i="7"/>
  <c r="F84" i="7" s="1"/>
  <c r="A85" i="9"/>
  <c r="E83" i="9"/>
  <c r="B85" i="9"/>
  <c r="R84" i="9"/>
  <c r="D84" i="9"/>
  <c r="C84" i="9"/>
  <c r="E84" i="9" l="1"/>
  <c r="J84" i="9"/>
  <c r="F84" i="9" s="1"/>
  <c r="T84" i="9"/>
  <c r="U84" i="9" s="1"/>
  <c r="V85" i="9"/>
  <c r="S85" i="9" s="1"/>
  <c r="G83" i="9"/>
  <c r="G84" i="7"/>
  <c r="F85" i="7"/>
  <c r="A86" i="9"/>
  <c r="G84" i="9"/>
  <c r="R85" i="9"/>
  <c r="D85" i="9"/>
  <c r="C85" i="9"/>
  <c r="B86" i="9"/>
  <c r="V86" i="9" l="1"/>
  <c r="S86" i="9" s="1"/>
  <c r="J85" i="9"/>
  <c r="F85" i="9" s="1"/>
  <c r="T85" i="9"/>
  <c r="U85" i="9" s="1"/>
  <c r="G85" i="7"/>
  <c r="F86" i="7" s="1"/>
  <c r="E85" i="9"/>
  <c r="A87" i="9"/>
  <c r="D86" i="9"/>
  <c r="B87" i="9"/>
  <c r="C86" i="9"/>
  <c r="R86" i="9"/>
  <c r="T86" i="9" l="1"/>
  <c r="U86" i="9" s="1"/>
  <c r="V87" i="9"/>
  <c r="S87" i="9" s="1"/>
  <c r="J86" i="9"/>
  <c r="F86" i="9" s="1"/>
  <c r="G86" i="9" s="1"/>
  <c r="G85" i="9"/>
  <c r="G86" i="7"/>
  <c r="F87" i="7" s="1"/>
  <c r="A88" i="9"/>
  <c r="E86" i="9"/>
  <c r="C87" i="9"/>
  <c r="D87" i="9"/>
  <c r="B88" i="9"/>
  <c r="R87" i="9"/>
  <c r="T87" i="9" l="1"/>
  <c r="U87" i="9" s="1"/>
  <c r="V88" i="9"/>
  <c r="S88" i="9" s="1"/>
  <c r="J87" i="9"/>
  <c r="F87" i="9" s="1"/>
  <c r="G87" i="9" s="1"/>
  <c r="E87" i="9"/>
  <c r="A89" i="9"/>
  <c r="G87" i="7"/>
  <c r="F88" i="7" s="1"/>
  <c r="R88" i="9"/>
  <c r="B89" i="9"/>
  <c r="D88" i="9"/>
  <c r="C88" i="9"/>
  <c r="E88" i="9" l="1"/>
  <c r="J88" i="9"/>
  <c r="F88" i="9" s="1"/>
  <c r="G88" i="9" s="1"/>
  <c r="V89" i="9"/>
  <c r="S89" i="9" s="1"/>
  <c r="T88" i="9"/>
  <c r="U88" i="9" s="1"/>
  <c r="G88" i="7"/>
  <c r="F89" i="7" s="1"/>
  <c r="A90" i="9"/>
  <c r="R89" i="9"/>
  <c r="C89" i="9"/>
  <c r="D89" i="9"/>
  <c r="B90" i="9"/>
  <c r="V90" i="9" l="1"/>
  <c r="S90" i="9" s="1"/>
  <c r="J89" i="9"/>
  <c r="F89" i="9" s="1"/>
  <c r="E89" i="9"/>
  <c r="T89" i="9"/>
  <c r="U89" i="9" s="1"/>
  <c r="G89" i="7"/>
  <c r="F90" i="7" s="1"/>
  <c r="A91" i="9"/>
  <c r="C90" i="9"/>
  <c r="R90" i="9"/>
  <c r="B91" i="9"/>
  <c r="D90" i="9"/>
  <c r="J90" i="9" l="1"/>
  <c r="F90" i="9" s="1"/>
  <c r="V91" i="9"/>
  <c r="S91" i="9" s="1"/>
  <c r="T90" i="9"/>
  <c r="U90" i="9" s="1"/>
  <c r="G89" i="9"/>
  <c r="G90" i="7"/>
  <c r="F91" i="7" s="1"/>
  <c r="A92" i="9"/>
  <c r="E90" i="9"/>
  <c r="G90" i="9" s="1"/>
  <c r="D91" i="9"/>
  <c r="R91" i="9"/>
  <c r="B92" i="9"/>
  <c r="C91" i="9"/>
  <c r="E91" i="9" l="1"/>
  <c r="V92" i="9"/>
  <c r="S92" i="9" s="1"/>
  <c r="T91" i="9"/>
  <c r="U91" i="9" s="1"/>
  <c r="J91" i="9"/>
  <c r="F91" i="9" s="1"/>
  <c r="A93" i="9"/>
  <c r="G91" i="7"/>
  <c r="F92" i="7" s="1"/>
  <c r="G91" i="9"/>
  <c r="R92" i="9"/>
  <c r="D92" i="9"/>
  <c r="B93" i="9"/>
  <c r="C92" i="9"/>
  <c r="E92" i="9" l="1"/>
  <c r="V93" i="9"/>
  <c r="S93" i="9" s="1"/>
  <c r="J92" i="9"/>
  <c r="F92" i="9" s="1"/>
  <c r="G92" i="9" s="1"/>
  <c r="T92" i="9"/>
  <c r="U92" i="9" s="1"/>
  <c r="G92" i="7"/>
  <c r="F93" i="7" s="1"/>
  <c r="A94" i="9"/>
  <c r="C93" i="9"/>
  <c r="D93" i="9"/>
  <c r="B94" i="9"/>
  <c r="R93" i="9"/>
  <c r="T93" i="9" l="1"/>
  <c r="U93" i="9" s="1"/>
  <c r="V94" i="9"/>
  <c r="S94" i="9" s="1"/>
  <c r="J93" i="9"/>
  <c r="F93" i="9" s="1"/>
  <c r="E93" i="9"/>
  <c r="A95" i="9"/>
  <c r="G93" i="9"/>
  <c r="G93" i="7"/>
  <c r="F94" i="7" s="1"/>
  <c r="R94" i="9"/>
  <c r="D94" i="9"/>
  <c r="C94" i="9"/>
  <c r="B95" i="9"/>
  <c r="V95" i="9" l="1"/>
  <c r="S95" i="9" s="1"/>
  <c r="E94" i="9"/>
  <c r="J94" i="9"/>
  <c r="F94" i="9" s="1"/>
  <c r="G94" i="9" s="1"/>
  <c r="T94" i="9"/>
  <c r="U94" i="9" s="1"/>
  <c r="G94" i="7"/>
  <c r="F95" i="7" s="1"/>
  <c r="A96" i="9"/>
  <c r="C95" i="9"/>
  <c r="B96" i="9"/>
  <c r="D95" i="9"/>
  <c r="R95" i="9"/>
  <c r="T95" i="9" l="1"/>
  <c r="U95" i="9" s="1"/>
  <c r="J95" i="9"/>
  <c r="F95" i="9" s="1"/>
  <c r="G95" i="9" s="1"/>
  <c r="V96" i="9"/>
  <c r="S96" i="9" s="1"/>
  <c r="E95" i="9"/>
  <c r="A97" i="9"/>
  <c r="G95" i="7"/>
  <c r="F96" i="7" s="1"/>
  <c r="D96" i="9"/>
  <c r="R96" i="9"/>
  <c r="C96" i="9"/>
  <c r="B97" i="9"/>
  <c r="V97" i="9" l="1"/>
  <c r="S97" i="9" s="1"/>
  <c r="T96" i="9"/>
  <c r="U96" i="9" s="1"/>
  <c r="J96" i="9"/>
  <c r="F96" i="9" s="1"/>
  <c r="G96" i="7"/>
  <c r="F97" i="7" s="1"/>
  <c r="A98" i="9"/>
  <c r="E96" i="9"/>
  <c r="G96" i="9"/>
  <c r="B98" i="9"/>
  <c r="R97" i="9"/>
  <c r="D97" i="9"/>
  <c r="C97" i="9"/>
  <c r="E97" i="9" l="1"/>
  <c r="J97" i="9"/>
  <c r="F97" i="9" s="1"/>
  <c r="T97" i="9"/>
  <c r="U97" i="9" s="1"/>
  <c r="V98" i="9"/>
  <c r="S98" i="9" s="1"/>
  <c r="A99" i="9"/>
  <c r="G97" i="9"/>
  <c r="G97" i="7"/>
  <c r="F98" i="7" s="1"/>
  <c r="D98" i="9"/>
  <c r="B99" i="9"/>
  <c r="C98" i="9"/>
  <c r="R98" i="9"/>
  <c r="T98" i="9" l="1"/>
  <c r="U98" i="9" s="1"/>
  <c r="V99" i="9"/>
  <c r="S99" i="9" s="1"/>
  <c r="J98" i="9"/>
  <c r="F98" i="9" s="1"/>
  <c r="G98" i="7"/>
  <c r="F99" i="7" s="1"/>
  <c r="A100" i="9"/>
  <c r="E98" i="9"/>
  <c r="R99" i="9"/>
  <c r="D99" i="9"/>
  <c r="B100" i="9"/>
  <c r="C99" i="9"/>
  <c r="V100" i="9" l="1"/>
  <c r="S100" i="9" s="1"/>
  <c r="J99" i="9"/>
  <c r="F99" i="9" s="1"/>
  <c r="T99" i="9"/>
  <c r="U99" i="9" s="1"/>
  <c r="G98" i="9"/>
  <c r="A101" i="9"/>
  <c r="G99" i="7"/>
  <c r="F100" i="7" s="1"/>
  <c r="E99" i="9"/>
  <c r="B101" i="9"/>
  <c r="R100" i="9"/>
  <c r="D100" i="9"/>
  <c r="C100" i="9"/>
  <c r="J100" i="9" l="1"/>
  <c r="F100" i="9" s="1"/>
  <c r="T100" i="9"/>
  <c r="U100" i="9" s="1"/>
  <c r="V101" i="9"/>
  <c r="S101" i="9" s="1"/>
  <c r="G99" i="9"/>
  <c r="G100" i="7"/>
  <c r="F101" i="7" s="1"/>
  <c r="A102" i="9"/>
  <c r="E100" i="9"/>
  <c r="G100" i="9" s="1"/>
  <c r="C101" i="9"/>
  <c r="R101" i="9"/>
  <c r="D101" i="9"/>
  <c r="B102" i="9"/>
  <c r="V102" i="9" l="1"/>
  <c r="S102" i="9" s="1"/>
  <c r="J101" i="9"/>
  <c r="F101" i="9" s="1"/>
  <c r="G101" i="9" s="1"/>
  <c r="T101" i="9"/>
  <c r="U101" i="9" s="1"/>
  <c r="E101" i="9"/>
  <c r="A103" i="9"/>
  <c r="G101" i="7"/>
  <c r="F102" i="7" s="1"/>
  <c r="D102" i="9"/>
  <c r="C102" i="9"/>
  <c r="B103" i="9"/>
  <c r="R102" i="9"/>
  <c r="T102" i="9" l="1"/>
  <c r="U102" i="9" s="1"/>
  <c r="V103" i="9"/>
  <c r="S103" i="9" s="1"/>
  <c r="J102" i="9"/>
  <c r="F102" i="9" s="1"/>
  <c r="G102" i="7"/>
  <c r="F103" i="7" s="1"/>
  <c r="A104" i="9"/>
  <c r="E102" i="9"/>
  <c r="D103" i="9"/>
  <c r="B104" i="9"/>
  <c r="R103" i="9"/>
  <c r="C103" i="9"/>
  <c r="T103" i="9" l="1"/>
  <c r="U103" i="9" s="1"/>
  <c r="V104" i="9"/>
  <c r="S104" i="9" s="1"/>
  <c r="J103" i="9"/>
  <c r="F103" i="9" s="1"/>
  <c r="G102" i="9"/>
  <c r="G103" i="7"/>
  <c r="F104" i="7" s="1"/>
  <c r="A105" i="9"/>
  <c r="E103" i="9"/>
  <c r="C104" i="9"/>
  <c r="B105" i="9"/>
  <c r="R104" i="9"/>
  <c r="D104" i="9"/>
  <c r="J104" i="9" l="1"/>
  <c r="F104" i="9" s="1"/>
  <c r="T104" i="9"/>
  <c r="U104" i="9" s="1"/>
  <c r="V105" i="9"/>
  <c r="S105" i="9" s="1"/>
  <c r="E104" i="9"/>
  <c r="G103" i="9"/>
  <c r="G104" i="7"/>
  <c r="F105" i="7" s="1"/>
  <c r="A106" i="9"/>
  <c r="G104" i="9"/>
  <c r="R105" i="9"/>
  <c r="D105" i="9"/>
  <c r="C105" i="9"/>
  <c r="B106" i="9"/>
  <c r="V106" i="9" l="1"/>
  <c r="S106" i="9" s="1"/>
  <c r="J105" i="9"/>
  <c r="F105" i="9" s="1"/>
  <c r="T105" i="9"/>
  <c r="U105" i="9" s="1"/>
  <c r="E105" i="9"/>
  <c r="G105" i="9" s="1"/>
  <c r="G105" i="7"/>
  <c r="F106" i="7" s="1"/>
  <c r="A107" i="9"/>
  <c r="C106" i="9"/>
  <c r="R106" i="9"/>
  <c r="B107" i="9"/>
  <c r="D106" i="9"/>
  <c r="J106" i="9" l="1"/>
  <c r="F106" i="9" s="1"/>
  <c r="V107" i="9"/>
  <c r="S107" i="9" s="1"/>
  <c r="T106" i="9"/>
  <c r="U106" i="9" s="1"/>
  <c r="E106" i="9"/>
  <c r="G106" i="7"/>
  <c r="F107" i="7" s="1"/>
  <c r="A108" i="9"/>
  <c r="G106" i="9"/>
  <c r="C107" i="9"/>
  <c r="R107" i="9"/>
  <c r="B108" i="9"/>
  <c r="D107" i="9"/>
  <c r="J107" i="9" l="1"/>
  <c r="F107" i="9" s="1"/>
  <c r="V108" i="9"/>
  <c r="S108" i="9" s="1"/>
  <c r="T107" i="9"/>
  <c r="U107" i="9" s="1"/>
  <c r="E107" i="9"/>
  <c r="A109" i="9"/>
  <c r="G107" i="7"/>
  <c r="F108" i="7" s="1"/>
  <c r="R108" i="9"/>
  <c r="B109" i="9"/>
  <c r="D108" i="9"/>
  <c r="C108" i="9"/>
  <c r="E108" i="9" l="1"/>
  <c r="J108" i="9"/>
  <c r="F108" i="9" s="1"/>
  <c r="G108" i="9" s="1"/>
  <c r="V109" i="9"/>
  <c r="S109" i="9" s="1"/>
  <c r="T108" i="9"/>
  <c r="U108" i="9" s="1"/>
  <c r="G107" i="9"/>
  <c r="G108" i="7"/>
  <c r="F109" i="7" s="1"/>
  <c r="A110" i="9"/>
  <c r="C109" i="9"/>
  <c r="B110" i="9"/>
  <c r="R109" i="9"/>
  <c r="D109" i="9"/>
  <c r="J109" i="9" l="1"/>
  <c r="F109" i="9" s="1"/>
  <c r="T109" i="9"/>
  <c r="U109" i="9" s="1"/>
  <c r="V110" i="9"/>
  <c r="S110" i="9" s="1"/>
  <c r="E109" i="9"/>
  <c r="A111" i="9"/>
  <c r="G109" i="9"/>
  <c r="G109" i="7"/>
  <c r="F110" i="7" s="1"/>
  <c r="B111" i="9"/>
  <c r="R110" i="9"/>
  <c r="D110" i="9"/>
  <c r="C110" i="9"/>
  <c r="E110" i="9" l="1"/>
  <c r="J110" i="9"/>
  <c r="F110" i="9" s="1"/>
  <c r="G110" i="9" s="1"/>
  <c r="T110" i="9"/>
  <c r="U110" i="9" s="1"/>
  <c r="V111" i="9"/>
  <c r="S111" i="9" s="1"/>
  <c r="G110" i="7"/>
  <c r="F111" i="7" s="1"/>
  <c r="A112" i="9"/>
  <c r="B112" i="9"/>
  <c r="D111" i="9"/>
  <c r="R111" i="9"/>
  <c r="C111" i="9"/>
  <c r="E111" i="9" l="1"/>
  <c r="T111" i="9"/>
  <c r="U111" i="9" s="1"/>
  <c r="J111" i="9"/>
  <c r="F111" i="9" s="1"/>
  <c r="G111" i="9" s="1"/>
  <c r="V112" i="9"/>
  <c r="S112" i="9" s="1"/>
  <c r="G111" i="7"/>
  <c r="F112" i="7" s="1"/>
  <c r="A113" i="9"/>
  <c r="D112" i="9"/>
  <c r="C112" i="9"/>
  <c r="B113" i="9"/>
  <c r="R112" i="9"/>
  <c r="T112" i="9" l="1"/>
  <c r="U112" i="9" s="1"/>
  <c r="V113" i="9"/>
  <c r="S113" i="9" s="1"/>
  <c r="J112" i="9"/>
  <c r="F112" i="9" s="1"/>
  <c r="G112" i="7"/>
  <c r="F1" i="7"/>
  <c r="F3" i="7" s="1"/>
  <c r="E112" i="9"/>
  <c r="A114" i="9"/>
  <c r="R113" i="9"/>
  <c r="C113" i="9"/>
  <c r="D113" i="9"/>
  <c r="B114" i="9"/>
  <c r="V114" i="9" l="1"/>
  <c r="S114" i="9" s="1"/>
  <c r="J113" i="9"/>
  <c r="F113" i="9" s="1"/>
  <c r="G113" i="9" s="1"/>
  <c r="E113" i="9"/>
  <c r="T113" i="9"/>
  <c r="U113" i="9" s="1"/>
  <c r="G112" i="9"/>
  <c r="A115" i="9"/>
  <c r="B115" i="9"/>
  <c r="R114" i="9"/>
  <c r="D114" i="9"/>
  <c r="C114" i="9"/>
  <c r="J114" i="9" l="1"/>
  <c r="F114" i="9" s="1"/>
  <c r="T114" i="9"/>
  <c r="U114" i="9" s="1"/>
  <c r="V115" i="9"/>
  <c r="S115" i="9" s="1"/>
  <c r="E114" i="9"/>
  <c r="G114" i="9" s="1"/>
  <c r="A116" i="9"/>
  <c r="C115" i="9"/>
  <c r="D115" i="9"/>
  <c r="B116" i="9"/>
  <c r="R115" i="9"/>
  <c r="T115" i="9" l="1"/>
  <c r="U115" i="9" s="1"/>
  <c r="V116" i="9"/>
  <c r="S116" i="9" s="1"/>
  <c r="J115" i="9"/>
  <c r="F115" i="9" s="1"/>
  <c r="E115" i="9"/>
  <c r="A117" i="9"/>
  <c r="B117" i="9"/>
  <c r="D116" i="9"/>
  <c r="C116" i="9"/>
  <c r="R116" i="9"/>
  <c r="T116" i="9" l="1"/>
  <c r="U116" i="9" s="1"/>
  <c r="J116" i="9"/>
  <c r="F116" i="9" s="1"/>
  <c r="V117" i="9"/>
  <c r="S117" i="9" s="1"/>
  <c r="G115" i="9"/>
  <c r="A118" i="9"/>
  <c r="E116" i="9"/>
  <c r="R117" i="9"/>
  <c r="B118" i="9"/>
  <c r="C117" i="9"/>
  <c r="D117" i="9"/>
  <c r="J117" i="9" l="1"/>
  <c r="F117" i="9" s="1"/>
  <c r="V118" i="9"/>
  <c r="S118" i="9" s="1"/>
  <c r="T117" i="9"/>
  <c r="U117" i="9" s="1"/>
  <c r="G116" i="9"/>
  <c r="E117" i="9"/>
  <c r="G117" i="9" s="1"/>
  <c r="A119" i="9"/>
  <c r="C118" i="9"/>
  <c r="B119" i="9"/>
  <c r="R118" i="9"/>
  <c r="D118" i="9"/>
  <c r="J118" i="9" l="1"/>
  <c r="F118" i="9" s="1"/>
  <c r="T118" i="9"/>
  <c r="U118" i="9" s="1"/>
  <c r="V119" i="9"/>
  <c r="S119" i="9" s="1"/>
  <c r="E118" i="9"/>
  <c r="G118" i="9"/>
  <c r="A120" i="9"/>
  <c r="C119" i="9"/>
  <c r="B120" i="9"/>
  <c r="R119" i="9"/>
  <c r="D119" i="9"/>
  <c r="J119" i="9" l="1"/>
  <c r="F119" i="9" s="1"/>
  <c r="T119" i="9"/>
  <c r="U119" i="9" s="1"/>
  <c r="V120" i="9"/>
  <c r="S120" i="9" s="1"/>
  <c r="A121" i="9"/>
  <c r="E119" i="9"/>
  <c r="G119" i="9" s="1"/>
  <c r="C120" i="9"/>
  <c r="B121" i="9"/>
  <c r="R120" i="9"/>
  <c r="D120" i="9"/>
  <c r="J120" i="9" l="1"/>
  <c r="F120" i="9" s="1"/>
  <c r="T120" i="9"/>
  <c r="U120" i="9" s="1"/>
  <c r="V121" i="9"/>
  <c r="S121" i="9" s="1"/>
  <c r="E120" i="9"/>
  <c r="A122" i="9"/>
  <c r="G120" i="9"/>
  <c r="C121" i="9"/>
  <c r="D121" i="9"/>
  <c r="B122" i="9"/>
  <c r="R121" i="9"/>
  <c r="T121" i="9" l="1"/>
  <c r="U121" i="9" s="1"/>
  <c r="V122" i="9"/>
  <c r="S122" i="9" s="1"/>
  <c r="J121" i="9"/>
  <c r="F121" i="9" s="1"/>
  <c r="G121" i="9" s="1"/>
  <c r="E121" i="9"/>
  <c r="A123" i="9"/>
  <c r="D122" i="9"/>
  <c r="R122" i="9"/>
  <c r="B123" i="9"/>
  <c r="C122" i="9"/>
  <c r="V123" i="9" l="1"/>
  <c r="S123" i="9" s="1"/>
  <c r="T122" i="9"/>
  <c r="U122" i="9" s="1"/>
  <c r="J122" i="9"/>
  <c r="F122" i="9" s="1"/>
  <c r="E122" i="9"/>
  <c r="A124" i="9"/>
  <c r="B124" i="9"/>
  <c r="C123" i="9"/>
  <c r="R123" i="9"/>
  <c r="D123" i="9"/>
  <c r="J123" i="9" l="1"/>
  <c r="F123" i="9" s="1"/>
  <c r="T123" i="9"/>
  <c r="U123" i="9" s="1"/>
  <c r="V124" i="9"/>
  <c r="S124" i="9" s="1"/>
  <c r="G122" i="9"/>
  <c r="E123" i="9"/>
  <c r="G123" i="9" s="1"/>
  <c r="A125" i="9"/>
  <c r="C124" i="9"/>
  <c r="B125" i="9"/>
  <c r="D124" i="9"/>
  <c r="R124" i="9"/>
  <c r="T124" i="9" l="1"/>
  <c r="U124" i="9" s="1"/>
  <c r="J124" i="9"/>
  <c r="F124" i="9" s="1"/>
  <c r="V125" i="9"/>
  <c r="S125" i="9" s="1"/>
  <c r="A126" i="9"/>
  <c r="E124" i="9"/>
  <c r="R125" i="9"/>
  <c r="D125" i="9"/>
  <c r="B126" i="9"/>
  <c r="C125" i="9"/>
  <c r="V126" i="9" l="1"/>
  <c r="S126" i="9" s="1"/>
  <c r="J125" i="9"/>
  <c r="F125" i="9" s="1"/>
  <c r="T125" i="9"/>
  <c r="U125" i="9" s="1"/>
  <c r="G124" i="9"/>
  <c r="A127" i="9"/>
  <c r="E125" i="9"/>
  <c r="G125" i="9" s="1"/>
  <c r="B127" i="9"/>
  <c r="D126" i="9"/>
  <c r="C126" i="9"/>
  <c r="R126" i="9"/>
  <c r="T126" i="9" l="1"/>
  <c r="U126" i="9" s="1"/>
  <c r="J126" i="9"/>
  <c r="F126" i="9" s="1"/>
  <c r="V127" i="9"/>
  <c r="S127" i="9" s="1"/>
  <c r="A128" i="9"/>
  <c r="E126" i="9"/>
  <c r="G126" i="9" s="1"/>
  <c r="D127" i="9"/>
  <c r="R127" i="9"/>
  <c r="C127" i="9"/>
  <c r="B128" i="9"/>
  <c r="V128" i="9" l="1"/>
  <c r="S128" i="9" s="1"/>
  <c r="T127" i="9"/>
  <c r="U127" i="9" s="1"/>
  <c r="J127" i="9"/>
  <c r="F127" i="9" s="1"/>
  <c r="A129" i="9"/>
  <c r="E127" i="9"/>
  <c r="B129" i="9"/>
  <c r="C128" i="9"/>
  <c r="D128" i="9"/>
  <c r="R128" i="9"/>
  <c r="T128" i="9" l="1"/>
  <c r="U128" i="9" s="1"/>
  <c r="J128" i="9"/>
  <c r="F128" i="9" s="1"/>
  <c r="G128" i="9" s="1"/>
  <c r="V129" i="9"/>
  <c r="S129" i="9" s="1"/>
  <c r="G127" i="9"/>
  <c r="E128" i="9"/>
  <c r="A130" i="9"/>
  <c r="R129" i="9"/>
  <c r="C129" i="9"/>
  <c r="D129" i="9"/>
  <c r="B130" i="9"/>
  <c r="V130" i="9" l="1"/>
  <c r="S130" i="9" s="1"/>
  <c r="J129" i="9"/>
  <c r="F129" i="9" s="1"/>
  <c r="T129" i="9"/>
  <c r="U129" i="9" s="1"/>
  <c r="E129" i="9"/>
  <c r="G129" i="9" s="1"/>
  <c r="A131" i="9"/>
  <c r="B131" i="9"/>
  <c r="C130" i="9"/>
  <c r="R130" i="9"/>
  <c r="D130" i="9"/>
  <c r="J130" i="9" l="1"/>
  <c r="F130" i="9" s="1"/>
  <c r="T130" i="9"/>
  <c r="U130" i="9" s="1"/>
  <c r="V131" i="9"/>
  <c r="S131" i="9" s="1"/>
  <c r="E130" i="9"/>
  <c r="G130" i="9" s="1"/>
  <c r="A132" i="9"/>
  <c r="R131" i="9"/>
  <c r="C131" i="9"/>
  <c r="D131" i="9"/>
  <c r="B132" i="9"/>
  <c r="V132" i="9" l="1"/>
  <c r="S132" i="9" s="1"/>
  <c r="J131" i="9"/>
  <c r="F131" i="9" s="1"/>
  <c r="E131" i="9"/>
  <c r="G131" i="9" s="1"/>
  <c r="T131" i="9"/>
  <c r="U131" i="9" s="1"/>
  <c r="A133" i="9"/>
  <c r="B133" i="9"/>
  <c r="D132" i="9"/>
  <c r="R132" i="9"/>
  <c r="C132" i="9"/>
  <c r="T132" i="9" l="1"/>
  <c r="U132" i="9" s="1"/>
  <c r="J132" i="9"/>
  <c r="F132" i="9" s="1"/>
  <c r="V133" i="9"/>
  <c r="S133" i="9" s="1"/>
  <c r="E132" i="9"/>
  <c r="A134" i="9"/>
  <c r="R133" i="9"/>
  <c r="C133" i="9"/>
  <c r="D133" i="9"/>
  <c r="B134" i="9"/>
  <c r="V134" i="9" l="1"/>
  <c r="S134" i="9" s="1"/>
  <c r="J133" i="9"/>
  <c r="F133" i="9" s="1"/>
  <c r="T133" i="9"/>
  <c r="U133" i="9" s="1"/>
  <c r="G132" i="9"/>
  <c r="A135" i="9"/>
  <c r="E133" i="9"/>
  <c r="G133" i="9" s="1"/>
  <c r="B135" i="9"/>
  <c r="C134" i="9"/>
  <c r="D134" i="9"/>
  <c r="R134" i="9"/>
  <c r="T134" i="9" l="1"/>
  <c r="U134" i="9" s="1"/>
  <c r="J134" i="9"/>
  <c r="F134" i="9" s="1"/>
  <c r="V135" i="9"/>
  <c r="S135" i="9" s="1"/>
  <c r="A136" i="9"/>
  <c r="E134" i="9"/>
  <c r="G134" i="9" s="1"/>
  <c r="D135" i="9"/>
  <c r="C135" i="9"/>
  <c r="B136" i="9"/>
  <c r="R135" i="9"/>
  <c r="T135" i="9" l="1"/>
  <c r="U135" i="9" s="1"/>
  <c r="V136" i="9"/>
  <c r="S136" i="9" s="1"/>
  <c r="E135" i="9"/>
  <c r="G135" i="9" s="1"/>
  <c r="J135" i="9"/>
  <c r="F135" i="9" s="1"/>
  <c r="A137" i="9"/>
  <c r="B137" i="9"/>
  <c r="C136" i="9"/>
  <c r="R136" i="9"/>
  <c r="D136" i="9"/>
  <c r="J136" i="9" l="1"/>
  <c r="F136" i="9" s="1"/>
  <c r="T136" i="9"/>
  <c r="U136" i="9" s="1"/>
  <c r="V137" i="9"/>
  <c r="S137" i="9" s="1"/>
  <c r="A138" i="9"/>
  <c r="E136" i="9"/>
  <c r="G136" i="9" s="1"/>
  <c r="C137" i="9"/>
  <c r="B138" i="9"/>
  <c r="D137" i="9"/>
  <c r="R137" i="9"/>
  <c r="T137" i="9" l="1"/>
  <c r="U137" i="9" s="1"/>
  <c r="J137" i="9"/>
  <c r="F137" i="9" s="1"/>
  <c r="V138" i="9"/>
  <c r="S138" i="9" s="1"/>
  <c r="A139" i="9"/>
  <c r="E137" i="9"/>
  <c r="C138" i="9"/>
  <c r="B139" i="9"/>
  <c r="R138" i="9"/>
  <c r="D138" i="9"/>
  <c r="J138" i="9" l="1"/>
  <c r="F138" i="9" s="1"/>
  <c r="T138" i="9"/>
  <c r="U138" i="9" s="1"/>
  <c r="V139" i="9"/>
  <c r="S139" i="9" s="1"/>
  <c r="G137" i="9"/>
  <c r="E138" i="9"/>
  <c r="G138" i="9" s="1"/>
  <c r="A140" i="9"/>
  <c r="C139" i="9"/>
  <c r="B140" i="9"/>
  <c r="D139" i="9"/>
  <c r="R139" i="9"/>
  <c r="T139" i="9" l="1"/>
  <c r="U139" i="9" s="1"/>
  <c r="J139" i="9"/>
  <c r="F139" i="9" s="1"/>
  <c r="V140" i="9"/>
  <c r="S140" i="9" s="1"/>
  <c r="A141" i="9"/>
  <c r="E139" i="9"/>
  <c r="C140" i="9"/>
  <c r="B141" i="9"/>
  <c r="D140" i="9"/>
  <c r="R140" i="9"/>
  <c r="T140" i="9" l="1"/>
  <c r="U140" i="9" s="1"/>
  <c r="J140" i="9"/>
  <c r="F140" i="9" s="1"/>
  <c r="V141" i="9"/>
  <c r="S141" i="9" s="1"/>
  <c r="E140" i="9"/>
  <c r="G139" i="9"/>
  <c r="A142" i="9"/>
  <c r="G140" i="9"/>
  <c r="D141" i="9"/>
  <c r="C141" i="9"/>
  <c r="R141" i="9"/>
  <c r="B142" i="9"/>
  <c r="V142" i="9" l="1"/>
  <c r="S142" i="9" s="1"/>
  <c r="T141" i="9"/>
  <c r="U141" i="9" s="1"/>
  <c r="J141" i="9"/>
  <c r="F141" i="9" s="1"/>
  <c r="A143" i="9"/>
  <c r="E141" i="9"/>
  <c r="B143" i="9"/>
  <c r="C142" i="9"/>
  <c r="D142" i="9"/>
  <c r="R142" i="9"/>
  <c r="T142" i="9" l="1"/>
  <c r="U142" i="9" s="1"/>
  <c r="J142" i="9"/>
  <c r="F142" i="9" s="1"/>
  <c r="G142" i="9" s="1"/>
  <c r="E142" i="9"/>
  <c r="V143" i="9"/>
  <c r="S143" i="9" s="1"/>
  <c r="G141" i="9"/>
  <c r="A144" i="9"/>
  <c r="D143" i="9"/>
  <c r="R143" i="9"/>
  <c r="C143" i="9"/>
  <c r="B144" i="9"/>
  <c r="V144" i="9" l="1"/>
  <c r="S144" i="9" s="1"/>
  <c r="T143" i="9"/>
  <c r="U143" i="9" s="1"/>
  <c r="J143" i="9"/>
  <c r="F143" i="9" s="1"/>
  <c r="A145" i="9"/>
  <c r="E143" i="9"/>
  <c r="B145" i="9"/>
  <c r="C144" i="9"/>
  <c r="R144" i="9"/>
  <c r="D144" i="9"/>
  <c r="J144" i="9" l="1"/>
  <c r="F144" i="9" s="1"/>
  <c r="T144" i="9"/>
  <c r="U144" i="9" s="1"/>
  <c r="E144" i="9"/>
  <c r="V145" i="9"/>
  <c r="S145" i="9" s="1"/>
  <c r="G143" i="9"/>
  <c r="A146" i="9"/>
  <c r="G144" i="9"/>
  <c r="C145" i="9"/>
  <c r="D145" i="9"/>
  <c r="R145" i="9"/>
  <c r="B146" i="9"/>
  <c r="V146" i="9" l="1"/>
  <c r="S146" i="9" s="1"/>
  <c r="T145" i="9"/>
  <c r="U145" i="9" s="1"/>
  <c r="J145" i="9"/>
  <c r="F145" i="9" s="1"/>
  <c r="G145" i="9" s="1"/>
  <c r="E145" i="9"/>
  <c r="A147" i="9"/>
  <c r="B147" i="9"/>
  <c r="D146" i="9"/>
  <c r="C146" i="9"/>
  <c r="R146" i="9"/>
  <c r="T146" i="9" l="1"/>
  <c r="U146" i="9" s="1"/>
  <c r="J146" i="9"/>
  <c r="F146" i="9" s="1"/>
  <c r="V147" i="9"/>
  <c r="S147" i="9" s="1"/>
  <c r="E146" i="9"/>
  <c r="A148" i="9"/>
  <c r="D147" i="9"/>
  <c r="R147" i="9"/>
  <c r="C147" i="9"/>
  <c r="B148" i="9"/>
  <c r="V148" i="9" l="1"/>
  <c r="S148" i="9" s="1"/>
  <c r="T147" i="9"/>
  <c r="U147" i="9" s="1"/>
  <c r="J147" i="9"/>
  <c r="F147" i="9" s="1"/>
  <c r="G146" i="9"/>
  <c r="A149" i="9"/>
  <c r="E147" i="9"/>
  <c r="C148" i="9"/>
  <c r="R148" i="9"/>
  <c r="D148" i="9"/>
  <c r="B149" i="9"/>
  <c r="V149" i="9" l="1"/>
  <c r="S149" i="9" s="1"/>
  <c r="J148" i="9"/>
  <c r="F148" i="9" s="1"/>
  <c r="T148" i="9"/>
  <c r="U148" i="9" s="1"/>
  <c r="G147" i="9"/>
  <c r="A150" i="9"/>
  <c r="E148" i="9"/>
  <c r="G148" i="9" s="1"/>
  <c r="B150" i="9"/>
  <c r="R149" i="9"/>
  <c r="C149" i="9"/>
  <c r="D149" i="9"/>
  <c r="J149" i="9" l="1"/>
  <c r="F149" i="9" s="1"/>
  <c r="T149" i="9"/>
  <c r="U149" i="9" s="1"/>
  <c r="V150" i="9"/>
  <c r="S150" i="9" s="1"/>
  <c r="A151" i="9"/>
  <c r="E149" i="9"/>
  <c r="G149" i="9" s="1"/>
  <c r="R150" i="9"/>
  <c r="D150" i="9"/>
  <c r="C150" i="9"/>
  <c r="B151" i="9"/>
  <c r="V151" i="9" l="1"/>
  <c r="S151" i="9" s="1"/>
  <c r="J150" i="9"/>
  <c r="F150" i="9" s="1"/>
  <c r="T150" i="9"/>
  <c r="U150" i="9" s="1"/>
  <c r="A152" i="9"/>
  <c r="E150" i="9"/>
  <c r="G150" i="9" s="1"/>
  <c r="B152" i="9"/>
  <c r="C151" i="9"/>
  <c r="D151" i="9"/>
  <c r="R151" i="9"/>
  <c r="T151" i="9" l="1"/>
  <c r="U151" i="9" s="1"/>
  <c r="J151" i="9"/>
  <c r="F151" i="9" s="1"/>
  <c r="V152" i="9"/>
  <c r="S152" i="9" s="1"/>
  <c r="A153" i="9"/>
  <c r="E151" i="9"/>
  <c r="G151" i="9" s="1"/>
  <c r="B153" i="9"/>
  <c r="D152" i="9"/>
  <c r="C152" i="9"/>
  <c r="R152" i="9"/>
  <c r="T152" i="9" l="1"/>
  <c r="U152" i="9" s="1"/>
  <c r="E152" i="9"/>
  <c r="J152" i="9"/>
  <c r="F152" i="9" s="1"/>
  <c r="V153" i="9"/>
  <c r="S153" i="9" s="1"/>
  <c r="A154" i="9"/>
  <c r="G152" i="9"/>
  <c r="B154" i="9"/>
  <c r="D153" i="9"/>
  <c r="C153" i="9"/>
  <c r="R153" i="9"/>
  <c r="T153" i="9" l="1"/>
  <c r="U153" i="9" s="1"/>
  <c r="E153" i="9"/>
  <c r="J153" i="9"/>
  <c r="F153" i="9" s="1"/>
  <c r="G153" i="9" s="1"/>
  <c r="V154" i="9"/>
  <c r="S154" i="9" s="1"/>
  <c r="A155" i="9"/>
  <c r="D154" i="9"/>
  <c r="R154" i="9"/>
  <c r="B155" i="9"/>
  <c r="C154" i="9"/>
  <c r="V155" i="9" l="1"/>
  <c r="S155" i="9" s="1"/>
  <c r="T154" i="9"/>
  <c r="U154" i="9" s="1"/>
  <c r="J154" i="9"/>
  <c r="F154" i="9" s="1"/>
  <c r="E154" i="9"/>
  <c r="A156" i="9"/>
  <c r="B156" i="9"/>
  <c r="D155" i="9"/>
  <c r="R155" i="9"/>
  <c r="C155" i="9"/>
  <c r="T155" i="9" l="1"/>
  <c r="U155" i="9" s="1"/>
  <c r="J155" i="9"/>
  <c r="F155" i="9" s="1"/>
  <c r="V156" i="9"/>
  <c r="S156" i="9" s="1"/>
  <c r="G154" i="9"/>
  <c r="A157" i="9"/>
  <c r="E155" i="9"/>
  <c r="G155" i="9" s="1"/>
  <c r="C156" i="9"/>
  <c r="R156" i="9"/>
  <c r="D156" i="9"/>
  <c r="B157" i="9"/>
  <c r="V157" i="9" l="1"/>
  <c r="S157" i="9" s="1"/>
  <c r="J156" i="9"/>
  <c r="F156" i="9" s="1"/>
  <c r="T156" i="9"/>
  <c r="U156" i="9" s="1"/>
  <c r="A158" i="9"/>
  <c r="E156" i="9"/>
  <c r="G156" i="9" s="1"/>
  <c r="B158" i="9"/>
  <c r="C157" i="9"/>
  <c r="R157" i="9"/>
  <c r="D157" i="9"/>
  <c r="J157" i="9" l="1"/>
  <c r="F157" i="9" s="1"/>
  <c r="T157" i="9"/>
  <c r="U157" i="9" s="1"/>
  <c r="V158" i="9"/>
  <c r="S158" i="9" s="1"/>
  <c r="A159" i="9"/>
  <c r="E157" i="9"/>
  <c r="G157" i="9" s="1"/>
  <c r="R158" i="9"/>
  <c r="C158" i="9"/>
  <c r="D158" i="9"/>
  <c r="B159" i="9"/>
  <c r="V159" i="9" l="1"/>
  <c r="S159" i="9" s="1"/>
  <c r="J158" i="9"/>
  <c r="F158" i="9" s="1"/>
  <c r="E158" i="9"/>
  <c r="T158" i="9"/>
  <c r="U158" i="9" s="1"/>
  <c r="A160" i="9"/>
  <c r="B160" i="9"/>
  <c r="R159" i="9"/>
  <c r="C159" i="9"/>
  <c r="D159" i="9"/>
  <c r="J159" i="9" l="1"/>
  <c r="F159" i="9" s="1"/>
  <c r="T159" i="9"/>
  <c r="U159" i="9" s="1"/>
  <c r="V160" i="9"/>
  <c r="S160" i="9" s="1"/>
  <c r="G158" i="9"/>
  <c r="A161" i="9"/>
  <c r="E159" i="9"/>
  <c r="G159" i="9" s="1"/>
  <c r="D160" i="9"/>
  <c r="R160" i="9"/>
  <c r="B161" i="9"/>
  <c r="C160" i="9"/>
  <c r="E160" i="9" l="1"/>
  <c r="V161" i="9"/>
  <c r="S161" i="9" s="1"/>
  <c r="T160" i="9"/>
  <c r="U160" i="9" s="1"/>
  <c r="J160" i="9"/>
  <c r="F160" i="9" s="1"/>
  <c r="A162" i="9"/>
  <c r="G160" i="9"/>
  <c r="D161" i="9"/>
  <c r="B162" i="9"/>
  <c r="C161" i="9"/>
  <c r="R161" i="9"/>
  <c r="T161" i="9" l="1"/>
  <c r="U161" i="9" s="1"/>
  <c r="E161" i="9"/>
  <c r="G161" i="9" s="1"/>
  <c r="V162" i="9"/>
  <c r="S162" i="9" s="1"/>
  <c r="J161" i="9"/>
  <c r="F161" i="9" s="1"/>
  <c r="A163" i="9"/>
  <c r="D162" i="9"/>
  <c r="C162" i="9"/>
  <c r="R162" i="9"/>
  <c r="B163" i="9"/>
  <c r="V163" i="9" l="1"/>
  <c r="S163" i="9" s="1"/>
  <c r="T162" i="9"/>
  <c r="U162" i="9" s="1"/>
  <c r="J162" i="9"/>
  <c r="F162" i="9" s="1"/>
  <c r="E162" i="9"/>
  <c r="A164" i="9"/>
  <c r="B164" i="9"/>
  <c r="D163" i="9"/>
  <c r="C163" i="9"/>
  <c r="R163" i="9"/>
  <c r="T163" i="9" l="1"/>
  <c r="U163" i="9" s="1"/>
  <c r="J163" i="9"/>
  <c r="F163" i="9" s="1"/>
  <c r="V164" i="9"/>
  <c r="S164" i="9" s="1"/>
  <c r="G162" i="9"/>
  <c r="A165" i="9"/>
  <c r="E163" i="9"/>
  <c r="G163" i="9" s="1"/>
  <c r="C164" i="9"/>
  <c r="R164" i="9"/>
  <c r="D164" i="9"/>
  <c r="B165" i="9"/>
  <c r="V165" i="9" l="1"/>
  <c r="S165" i="9" s="1"/>
  <c r="J164" i="9"/>
  <c r="F164" i="9" s="1"/>
  <c r="T164" i="9"/>
  <c r="U164" i="9" s="1"/>
  <c r="A166" i="9"/>
  <c r="E164" i="9"/>
  <c r="G164" i="9" s="1"/>
  <c r="B166" i="9"/>
  <c r="C165" i="9"/>
  <c r="R165" i="9"/>
  <c r="D165" i="9"/>
  <c r="J165" i="9" l="1"/>
  <c r="F165" i="9" s="1"/>
  <c r="T165" i="9"/>
  <c r="U165" i="9" s="1"/>
  <c r="V166" i="9"/>
  <c r="S166" i="9" s="1"/>
  <c r="A167" i="9"/>
  <c r="E165" i="9"/>
  <c r="G165" i="9" s="1"/>
  <c r="C166" i="9"/>
  <c r="R166" i="9"/>
  <c r="D166" i="9"/>
  <c r="B167" i="9"/>
  <c r="V167" i="9" l="1"/>
  <c r="S167" i="9" s="1"/>
  <c r="J166" i="9"/>
  <c r="F166" i="9" s="1"/>
  <c r="G166" i="9" s="1"/>
  <c r="T166" i="9"/>
  <c r="U166" i="9" s="1"/>
  <c r="E166" i="9"/>
  <c r="A168" i="9"/>
  <c r="B168" i="9"/>
  <c r="R167" i="9"/>
  <c r="C167" i="9"/>
  <c r="D167" i="9"/>
  <c r="J167" i="9" l="1"/>
  <c r="F167" i="9" s="1"/>
  <c r="E167" i="9"/>
  <c r="G167" i="9" s="1"/>
  <c r="T167" i="9"/>
  <c r="U167" i="9" s="1"/>
  <c r="V168" i="9"/>
  <c r="S168" i="9" s="1"/>
  <c r="A169" i="9"/>
  <c r="D168" i="9"/>
  <c r="C168" i="9"/>
  <c r="R168" i="9"/>
  <c r="B169" i="9"/>
  <c r="V169" i="9" l="1"/>
  <c r="S169" i="9" s="1"/>
  <c r="T168" i="9"/>
  <c r="U168" i="9" s="1"/>
  <c r="J168" i="9"/>
  <c r="F168" i="9" s="1"/>
  <c r="E168" i="9"/>
  <c r="A170" i="9"/>
  <c r="B170" i="9"/>
  <c r="D169" i="9"/>
  <c r="C169" i="9"/>
  <c r="R169" i="9"/>
  <c r="T169" i="9" l="1"/>
  <c r="U169" i="9" s="1"/>
  <c r="J169" i="9"/>
  <c r="F169" i="9" s="1"/>
  <c r="V170" i="9"/>
  <c r="S170" i="9" s="1"/>
  <c r="G168" i="9"/>
  <c r="A171" i="9"/>
  <c r="E169" i="9"/>
  <c r="G169" i="9" s="1"/>
  <c r="C170" i="9"/>
  <c r="R170" i="9"/>
  <c r="D170" i="9"/>
  <c r="B171" i="9"/>
  <c r="V171" i="9" l="1"/>
  <c r="S171" i="9" s="1"/>
  <c r="J170" i="9"/>
  <c r="F170" i="9" s="1"/>
  <c r="T170" i="9"/>
  <c r="U170" i="9" s="1"/>
  <c r="A172" i="9"/>
  <c r="E170" i="9"/>
  <c r="B172" i="9"/>
  <c r="C171" i="9"/>
  <c r="D171" i="9"/>
  <c r="R171" i="9"/>
  <c r="T171" i="9" l="1"/>
  <c r="U171" i="9" s="1"/>
  <c r="J171" i="9"/>
  <c r="F171" i="9" s="1"/>
  <c r="G171" i="9" s="1"/>
  <c r="V172" i="9"/>
  <c r="S172" i="9" s="1"/>
  <c r="G170" i="9"/>
  <c r="E171" i="9"/>
  <c r="A173" i="9"/>
  <c r="D172" i="9"/>
  <c r="B173" i="9"/>
  <c r="R172" i="9"/>
  <c r="C172" i="9"/>
  <c r="T172" i="9" l="1"/>
  <c r="U172" i="9" s="1"/>
  <c r="V173" i="9"/>
  <c r="S173" i="9" s="1"/>
  <c r="J172" i="9"/>
  <c r="F172" i="9" s="1"/>
  <c r="E172" i="9"/>
  <c r="A174" i="9"/>
  <c r="R173" i="9"/>
  <c r="C173" i="9"/>
  <c r="D173" i="9"/>
  <c r="B174" i="9"/>
  <c r="V174" i="9" l="1"/>
  <c r="S174" i="9" s="1"/>
  <c r="J173" i="9"/>
  <c r="F173" i="9" s="1"/>
  <c r="G173" i="9" s="1"/>
  <c r="E173" i="9"/>
  <c r="T173" i="9"/>
  <c r="U173" i="9" s="1"/>
  <c r="G172" i="9"/>
  <c r="A175" i="9"/>
  <c r="B175" i="9"/>
  <c r="R174" i="9"/>
  <c r="D174" i="9"/>
  <c r="C174" i="9"/>
  <c r="J174" i="9" l="1"/>
  <c r="F174" i="9" s="1"/>
  <c r="T174" i="9"/>
  <c r="U174" i="9" s="1"/>
  <c r="V175" i="9"/>
  <c r="S175" i="9" s="1"/>
  <c r="E174" i="9"/>
  <c r="G174" i="9" s="1"/>
  <c r="A176" i="9"/>
  <c r="R175" i="9"/>
  <c r="C175" i="9"/>
  <c r="D175" i="9"/>
  <c r="B176" i="9"/>
  <c r="V176" i="9" l="1"/>
  <c r="S176" i="9" s="1"/>
  <c r="J175" i="9"/>
  <c r="F175" i="9" s="1"/>
  <c r="T175" i="9"/>
  <c r="U175" i="9" s="1"/>
  <c r="A177" i="9"/>
  <c r="E175" i="9"/>
  <c r="B177" i="9"/>
  <c r="R176" i="9"/>
  <c r="D176" i="9"/>
  <c r="C176" i="9"/>
  <c r="J176" i="9" l="1"/>
  <c r="F176" i="9" s="1"/>
  <c r="T176" i="9"/>
  <c r="U176" i="9" s="1"/>
  <c r="V177" i="9"/>
  <c r="S177" i="9" s="1"/>
  <c r="G175" i="9"/>
  <c r="A178" i="9"/>
  <c r="E176" i="9"/>
  <c r="G176" i="9" s="1"/>
  <c r="R177" i="9"/>
  <c r="C177" i="9"/>
  <c r="B178" i="9"/>
  <c r="D177" i="9"/>
  <c r="J177" i="9" l="1"/>
  <c r="F177" i="9" s="1"/>
  <c r="V178" i="9"/>
  <c r="S178" i="9" s="1"/>
  <c r="T177" i="9"/>
  <c r="U177" i="9" s="1"/>
  <c r="A179" i="9"/>
  <c r="E177" i="9"/>
  <c r="G177" i="9" s="1"/>
  <c r="C178" i="9"/>
  <c r="R178" i="9"/>
  <c r="D178" i="9"/>
  <c r="B179" i="9"/>
  <c r="V179" i="9" l="1"/>
  <c r="S179" i="9" s="1"/>
  <c r="J178" i="9"/>
  <c r="F178" i="9" s="1"/>
  <c r="T178" i="9"/>
  <c r="U178" i="9" s="1"/>
  <c r="E178" i="9"/>
  <c r="A180" i="9"/>
  <c r="G178" i="9"/>
  <c r="B180" i="9"/>
  <c r="D179" i="9"/>
  <c r="R179" i="9"/>
  <c r="C179" i="9"/>
  <c r="E179" i="9" l="1"/>
  <c r="T179" i="9"/>
  <c r="U179" i="9" s="1"/>
  <c r="J179" i="9"/>
  <c r="F179" i="9" s="1"/>
  <c r="G179" i="9" s="1"/>
  <c r="V180" i="9"/>
  <c r="S180" i="9" s="1"/>
  <c r="A181" i="9"/>
  <c r="D180" i="9"/>
  <c r="C180" i="9"/>
  <c r="B181" i="9"/>
  <c r="R180" i="9"/>
  <c r="T180" i="9" l="1"/>
  <c r="U180" i="9" s="1"/>
  <c r="V181" i="9"/>
  <c r="S181" i="9" s="1"/>
  <c r="J180" i="9"/>
  <c r="F180" i="9" s="1"/>
  <c r="E180" i="9"/>
  <c r="A182" i="9"/>
  <c r="D181" i="9"/>
  <c r="C181" i="9"/>
  <c r="B182" i="9"/>
  <c r="R181" i="9"/>
  <c r="T181" i="9" l="1"/>
  <c r="U181" i="9" s="1"/>
  <c r="V182" i="9"/>
  <c r="S182" i="9" s="1"/>
  <c r="J181" i="9"/>
  <c r="F181" i="9" s="1"/>
  <c r="G180" i="9"/>
  <c r="A183" i="9"/>
  <c r="E181" i="9"/>
  <c r="G181" i="9" s="1"/>
  <c r="C182" i="9"/>
  <c r="B183" i="9"/>
  <c r="R182" i="9"/>
  <c r="D182" i="9"/>
  <c r="J182" i="9" l="1"/>
  <c r="F182" i="9" s="1"/>
  <c r="T182" i="9"/>
  <c r="U182" i="9" s="1"/>
  <c r="V183" i="9"/>
  <c r="S183" i="9" s="1"/>
  <c r="A184" i="9"/>
  <c r="E182" i="9"/>
  <c r="G182" i="9" s="1"/>
  <c r="C183" i="9"/>
  <c r="D183" i="9"/>
  <c r="R183" i="9"/>
  <c r="B184" i="9"/>
  <c r="V184" i="9" l="1"/>
  <c r="S184" i="9" s="1"/>
  <c r="T183" i="9"/>
  <c r="U183" i="9" s="1"/>
  <c r="J183" i="9"/>
  <c r="F183" i="9" s="1"/>
  <c r="A185" i="9"/>
  <c r="E183" i="9"/>
  <c r="B185" i="9"/>
  <c r="C184" i="9"/>
  <c r="D184" i="9"/>
  <c r="R184" i="9"/>
  <c r="T184" i="9" l="1"/>
  <c r="U184" i="9" s="1"/>
  <c r="J184" i="9"/>
  <c r="F184" i="9" s="1"/>
  <c r="E184" i="9"/>
  <c r="V185" i="9"/>
  <c r="S185" i="9" s="1"/>
  <c r="G183" i="9"/>
  <c r="A186" i="9"/>
  <c r="G184" i="9"/>
  <c r="C185" i="9"/>
  <c r="D185" i="9"/>
  <c r="R185" i="9"/>
  <c r="B186" i="9"/>
  <c r="V186" i="9" l="1"/>
  <c r="S186" i="9" s="1"/>
  <c r="T185" i="9"/>
  <c r="U185" i="9" s="1"/>
  <c r="J185" i="9"/>
  <c r="F185" i="9" s="1"/>
  <c r="G185" i="9" s="1"/>
  <c r="E185" i="9"/>
  <c r="A187" i="9"/>
  <c r="B187" i="9"/>
  <c r="D186" i="9"/>
  <c r="C186" i="9"/>
  <c r="R186" i="9"/>
  <c r="T186" i="9" l="1"/>
  <c r="U186" i="9" s="1"/>
  <c r="J186" i="9"/>
  <c r="F186" i="9" s="1"/>
  <c r="V187" i="9"/>
  <c r="S187" i="9" s="1"/>
  <c r="E186" i="9"/>
  <c r="A188" i="9"/>
  <c r="D187" i="9"/>
  <c r="R187" i="9"/>
  <c r="B188" i="9"/>
  <c r="C187" i="9"/>
  <c r="V188" i="9" l="1"/>
  <c r="S188" i="9" s="1"/>
  <c r="T187" i="9"/>
  <c r="U187" i="9" s="1"/>
  <c r="J187" i="9"/>
  <c r="F187" i="9" s="1"/>
  <c r="G186" i="9"/>
  <c r="A189" i="9"/>
  <c r="E187" i="9"/>
  <c r="C188" i="9"/>
  <c r="B189" i="9"/>
  <c r="R188" i="9"/>
  <c r="D188" i="9"/>
  <c r="J188" i="9" l="1"/>
  <c r="F188" i="9" s="1"/>
  <c r="T188" i="9"/>
  <c r="U188" i="9" s="1"/>
  <c r="V189" i="9"/>
  <c r="S189" i="9" s="1"/>
  <c r="G187" i="9"/>
  <c r="A190" i="9"/>
  <c r="E188" i="9"/>
  <c r="G188" i="9" s="1"/>
  <c r="R189" i="9"/>
  <c r="C189" i="9"/>
  <c r="B190" i="9"/>
  <c r="D189" i="9"/>
  <c r="J189" i="9" l="1"/>
  <c r="F189" i="9" s="1"/>
  <c r="V190" i="9"/>
  <c r="S190" i="9" s="1"/>
  <c r="T189" i="9"/>
  <c r="U189" i="9" s="1"/>
  <c r="A191" i="9"/>
  <c r="E189" i="9"/>
  <c r="G189" i="9" s="1"/>
  <c r="C190" i="9"/>
  <c r="B191" i="9"/>
  <c r="D190" i="9"/>
  <c r="R190" i="9"/>
  <c r="T190" i="9" l="1"/>
  <c r="U190" i="9" s="1"/>
  <c r="J190" i="9"/>
  <c r="F190" i="9" s="1"/>
  <c r="V191" i="9"/>
  <c r="S191" i="9" s="1"/>
  <c r="E190" i="9"/>
  <c r="A192" i="9"/>
  <c r="G190" i="9"/>
  <c r="D191" i="9"/>
  <c r="C191" i="9"/>
  <c r="B192" i="9"/>
  <c r="R191" i="9"/>
  <c r="T191" i="9" l="1"/>
  <c r="U191" i="9" s="1"/>
  <c r="V192" i="9"/>
  <c r="S192" i="9" s="1"/>
  <c r="E191" i="9"/>
  <c r="G191" i="9" s="1"/>
  <c r="J191" i="9"/>
  <c r="F191" i="9" s="1"/>
  <c r="A193" i="9"/>
  <c r="D192" i="9"/>
  <c r="B193" i="9"/>
  <c r="C192" i="9"/>
  <c r="R192" i="9"/>
  <c r="T192" i="9" l="1"/>
  <c r="U192" i="9" s="1"/>
  <c r="V193" i="9"/>
  <c r="S193" i="9" s="1"/>
  <c r="J192" i="9"/>
  <c r="F192" i="9" s="1"/>
  <c r="E192" i="9"/>
  <c r="A194" i="9"/>
  <c r="R193" i="9"/>
  <c r="C193" i="9"/>
  <c r="B194" i="9"/>
  <c r="D193" i="9"/>
  <c r="J193" i="9" l="1"/>
  <c r="F193" i="9" s="1"/>
  <c r="V194" i="9"/>
  <c r="S194" i="9" s="1"/>
  <c r="T193" i="9"/>
  <c r="U193" i="9" s="1"/>
  <c r="G192" i="9"/>
  <c r="A195" i="9"/>
  <c r="E193" i="9"/>
  <c r="G193" i="9" s="1"/>
  <c r="C194" i="9"/>
  <c r="B195" i="9"/>
  <c r="R194" i="9"/>
  <c r="D194" i="9"/>
  <c r="J194" i="9" l="1"/>
  <c r="F194" i="9" s="1"/>
  <c r="T194" i="9"/>
  <c r="U194" i="9" s="1"/>
  <c r="V195" i="9"/>
  <c r="S195" i="9" s="1"/>
  <c r="E194" i="9"/>
  <c r="A196" i="9"/>
  <c r="G194" i="9"/>
  <c r="R195" i="9"/>
  <c r="C195" i="9"/>
  <c r="D195" i="9"/>
  <c r="B196" i="9"/>
  <c r="V196" i="9" l="1"/>
  <c r="S196" i="9" s="1"/>
  <c r="J195" i="9"/>
  <c r="F195" i="9" s="1"/>
  <c r="T195" i="9"/>
  <c r="U195" i="9" s="1"/>
  <c r="A197" i="9"/>
  <c r="E195" i="9"/>
  <c r="G195" i="9" s="1"/>
  <c r="B197" i="9"/>
  <c r="R196" i="9"/>
  <c r="C196" i="9"/>
  <c r="D196" i="9"/>
  <c r="J196" i="9" l="1"/>
  <c r="F196" i="9" s="1"/>
  <c r="E196" i="9"/>
  <c r="T196" i="9"/>
  <c r="U196" i="9" s="1"/>
  <c r="V197" i="9"/>
  <c r="S197" i="9" s="1"/>
  <c r="A198" i="9"/>
  <c r="G196" i="9"/>
  <c r="B198" i="9"/>
  <c r="R197" i="9"/>
  <c r="C197" i="9"/>
  <c r="D197" i="9"/>
  <c r="J197" i="9" l="1"/>
  <c r="F197" i="9" s="1"/>
  <c r="T197" i="9"/>
  <c r="U197" i="9" s="1"/>
  <c r="V198" i="9"/>
  <c r="S198" i="9" s="1"/>
  <c r="A199" i="9"/>
  <c r="E197" i="9"/>
  <c r="G197" i="9" s="1"/>
  <c r="C198" i="9"/>
  <c r="R198" i="9"/>
  <c r="D198" i="9"/>
  <c r="B199" i="9"/>
  <c r="V199" i="9" l="1"/>
  <c r="S199" i="9" s="1"/>
  <c r="J198" i="9"/>
  <c r="F198" i="9" s="1"/>
  <c r="T198" i="9"/>
  <c r="U198" i="9" s="1"/>
  <c r="E198" i="9"/>
  <c r="G198" i="9" s="1"/>
  <c r="A200" i="9"/>
  <c r="B200" i="9"/>
  <c r="C199" i="9"/>
  <c r="D199" i="9"/>
  <c r="R199" i="9"/>
  <c r="T199" i="9" l="1"/>
  <c r="U199" i="9" s="1"/>
  <c r="J199" i="9"/>
  <c r="F199" i="9" s="1"/>
  <c r="V200" i="9"/>
  <c r="S200" i="9" s="1"/>
  <c r="A201" i="9"/>
  <c r="E199" i="9"/>
  <c r="G199" i="9" s="1"/>
  <c r="R200" i="9"/>
  <c r="C200" i="9"/>
  <c r="B201" i="9"/>
  <c r="D200" i="9"/>
  <c r="J200" i="9" l="1"/>
  <c r="F200" i="9" s="1"/>
  <c r="V201" i="9"/>
  <c r="S201" i="9" s="1"/>
  <c r="T200" i="9"/>
  <c r="U200" i="9" s="1"/>
  <c r="E200" i="9"/>
  <c r="G200" i="9" s="1"/>
  <c r="A202" i="9"/>
  <c r="B202" i="9"/>
  <c r="D201" i="9"/>
  <c r="C201" i="9"/>
  <c r="R201" i="9"/>
  <c r="T201" i="9" l="1"/>
  <c r="U201" i="9" s="1"/>
  <c r="J201" i="9"/>
  <c r="F201" i="9" s="1"/>
  <c r="V202" i="9"/>
  <c r="S202" i="9" s="1"/>
  <c r="A203" i="9"/>
  <c r="E201" i="9"/>
  <c r="C202" i="9"/>
  <c r="R202" i="9"/>
  <c r="D202" i="9"/>
  <c r="B203" i="9"/>
  <c r="V203" i="9" l="1"/>
  <c r="S203" i="9" s="1"/>
  <c r="J202" i="9"/>
  <c r="F202" i="9" s="1"/>
  <c r="G202" i="9" s="1"/>
  <c r="T202" i="9"/>
  <c r="U202" i="9" s="1"/>
  <c r="E202" i="9"/>
  <c r="G201" i="9"/>
  <c r="A204" i="9"/>
  <c r="B204" i="9"/>
  <c r="D203" i="9"/>
  <c r="R203" i="9"/>
  <c r="C203" i="9"/>
  <c r="T203" i="9" l="1"/>
  <c r="U203" i="9" s="1"/>
  <c r="J203" i="9"/>
  <c r="F203" i="9" s="1"/>
  <c r="V204" i="9"/>
  <c r="S204" i="9" s="1"/>
  <c r="A205" i="9"/>
  <c r="E203" i="9"/>
  <c r="G203" i="9" s="1"/>
  <c r="R204" i="9"/>
  <c r="C204" i="9"/>
  <c r="B205" i="9"/>
  <c r="D204" i="9"/>
  <c r="J204" i="9" l="1"/>
  <c r="F204" i="9" s="1"/>
  <c r="G204" i="9" s="1"/>
  <c r="V205" i="9"/>
  <c r="S205" i="9" s="1"/>
  <c r="E204" i="9"/>
  <c r="T204" i="9"/>
  <c r="U204" i="9" s="1"/>
  <c r="A206" i="9"/>
  <c r="R205" i="9"/>
  <c r="B206" i="9"/>
  <c r="C205" i="9"/>
  <c r="D205" i="9"/>
  <c r="J205" i="9" l="1"/>
  <c r="F205" i="9" s="1"/>
  <c r="V206" i="9"/>
  <c r="S206" i="9" s="1"/>
  <c r="T205" i="9"/>
  <c r="U205" i="9" s="1"/>
  <c r="A207" i="9"/>
  <c r="E205" i="9"/>
  <c r="G205" i="9" s="1"/>
  <c r="C206" i="9"/>
  <c r="D206" i="9"/>
  <c r="B207" i="9"/>
  <c r="R206" i="9"/>
  <c r="T206" i="9" l="1"/>
  <c r="U206" i="9" s="1"/>
  <c r="V207" i="9"/>
  <c r="S207" i="9" s="1"/>
  <c r="J206" i="9"/>
  <c r="F206" i="9" s="1"/>
  <c r="G206" i="9" s="1"/>
  <c r="E206" i="9"/>
  <c r="A208" i="9"/>
  <c r="R207" i="9"/>
  <c r="B208" i="9"/>
  <c r="C207" i="9"/>
  <c r="D207" i="9"/>
  <c r="J207" i="9" l="1"/>
  <c r="F207" i="9" s="1"/>
  <c r="V208" i="9"/>
  <c r="S208" i="9" s="1"/>
  <c r="T207" i="9"/>
  <c r="U207" i="9" s="1"/>
  <c r="A209" i="9"/>
  <c r="E207" i="9"/>
  <c r="G207" i="9" s="1"/>
  <c r="B209" i="9"/>
  <c r="C208" i="9"/>
  <c r="R208" i="9"/>
  <c r="D208" i="9"/>
  <c r="J208" i="9" l="1"/>
  <c r="F208" i="9" s="1"/>
  <c r="T208" i="9"/>
  <c r="U208" i="9" s="1"/>
  <c r="V209" i="9"/>
  <c r="S209" i="9" s="1"/>
  <c r="E208" i="9"/>
  <c r="A210" i="9"/>
  <c r="G208" i="9"/>
  <c r="R209" i="9"/>
  <c r="C209" i="9"/>
  <c r="D209" i="9"/>
  <c r="B210" i="9"/>
  <c r="V210" i="9" l="1"/>
  <c r="S210" i="9" s="1"/>
  <c r="J209" i="9"/>
  <c r="F209" i="9" s="1"/>
  <c r="T209" i="9"/>
  <c r="U209" i="9" s="1"/>
  <c r="A211" i="9"/>
  <c r="E209" i="9"/>
  <c r="B211" i="9"/>
  <c r="C210" i="9"/>
  <c r="R210" i="9"/>
  <c r="D210" i="9"/>
  <c r="T210" i="9" l="1"/>
  <c r="U210" i="9" s="1"/>
  <c r="E210" i="9"/>
  <c r="C211" i="9"/>
  <c r="E211" i="9" s="1"/>
  <c r="V211" i="9"/>
  <c r="S211" i="9" s="1"/>
  <c r="D211" i="9"/>
  <c r="J211" i="9" s="1"/>
  <c r="F211" i="9" s="1"/>
  <c r="G211" i="9" s="1"/>
  <c r="H5" i="9" s="1"/>
  <c r="G209" i="9"/>
  <c r="J210" i="9"/>
  <c r="F210" i="9" s="1"/>
  <c r="G210" i="9" s="1"/>
  <c r="T211" i="9" l="1"/>
  <c r="U211" i="9" s="1"/>
  <c r="U4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14" authorId="0" shapeId="0" xr:uid="{00000000-0006-0000-0000-000001000000}">
      <text>
        <r>
          <rPr>
            <sz val="10"/>
            <color indexed="81"/>
            <rFont val="Calibri"/>
            <family val="2"/>
          </rPr>
          <t>=CallDelta(B14,BS_IVLow,0,BS_r,BS_K,BS_T)</t>
        </r>
      </text>
    </comment>
    <comment ref="E14" authorId="0" shapeId="0" xr:uid="{00000000-0006-0000-0000-000002000000}">
      <text>
        <r>
          <rPr>
            <sz val="10"/>
            <color indexed="81"/>
            <rFont val="Calibri"/>
            <family val="2"/>
          </rPr>
          <t>=CallGamma(B14,BS_IVLow,0,BS_r,BS_K,BS_T)</t>
        </r>
      </text>
    </comment>
  </commentList>
</comments>
</file>

<file path=xl/sharedStrings.xml><?xml version="1.0" encoding="utf-8"?>
<sst xmlns="http://schemas.openxmlformats.org/spreadsheetml/2006/main" count="113" uniqueCount="101">
  <si>
    <t>Interest Rate</t>
  </si>
  <si>
    <t>Volatility+</t>
  </si>
  <si>
    <t>Volatility-</t>
  </si>
  <si>
    <t>Asset Price</t>
  </si>
  <si>
    <t>Strike</t>
  </si>
  <si>
    <t>Option Type</t>
  </si>
  <si>
    <t>Call</t>
  </si>
  <si>
    <t>Maturity</t>
  </si>
  <si>
    <t>Bid</t>
  </si>
  <si>
    <t>Ask</t>
  </si>
  <si>
    <t>Quantity</t>
  </si>
  <si>
    <t>Asst Step</t>
  </si>
  <si>
    <t>payoff</t>
  </si>
  <si>
    <t>Worst Case</t>
  </si>
  <si>
    <t>Best Case</t>
  </si>
  <si>
    <t>Const Vol+</t>
  </si>
  <si>
    <t>Const Vol-</t>
  </si>
  <si>
    <t>BS</t>
  </si>
  <si>
    <t>BS Price</t>
  </si>
  <si>
    <t>Shares</t>
  </si>
  <si>
    <t>Delta</t>
  </si>
  <si>
    <t>Week</t>
  </si>
  <si>
    <t>Hedging Cost</t>
  </si>
  <si>
    <t>S</t>
  </si>
  <si>
    <t>Delta+</t>
  </si>
  <si>
    <t>Gamma</t>
  </si>
  <si>
    <t>Gamma+</t>
  </si>
  <si>
    <t>Asset</t>
    <phoneticPr fontId="2" type="noConversion"/>
  </si>
  <si>
    <t>Interest rate</t>
    <phoneticPr fontId="2" type="noConversion"/>
  </si>
  <si>
    <t>Strike</t>
    <phoneticPr fontId="2" type="noConversion"/>
  </si>
  <si>
    <t>Expiry</t>
    <phoneticPr fontId="2" type="noConversion"/>
  </si>
  <si>
    <t>Time Step</t>
    <phoneticPr fontId="2" type="noConversion"/>
  </si>
  <si>
    <t>Time</t>
  </si>
  <si>
    <t>Theoretical P&amp;L</t>
  </si>
  <si>
    <t>Actual P&amp;L</t>
  </si>
  <si>
    <t>These data have been generated by using different inputs to OneOptionPricing() function.</t>
  </si>
  <si>
    <t>UV</t>
  </si>
  <si>
    <t>Used for Black-Scholes</t>
  </si>
  <si>
    <t>Asset Path (sigma_a)</t>
  </si>
  <si>
    <t>Option (sigma_i)</t>
  </si>
  <si>
    <t>dDelta *S</t>
  </si>
  <si>
    <t>Vi</t>
  </si>
  <si>
    <t>Portfolio</t>
  </si>
  <si>
    <t>Ctrl+Q for CQF Macro</t>
  </si>
  <si>
    <t>Portfolio + Cash</t>
  </si>
  <si>
    <t>Delta_BS</t>
  </si>
  <si>
    <t>Rate</t>
  </si>
  <si>
    <t>Volatility</t>
  </si>
  <si>
    <t>dDelta</t>
  </si>
  <si>
    <t>Interest</t>
  </si>
  <si>
    <t>dDelta*S</t>
  </si>
  <si>
    <t>(Bank Account)</t>
  </si>
  <si>
    <t>Bought/Sold</t>
  </si>
  <si>
    <t>Replicating Vol</t>
  </si>
  <si>
    <t>V - Delta*S</t>
  </si>
  <si>
    <t>Actual or Implied? SELECT</t>
  </si>
  <si>
    <t>CallDelta(asset, Vol, DivYld, IntRate, Strike, expiry)</t>
  </si>
  <si>
    <t>CallGamma(asset, Vol, DivYld, IntRate, Strike, expiry)</t>
  </si>
  <si>
    <t>Volatility_BS</t>
  </si>
  <si>
    <t>Total P&amp;L</t>
  </si>
  <si>
    <r>
      <t xml:space="preserve">Example to the right: </t>
    </r>
    <r>
      <rPr>
        <sz val="12"/>
        <rFont val="Arial"/>
        <family val="2"/>
      </rPr>
      <t>use 10% vs 40% IV to observe difference (very low IV gives gamma maximised closer to ATM)</t>
    </r>
  </si>
  <si>
    <t>Value</t>
  </si>
  <si>
    <t>Market Price</t>
  </si>
  <si>
    <t>Delta  Replicating Vol</t>
  </si>
  <si>
    <t>Actual Volatility</t>
  </si>
  <si>
    <t>Implied Volatility</t>
  </si>
  <si>
    <t>Total Profit from selling V_i and replicating (with sigma_a)</t>
  </si>
  <si>
    <t>P&amp;L cumulative</t>
  </si>
  <si>
    <r>
      <rPr>
        <b/>
        <u/>
        <sz val="10"/>
        <rFont val="Arial"/>
        <family val="2"/>
      </rPr>
      <t>Cashflow</t>
    </r>
    <r>
      <rPr>
        <b/>
        <sz val="10"/>
        <rFont val="Arial"/>
        <family val="2"/>
      </rPr>
      <t xml:space="preserve"> from Replication</t>
    </r>
  </si>
  <si>
    <t>Cash on account</t>
  </si>
  <si>
    <r>
      <rPr>
        <b/>
        <sz val="10"/>
        <rFont val="Arial"/>
        <family val="2"/>
      </rPr>
      <t>IF asset UP = we sell even more stock = cashflow positive</t>
    </r>
    <r>
      <rPr>
        <sz val="10"/>
        <rFont val="Arial"/>
        <family val="2"/>
      </rPr>
      <t xml:space="preserve"> = delta increased</t>
    </r>
  </si>
  <si>
    <t>DeltaMin</t>
  </si>
  <si>
    <t>DeltaMax</t>
  </si>
  <si>
    <t>IF asset DOWN = we buy stock back = cashflow negative</t>
  </si>
  <si>
    <t>Call Strike</t>
  </si>
  <si>
    <t>Asset Return</t>
  </si>
  <si>
    <t>if S_T &gt; K this gives call payoff + P&amp;L</t>
  </si>
  <si>
    <t>Gamma_BS</t>
  </si>
  <si>
    <t>Cum P&amp;L</t>
  </si>
  <si>
    <t>Money from replication</t>
  </si>
  <si>
    <t>sigma_a=sigma_i</t>
  </si>
  <si>
    <t>BS option price (premium)</t>
  </si>
  <si>
    <t>IF Delta decreased we reduce position (negative cash flow)</t>
  </si>
  <si>
    <t>IF Delta increased we sell even more (positive cash flow/Cum P&amp;L increases)</t>
  </si>
  <si>
    <t>Replication means that we SELL shares to match call payoff.</t>
  </si>
  <si>
    <t>MtM</t>
  </si>
  <si>
    <t>MtM Notes (P&amp;L over dt)</t>
  </si>
  <si>
    <t xml:space="preserve"> (Forward)</t>
  </si>
  <si>
    <t>dt</t>
  </si>
  <si>
    <t>IF Gamma decreases (over time) we make P&amp;L relatively safely</t>
  </si>
  <si>
    <t>Spikes in Gamma reduce Cum P&amp;L</t>
  </si>
  <si>
    <r>
      <t xml:space="preserve">3.  IF realised &lt; option volatility, </t>
    </r>
    <r>
      <rPr>
        <b/>
        <u/>
        <sz val="11"/>
        <rFont val="Arial"/>
        <family val="2"/>
      </rPr>
      <t>P&amp;L over dt</t>
    </r>
    <r>
      <rPr>
        <b/>
        <sz val="11"/>
        <rFont val="Arial"/>
        <family val="2"/>
      </rPr>
      <t xml:space="preserve"> is NEGATIVE</t>
    </r>
  </si>
  <si>
    <t>1.  Call Gamma &gt; 0 allows to earn money</t>
  </si>
  <si>
    <t>Made Money? r^2 &lt; vol</t>
  </si>
  <si>
    <t>But, the jackpot hit when Gamma high-value and r^2-vol^2 positive.</t>
  </si>
  <si>
    <t>2.  High Gamma/Low Volatility, a risky combination</t>
  </si>
  <si>
    <t xml:space="preserve">  Va</t>
  </si>
  <si>
    <t xml:space="preserve">  Vi</t>
  </si>
  <si>
    <t xml:space="preserve">  Va - Vi</t>
  </si>
  <si>
    <t>Replicating with Implied Vol gives increasing P&amp;L but uncertain cumultive</t>
  </si>
  <si>
    <t>P&amp;L Realized-Implied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</si>
</sst>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#,##0.0000"/>
    <numFmt numFmtId="166" formatCode="0.000"/>
    <numFmt numFmtId="167" formatCode="#,##0.000"/>
  </numFmts>
  <fonts count="18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name val="NSimSun"/>
      <family val="3"/>
      <charset val="134"/>
    </font>
    <font>
      <i/>
      <sz val="10"/>
      <name val="Arial"/>
      <family val="2"/>
    </font>
    <font>
      <b/>
      <sz val="10"/>
      <color rgb="FFC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000000"/>
      <name val="Menlo"/>
      <family val="2"/>
    </font>
    <font>
      <b/>
      <u/>
      <sz val="12"/>
      <name val="Arial"/>
      <family val="2"/>
    </font>
    <font>
      <sz val="10"/>
      <color indexed="81"/>
      <name val="Calibri"/>
      <family val="2"/>
    </font>
    <font>
      <sz val="12"/>
      <color rgb="FF000000"/>
      <name val="Helvetica"/>
      <family val="2"/>
    </font>
    <font>
      <b/>
      <u/>
      <sz val="10"/>
      <name val="Arial"/>
      <family val="2"/>
    </font>
    <font>
      <b/>
      <sz val="11"/>
      <name val="Arial"/>
      <family val="2"/>
    </font>
    <font>
      <b/>
      <u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2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9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164" fontId="1" fillId="5" borderId="0" xfId="0" applyNumberFormat="1" applyFont="1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2" borderId="0" xfId="0" applyFill="1" applyAlignment="1">
      <alignment vertical="top" wrapText="1"/>
    </xf>
    <xf numFmtId="0" fontId="0" fillId="2" borderId="0" xfId="0" quotePrefix="1" applyFill="1" applyAlignment="1">
      <alignment horizontal="left" vertical="center"/>
    </xf>
    <xf numFmtId="9" fontId="3" fillId="7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3" fillId="9" borderId="0" xfId="0" applyFont="1" applyFill="1" applyAlignment="1">
      <alignment horizontal="center"/>
    </xf>
    <xf numFmtId="9" fontId="3" fillId="9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/>
    </xf>
    <xf numFmtId="9" fontId="6" fillId="2" borderId="0" xfId="0" applyNumberFormat="1" applyFont="1" applyFill="1" applyAlignment="1">
      <alignment horizontal="left"/>
    </xf>
    <xf numFmtId="0" fontId="3" fillId="8" borderId="0" xfId="0" applyFont="1" applyFill="1"/>
    <xf numFmtId="0" fontId="0" fillId="9" borderId="0" xfId="0" applyFill="1"/>
    <xf numFmtId="2" fontId="0" fillId="9" borderId="0" xfId="0" applyNumberFormat="1" applyFill="1"/>
    <xf numFmtId="0" fontId="0" fillId="8" borderId="0" xfId="0" applyFill="1"/>
    <xf numFmtId="2" fontId="3" fillId="9" borderId="0" xfId="0" applyNumberFormat="1" applyFont="1" applyFill="1"/>
    <xf numFmtId="165" fontId="0" fillId="10" borderId="0" xfId="0" applyNumberFormat="1" applyFill="1"/>
    <xf numFmtId="165" fontId="0" fillId="11" borderId="0" xfId="0" applyNumberFormat="1" applyFill="1"/>
    <xf numFmtId="0" fontId="3" fillId="2" borderId="1" xfId="0" applyFont="1" applyFill="1" applyBorder="1" applyAlignment="1">
      <alignment horizontal="center"/>
    </xf>
    <xf numFmtId="0" fontId="0" fillId="2" borderId="0" xfId="0" applyFill="1" applyAlignment="1">
      <alignment vertical="top"/>
    </xf>
    <xf numFmtId="0" fontId="11" fillId="0" borderId="0" xfId="0" applyFont="1"/>
    <xf numFmtId="9" fontId="3" fillId="2" borderId="0" xfId="11" applyFont="1" applyFill="1" applyAlignment="1">
      <alignment horizontal="center"/>
    </xf>
    <xf numFmtId="9" fontId="3" fillId="9" borderId="0" xfId="11" applyFont="1" applyFill="1" applyAlignment="1">
      <alignment horizontal="center"/>
    </xf>
    <xf numFmtId="2" fontId="0" fillId="8" borderId="0" xfId="0" applyNumberFormat="1" applyFill="1"/>
    <xf numFmtId="0" fontId="0" fillId="11" borderId="0" xfId="0" applyFill="1" applyAlignment="1">
      <alignment horizontal="center"/>
    </xf>
    <xf numFmtId="0" fontId="12" fillId="8" borderId="0" xfId="0" applyFont="1" applyFill="1"/>
    <xf numFmtId="0" fontId="3" fillId="0" borderId="0" xfId="0" applyFont="1" applyFill="1" applyAlignment="1">
      <alignment horizontal="center"/>
    </xf>
    <xf numFmtId="10" fontId="3" fillId="9" borderId="0" xfId="0" applyNumberFormat="1" applyFont="1" applyFill="1" applyAlignment="1">
      <alignment horizontal="center"/>
    </xf>
    <xf numFmtId="10" fontId="0" fillId="9" borderId="0" xfId="0" applyNumberFormat="1" applyFill="1"/>
    <xf numFmtId="166" fontId="0" fillId="2" borderId="0" xfId="0" applyNumberFormat="1" applyFill="1" applyAlignment="1">
      <alignment horizontal="center"/>
    </xf>
    <xf numFmtId="166" fontId="0" fillId="12" borderId="0" xfId="0" applyNumberFormat="1" applyFill="1" applyAlignment="1" applyProtection="1">
      <alignment horizontal="center"/>
    </xf>
    <xf numFmtId="0" fontId="0" fillId="2" borderId="0" xfId="0" applyFill="1" applyAlignment="1">
      <alignment horizontal="left" vertical="top"/>
    </xf>
    <xf numFmtId="2" fontId="0" fillId="2" borderId="0" xfId="0" applyNumberFormat="1" applyFill="1" applyAlignment="1">
      <alignment horizontal="center"/>
    </xf>
    <xf numFmtId="166" fontId="3" fillId="8" borderId="0" xfId="0" applyNumberFormat="1" applyFont="1" applyFill="1" applyAlignment="1">
      <alignment horizontal="center"/>
    </xf>
    <xf numFmtId="166" fontId="3" fillId="6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 vertical="center" wrapText="1"/>
    </xf>
    <xf numFmtId="0" fontId="16" fillId="2" borderId="0" xfId="0" quotePrefix="1" applyFont="1" applyFill="1" applyAlignment="1">
      <alignment horizontal="left" vertical="center"/>
    </xf>
    <xf numFmtId="167" fontId="0" fillId="2" borderId="0" xfId="0" applyNumberFormat="1" applyFill="1" applyAlignment="1">
      <alignment horizontal="center"/>
    </xf>
    <xf numFmtId="4" fontId="0" fillId="2" borderId="0" xfId="0" applyNumberFormat="1" applyFill="1" applyAlignment="1">
      <alignment horizontal="center"/>
    </xf>
    <xf numFmtId="166" fontId="0" fillId="12" borderId="0" xfId="0" applyNumberFormat="1" applyFont="1" applyFill="1" applyAlignment="1">
      <alignment horizontal="center"/>
    </xf>
    <xf numFmtId="0" fontId="0" fillId="2" borderId="0" xfId="0" quotePrefix="1" applyFill="1"/>
    <xf numFmtId="0" fontId="15" fillId="2" borderId="0" xfId="0" applyFont="1" applyFill="1" applyAlignment="1">
      <alignment horizontal="left" vertical="top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2" fontId="0" fillId="12" borderId="0" xfId="0" applyNumberFormat="1" applyFill="1" applyAlignment="1">
      <alignment horizontal="center"/>
    </xf>
    <xf numFmtId="0" fontId="3" fillId="2" borderId="0" xfId="0" applyFont="1" applyFill="1" applyAlignment="1">
      <alignment vertical="top" wrapText="1"/>
    </xf>
    <xf numFmtId="0" fontId="0" fillId="2" borderId="0" xfId="0" applyFill="1" applyAlignment="1">
      <alignment horizontal="center" wrapText="1"/>
    </xf>
    <xf numFmtId="0" fontId="10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</cellXfs>
  <cellStyles count="1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  <cellStyle name="Per cent" xfId="1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932241654446"/>
          <c:y val="8.2539938429868606E-2"/>
          <c:w val="0.80857988496118804"/>
          <c:h val="0.834836366765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Greeks!$C$13</c:f>
              <c:strCache>
                <c:ptCount val="1"/>
                <c:pt idx="0">
                  <c:v>Delta</c:v>
                </c:pt>
              </c:strCache>
            </c:strRef>
          </c:tx>
          <c:spPr>
            <a:ln w="15875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Greeks!$C$14:$C$113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1.7763568394002505E-15</c:v>
                </c:pt>
                <c:pt idx="10">
                  <c:v>7.0943251273547503E-14</c:v>
                </c:pt>
                <c:pt idx="11">
                  <c:v>1.7051915435217779E-12</c:v>
                </c:pt>
                <c:pt idx="12">
                  <c:v>2.6974533717805116E-11</c:v>
                </c:pt>
                <c:pt idx="13">
                  <c:v>3.023733485818525E-10</c:v>
                </c:pt>
                <c:pt idx="14">
                  <c:v>2.5430513250768172E-9</c:v>
                </c:pt>
                <c:pt idx="15">
                  <c:v>1.6783817557985969E-8</c:v>
                </c:pt>
                <c:pt idx="16">
                  <c:v>9.0096980542853089E-8</c:v>
                </c:pt>
                <c:pt idx="17">
                  <c:v>4.0494857611594881E-7</c:v>
                </c:pt>
                <c:pt idx="18">
                  <c:v>1.5605032926968576E-6</c:v>
                </c:pt>
                <c:pt idx="19">
                  <c:v>5.2581535181506212E-6</c:v>
                </c:pt>
                <c:pt idx="20">
                  <c:v>1.5748253469505258E-5</c:v>
                </c:pt>
                <c:pt idx="21">
                  <c:v>4.2507888714959918E-5</c:v>
                </c:pt>
                <c:pt idx="22">
                  <c:v>1.0462817930068091E-4</c:v>
                </c:pt>
                <c:pt idx="23">
                  <c:v>2.3721246156616083E-4</c:v>
                </c:pt>
                <c:pt idx="24">
                  <c:v>4.9968737837191579E-4</c:v>
                </c:pt>
                <c:pt idx="25">
                  <c:v>9.8535318400039262E-4</c:v>
                </c:pt>
                <c:pt idx="26">
                  <c:v>1.8308797953699996E-3</c:v>
                </c:pt>
                <c:pt idx="27">
                  <c:v>3.223974833830523E-3</c:v>
                </c:pt>
                <c:pt idx="28">
                  <c:v>5.4072817726963374E-3</c:v>
                </c:pt>
                <c:pt idx="29">
                  <c:v>8.6768100215708355E-3</c:v>
                </c:pt>
                <c:pt idx="30">
                  <c:v>1.3373844404928614E-2</c:v>
                </c:pt>
                <c:pt idx="31">
                  <c:v>1.9870211041530972E-2</c:v>
                </c:pt>
                <c:pt idx="32">
                  <c:v>2.8547800039548488E-2</c:v>
                </c:pt>
                <c:pt idx="33">
                  <c:v>3.9774155003621359E-2</c:v>
                </c:pt>
                <c:pt idx="34">
                  <c:v>5.3876563103812392E-2</c:v>
                </c:pt>
                <c:pt idx="35">
                  <c:v>7.1117317743735864E-2</c:v>
                </c:pt>
                <c:pt idx="36">
                  <c:v>9.1672664336472587E-2</c:v>
                </c:pt>
                <c:pt idx="37">
                  <c:v>0.11561743985783657</c:v>
                </c:pt>
                <c:pt idx="38">
                  <c:v>0.14291669145439878</c:v>
                </c:pt>
                <c:pt idx="39">
                  <c:v>0.17342474197829993</c:v>
                </c:pt>
                <c:pt idx="40">
                  <c:v>0.20689138715976574</c:v>
                </c:pt>
                <c:pt idx="41">
                  <c:v>0.24297425892854385</c:v>
                </c:pt>
                <c:pt idx="42">
                  <c:v>0.28125593297578677</c:v>
                </c:pt>
                <c:pt idx="43">
                  <c:v>0.32126411780956554</c:v>
                </c:pt>
                <c:pt idx="44">
                  <c:v>0.36249322583732646</c:v>
                </c:pt>
                <c:pt idx="45">
                  <c:v>0.40442575930731917</c:v>
                </c:pt>
                <c:pt idx="46">
                  <c:v>0.44655219723075135</c:v>
                </c:pt>
                <c:pt idx="47">
                  <c:v>0.48838839242555199</c:v>
                </c:pt>
                <c:pt idx="48">
                  <c:v>0.52948948772755444</c:v>
                </c:pt>
                <c:pt idx="49">
                  <c:v>0.5694601777375784</c:v>
                </c:pt>
                <c:pt idx="50">
                  <c:v>0.60796267377573388</c:v>
                </c:pt>
                <c:pt idx="51">
                  <c:v>0.64471974415599365</c:v>
                </c:pt>
                <c:pt idx="52">
                  <c:v>0.67951553458600267</c:v>
                </c:pt>
                <c:pt idx="53">
                  <c:v>0.71219387801908485</c:v>
                </c:pt>
                <c:pt idx="54">
                  <c:v>0.74265459972125114</c:v>
                </c:pt>
                <c:pt idx="55">
                  <c:v>0.77084836923665034</c:v>
                </c:pt>
                <c:pt idx="56">
                  <c:v>0.79677060951779122</c:v>
                </c:pt>
                <c:pt idx="57">
                  <c:v>0.82045491193554676</c:v>
                </c:pt>
                <c:pt idx="58">
                  <c:v>0.84196633288257072</c:v>
                </c:pt>
                <c:pt idx="59">
                  <c:v>0.8613948706635034</c:v>
                </c:pt>
                <c:pt idx="60">
                  <c:v>0.878849346168592</c:v>
                </c:pt>
                <c:pt idx="61">
                  <c:v>0.89445184164363079</c:v>
                </c:pt>
                <c:pt idx="62">
                  <c:v>0.90833279135367839</c:v>
                </c:pt>
                <c:pt idx="63">
                  <c:v>0.9206267674380274</c:v>
                </c:pt>
                <c:pt idx="64">
                  <c:v>0.93146896408188373</c:v>
                </c:pt>
                <c:pt idx="65">
                  <c:v>0.94099235284194527</c:v>
                </c:pt>
                <c:pt idx="66">
                  <c:v>0.94932546061190171</c:v>
                </c:pt>
                <c:pt idx="67">
                  <c:v>0.95659070806614588</c:v>
                </c:pt>
                <c:pt idx="68">
                  <c:v>0.96290323912519016</c:v>
                </c:pt>
                <c:pt idx="69">
                  <c:v>0.96837016970267209</c:v>
                </c:pt>
                <c:pt idx="70">
                  <c:v>0.97309018547362747</c:v>
                </c:pt>
                <c:pt idx="71">
                  <c:v>0.97715342254464865</c:v>
                </c:pt>
                <c:pt idx="72">
                  <c:v>0.98064157077676761</c:v>
                </c:pt>
                <c:pt idx="73">
                  <c:v>0.98362814635531548</c:v>
                </c:pt>
                <c:pt idx="74">
                  <c:v>0.98617888742905679</c:v>
                </c:pt>
                <c:pt idx="75">
                  <c:v>0.9883522338160714</c:v>
                </c:pt>
                <c:pt idx="76">
                  <c:v>0.99019985858867154</c:v>
                </c:pt>
                <c:pt idx="77">
                  <c:v>0.99176722560426755</c:v>
                </c:pt>
                <c:pt idx="78">
                  <c:v>0.99309415262942236</c:v>
                </c:pt>
                <c:pt idx="79">
                  <c:v>0.99421536456192738</c:v>
                </c:pt>
                <c:pt idx="80">
                  <c:v>0.99516102539035345</c:v>
                </c:pt>
                <c:pt idx="81">
                  <c:v>0.99595724097533522</c:v>
                </c:pt>
                <c:pt idx="82">
                  <c:v>0.99662652754656567</c:v>
                </c:pt>
                <c:pt idx="83">
                  <c:v>0.9971882430510477</c:v>
                </c:pt>
                <c:pt idx="84">
                  <c:v>0.99765898023370114</c:v>
                </c:pt>
                <c:pt idx="85">
                  <c:v>0.99805292165328097</c:v>
                </c:pt>
                <c:pt idx="86">
                  <c:v>0.9983821578037001</c:v>
                </c:pt>
                <c:pt idx="87">
                  <c:v>0.99865697018678878</c:v>
                </c:pt>
                <c:pt idx="88">
                  <c:v>0.99888608162405645</c:v>
                </c:pt>
                <c:pt idx="89">
                  <c:v>0.99907687635173803</c:v>
                </c:pt>
                <c:pt idx="90">
                  <c:v>0.99923559255770567</c:v>
                </c:pt>
                <c:pt idx="91">
                  <c:v>0.99936749002627057</c:v>
                </c:pt>
                <c:pt idx="92">
                  <c:v>0.99947699548675673</c:v>
                </c:pt>
                <c:pt idx="93">
                  <c:v>0.99956782813769129</c:v>
                </c:pt>
                <c:pt idx="94">
                  <c:v>0.99964310765931486</c:v>
                </c:pt>
                <c:pt idx="95">
                  <c:v>0.9997054468475165</c:v>
                </c:pt>
                <c:pt idx="96">
                  <c:v>0.99975703081337397</c:v>
                </c:pt>
                <c:pt idx="97">
                  <c:v>0.99979968450249335</c:v>
                </c:pt>
                <c:pt idx="98">
                  <c:v>0.9998349301032301</c:v>
                </c:pt>
                <c:pt idx="99">
                  <c:v>0.99986403573669724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84-BA46-AA73-F93E84ED71DA}"/>
            </c:ext>
          </c:extLst>
        </c:ser>
        <c:ser>
          <c:idx val="1"/>
          <c:order val="1"/>
          <c:tx>
            <c:strRef>
              <c:f>Greeks!$D$13</c:f>
              <c:strCache>
                <c:ptCount val="1"/>
                <c:pt idx="0">
                  <c:v>Delta+</c:v>
                </c:pt>
              </c:strCache>
            </c:strRef>
          </c:tx>
          <c:spPr>
            <a:ln w="158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Greeks!$D$14:$D$113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1.1102230246251565E-16</c:v>
                </c:pt>
                <c:pt idx="4">
                  <c:v>3.8857805861880479E-14</c:v>
                </c:pt>
                <c:pt idx="5">
                  <c:v>3.2855940190756883E-12</c:v>
                </c:pt>
                <c:pt idx="6">
                  <c:v>1.055658893633904E-10</c:v>
                </c:pt>
                <c:pt idx="7">
                  <c:v>1.7308836586238385E-9</c:v>
                </c:pt>
                <c:pt idx="8">
                  <c:v>1.7383955719374455E-8</c:v>
                </c:pt>
                <c:pt idx="9">
                  <c:v>1.2057497056350286E-7</c:v>
                </c:pt>
                <c:pt idx="10">
                  <c:v>6.2727009886298646E-7</c:v>
                </c:pt>
                <c:pt idx="11">
                  <c:v>2.5963548941909664E-6</c:v>
                </c:pt>
                <c:pt idx="12">
                  <c:v>8.9300945940173904E-6</c:v>
                </c:pt>
                <c:pt idx="13">
                  <c:v>2.6374325522215969E-5</c:v>
                </c:pt>
                <c:pt idx="14">
                  <c:v>6.8601310663440884E-5</c:v>
                </c:pt>
                <c:pt idx="15">
                  <c:v>1.6030364910302186E-4</c:v>
                </c:pt>
                <c:pt idx="16">
                  <c:v>3.4190341720030659E-4</c:v>
                </c:pt>
                <c:pt idx="17">
                  <c:v>6.7419436582238923E-4</c:v>
                </c:pt>
                <c:pt idx="18">
                  <c:v>1.2420840787992216E-3</c:v>
                </c:pt>
                <c:pt idx="19">
                  <c:v>2.156636855717653E-3</c:v>
                </c:pt>
                <c:pt idx="20">
                  <c:v>3.5548262182437673E-3</c:v>
                </c:pt>
                <c:pt idx="21">
                  <c:v>5.5967309987204894E-3</c:v>
                </c:pt>
                <c:pt idx="22">
                  <c:v>8.4602722786122353E-3</c:v>
                </c:pt>
                <c:pt idx="23">
                  <c:v>1.2333915364678649E-2</c:v>
                </c:pt>
                <c:pt idx="24">
                  <c:v>1.7407998105221423E-2</c:v>
                </c:pt>
                <c:pt idx="25">
                  <c:v>2.3865468695874359E-2</c:v>
                </c:pt>
                <c:pt idx="26">
                  <c:v>3.1872823267600991E-2</c:v>
                </c:pt>
                <c:pt idx="27">
                  <c:v>4.1571945509283559E-2</c:v>
                </c:pt>
                <c:pt idx="28">
                  <c:v>5.307339710661052E-2</c:v>
                </c:pt>
                <c:pt idx="29">
                  <c:v>6.6451520980826517E-2</c:v>
                </c:pt>
                <c:pt idx="30">
                  <c:v>8.1741527900126454E-2</c:v>
                </c:pt>
                <c:pt idx="31">
                  <c:v>9.8938563063660778E-2</c:v>
                </c:pt>
                <c:pt idx="32">
                  <c:v>0.1179986069840071</c:v>
                </c:pt>
                <c:pt idx="33">
                  <c:v>0.1388409613158299</c:v>
                </c:pt>
                <c:pt idx="34">
                  <c:v>0.16135200606804967</c:v>
                </c:pt>
                <c:pt idx="35">
                  <c:v>0.18538988644935173</c:v>
                </c:pt>
                <c:pt idx="36">
                  <c:v>0.21078978936497972</c:v>
                </c:pt>
                <c:pt idx="37">
                  <c:v>0.23736949406621743</c:v>
                </c:pt>
                <c:pt idx="38">
                  <c:v>0.26493492134162133</c:v>
                </c:pt>
                <c:pt idx="39">
                  <c:v>0.29328545429089004</c:v>
                </c:pt>
                <c:pt idx="40">
                  <c:v>0.32221885559192176</c:v>
                </c:pt>
                <c:pt idx="41">
                  <c:v>0.3515356569761835</c:v>
                </c:pt>
                <c:pt idx="42">
                  <c:v>0.38104294333641653</c:v>
                </c:pt>
                <c:pt idx="43">
                  <c:v>0.41055749459972135</c:v>
                </c:pt>
                <c:pt idx="44">
                  <c:v>0.43990828224324918</c:v>
                </c:pt>
                <c:pt idx="45">
                  <c:v>0.46893834387547484</c:v>
                </c:pt>
                <c:pt idx="46">
                  <c:v>0.49750607894908017</c:v>
                </c:pt>
                <c:pt idx="47">
                  <c:v>0.52548576474819098</c:v>
                </c:pt>
                <c:pt idx="48">
                  <c:v>0.55276795922856981</c:v>
                </c:pt>
                <c:pt idx="49">
                  <c:v>0.57925968418588936</c:v>
                </c:pt>
                <c:pt idx="50">
                  <c:v>0.60488370713870776</c:v>
                </c:pt>
                <c:pt idx="51">
                  <c:v>0.62957787014960431</c:v>
                </c:pt>
                <c:pt idx="52">
                  <c:v>0.65329421776055885</c:v>
                </c:pt>
                <c:pt idx="53">
                  <c:v>0.67599797440917719</c:v>
                </c:pt>
                <c:pt idx="54">
                  <c:v>0.69766642335182638</c:v>
                </c:pt>
                <c:pt idx="55">
                  <c:v>0.71828773121410616</c:v>
                </c:pt>
                <c:pt idx="56">
                  <c:v>0.73785975480038324</c:v>
                </c:pt>
                <c:pt idx="57">
                  <c:v>0.75638885986171234</c:v>
                </c:pt>
                <c:pt idx="58">
                  <c:v>0.77388877523708854</c:v>
                </c:pt>
                <c:pt idx="59">
                  <c:v>0.79037950019639835</c:v>
                </c:pt>
                <c:pt idx="60">
                  <c:v>0.80588627793943846</c:v>
                </c:pt>
                <c:pt idx="61">
                  <c:v>0.8204386440311543</c:v>
                </c:pt>
                <c:pt idx="62">
                  <c:v>0.83406955504535951</c:v>
                </c:pt>
                <c:pt idx="63">
                  <c:v>0.84681459979984319</c:v>
                </c:pt>
                <c:pt idx="64">
                  <c:v>0.85871129323812656</c:v>
                </c:pt>
                <c:pt idx="65">
                  <c:v>0.86979845118568444</c:v>
                </c:pt>
                <c:pt idx="66">
                  <c:v>0.88011564281846366</c:v>
                </c:pt>
                <c:pt idx="67">
                  <c:v>0.88970271666757361</c:v>
                </c:pt>
                <c:pt idx="68">
                  <c:v>0.89859939528780586</c:v>
                </c:pt>
                <c:pt idx="69">
                  <c:v>0.90684493328530058</c:v>
                </c:pt>
                <c:pt idx="70">
                  <c:v>0.91447783318237097</c:v>
                </c:pt>
                <c:pt idx="71">
                  <c:v>0.9215356135519176</c:v>
                </c:pt>
                <c:pt idx="72">
                  <c:v>0.92805462394207927</c:v>
                </c:pt>
                <c:pt idx="73">
                  <c:v>0.93406990130124701</c:v>
                </c:pt>
                <c:pt idx="74">
                  <c:v>0.93961506287670304</c:v>
                </c:pt>
                <c:pt idx="75">
                  <c:v>0.94472223087395357</c:v>
                </c:pt>
                <c:pt idx="76">
                  <c:v>0.94942198450944681</c:v>
                </c:pt>
                <c:pt idx="77">
                  <c:v>0.95374333545157941</c:v>
                </c:pt>
                <c:pt idx="78">
                  <c:v>0.95771372301168167</c:v>
                </c:pt>
                <c:pt idx="79">
                  <c:v>0.96135902580874</c:v>
                </c:pt>
                <c:pt idx="80">
                  <c:v>0.96470358698197745</c:v>
                </c:pt>
                <c:pt idx="81">
                  <c:v>0.9677702503590363</c:v>
                </c:pt>
                <c:pt idx="82">
                  <c:v>0.97058040530092526</c:v>
                </c:pt>
                <c:pt idx="83">
                  <c:v>0.97315403823595403</c:v>
                </c:pt>
                <c:pt idx="84">
                  <c:v>0.97550978916243924</c:v>
                </c:pt>
                <c:pt idx="85">
                  <c:v>0.97766501164370723</c:v>
                </c:pt>
                <c:pt idx="86">
                  <c:v>0.97963583503912999</c:v>
                </c:pt>
                <c:pt idx="87">
                  <c:v>0.98143722791235843</c:v>
                </c:pt>
                <c:pt idx="88">
                  <c:v>0.9830830617336499</c:v>
                </c:pt>
                <c:pt idx="89">
                  <c:v>0.98458617414852001</c:v>
                </c:pt>
                <c:pt idx="90">
                  <c:v>0.98595843122133209</c:v>
                </c:pt>
                <c:pt idx="91">
                  <c:v>0.98721078818137398</c:v>
                </c:pt>
                <c:pt idx="92">
                  <c:v>0.98835334830200838</c:v>
                </c:pt>
                <c:pt idx="93">
                  <c:v>0.98939541963211264</c:v>
                </c:pt>
                <c:pt idx="94">
                  <c:v>0.99034556937472329</c:v>
                </c:pt>
                <c:pt idx="95">
                  <c:v>0.99121167577195213</c:v>
                </c:pt>
                <c:pt idx="96">
                  <c:v>0.9920009774091525</c:v>
                </c:pt>
                <c:pt idx="97">
                  <c:v>0.99272011989620179</c:v>
                </c:pt>
                <c:pt idx="98">
                  <c:v>0.99337519992074341</c:v>
                </c:pt>
                <c:pt idx="99">
                  <c:v>0.99397180669831686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4-BA46-AA73-F93E84ED7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896752"/>
        <c:axId val="-1003432848"/>
      </c:scatterChart>
      <c:valAx>
        <c:axId val="-970896752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Asset</a:t>
                </a:r>
              </a:p>
            </c:rich>
          </c:tx>
          <c:layout>
            <c:manualLayout>
              <c:xMode val="edge"/>
              <c:yMode val="edge"/>
              <c:x val="0.45372163585934699"/>
              <c:y val="0.918711931500366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003432848"/>
        <c:crosses val="autoZero"/>
        <c:crossBetween val="midCat"/>
      </c:valAx>
      <c:valAx>
        <c:axId val="-1003432848"/>
        <c:scaling>
          <c:orientation val="minMax"/>
          <c:max val="1.25"/>
          <c:min val="-0.25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Delta</a:t>
                </a:r>
              </a:p>
            </c:rich>
          </c:tx>
          <c:layout>
            <c:manualLayout>
              <c:xMode val="edge"/>
              <c:yMode val="edge"/>
              <c:x val="2.58481785521491E-2"/>
              <c:y val="0.40635050126930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0896752"/>
        <c:crosses val="autoZero"/>
        <c:crossBetween val="midCat"/>
        <c:majorUnit val="0.25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072166384349704"/>
          <c:y val="0.55445295944545803"/>
          <c:w val="0.13861370283909899"/>
          <c:h val="0.1365084118583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54938388954599"/>
          <c:y val="8.2539938429868606E-2"/>
          <c:w val="0.80432561719258799"/>
          <c:h val="0.80000233304170298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Greeks!$E$13</c:f>
              <c:strCache>
                <c:ptCount val="1"/>
                <c:pt idx="0">
                  <c:v>Gamma</c:v>
                </c:pt>
              </c:strCache>
            </c:strRef>
          </c:tx>
          <c:spPr>
            <a:ln w="15875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Greeks!$E$14:$E$113</c:f>
              <c:numCache>
                <c:formatCode>General</c:formatCode>
                <c:ptCount val="100"/>
                <c:pt idx="0">
                  <c:v>5.0084911673274488E-82</c:v>
                </c:pt>
                <c:pt idx="1">
                  <c:v>9.2887274480900552E-56</c:v>
                </c:pt>
                <c:pt idx="2">
                  <c:v>8.2356287383920902E-43</c:v>
                </c:pt>
                <c:pt idx="3">
                  <c:v>1.0465336777613854E-34</c:v>
                </c:pt>
                <c:pt idx="4">
                  <c:v>4.8634703532361778E-29</c:v>
                </c:pt>
                <c:pt idx="5">
                  <c:v>8.2426100780573973E-25</c:v>
                </c:pt>
                <c:pt idx="6">
                  <c:v>1.6224143689431844E-21</c:v>
                </c:pt>
                <c:pt idx="7">
                  <c:v>7.1630482801383905E-19</c:v>
                </c:pt>
                <c:pt idx="8">
                  <c:v>1.065135275746814E-16</c:v>
                </c:pt>
                <c:pt idx="9">
                  <c:v>6.965758049653437E-15</c:v>
                </c:pt>
                <c:pt idx="10">
                  <c:v>2.4072251785235818E-13</c:v>
                </c:pt>
                <c:pt idx="11">
                  <c:v>5.0116465228976473E-12</c:v>
                </c:pt>
                <c:pt idx="12">
                  <c:v>6.9224540075018397E-11</c:v>
                </c:pt>
                <c:pt idx="13">
                  <c:v>6.8230412732342997E-10</c:v>
                </c:pt>
                <c:pt idx="14">
                  <c:v>5.0758667977619702E-9</c:v>
                </c:pt>
                <c:pt idx="15">
                  <c:v>2.9784494191315159E-8</c:v>
                </c:pt>
                <c:pt idx="16">
                  <c:v>1.4278203918525825E-7</c:v>
                </c:pt>
                <c:pt idx="17">
                  <c:v>5.7529612809118231E-7</c:v>
                </c:pt>
                <c:pt idx="18">
                  <c:v>1.994032342016128E-6</c:v>
                </c:pt>
                <c:pt idx="19">
                  <c:v>6.0609148017800238E-6</c:v>
                </c:pt>
                <c:pt idx="20">
                  <c:v>1.6416264277605462E-5</c:v>
                </c:pt>
                <c:pt idx="21">
                  <c:v>4.0161131085423058E-5</c:v>
                </c:pt>
                <c:pt idx="22">
                  <c:v>8.9765786773274479E-5</c:v>
                </c:pt>
                <c:pt idx="23">
                  <c:v>1.8511592842770743E-4</c:v>
                </c:pt>
                <c:pt idx="24">
                  <c:v>3.5519350655899962E-4</c:v>
                </c:pt>
                <c:pt idx="25">
                  <c:v>6.3876636209564354E-4</c:v>
                </c:pt>
                <c:pt idx="26">
                  <c:v>1.0835050388420489E-3</c:v>
                </c:pt>
                <c:pt idx="27">
                  <c:v>1.7431786325016383E-3</c:v>
                </c:pt>
                <c:pt idx="28">
                  <c:v>2.6729598579908567E-3</c:v>
                </c:pt>
                <c:pt idx="29">
                  <c:v>3.9232954716652219E-3</c:v>
                </c:pt>
                <c:pt idx="30">
                  <c:v>5.533156513490017E-3</c:v>
                </c:pt>
                <c:pt idx="31">
                  <c:v>7.5236790529149399E-3</c:v>
                </c:pt>
                <c:pt idx="32">
                  <c:v>9.8931942041304809E-3</c:v>
                </c:pt>
                <c:pt idx="33">
                  <c:v>1.2614436966213801E-2</c:v>
                </c:pt>
                <c:pt idx="34">
                  <c:v>1.563437453225024E-2</c:v>
                </c:pt>
                <c:pt idx="35">
                  <c:v>1.8876688756397735E-2</c:v>
                </c:pt>
                <c:pt idx="36">
                  <c:v>2.2246567988949247E-2</c:v>
                </c:pt>
                <c:pt idx="37">
                  <c:v>2.563717556258361E-2</c:v>
                </c:pt>
                <c:pt idx="38">
                  <c:v>2.8937001985425342E-2</c:v>
                </c:pt>
                <c:pt idx="39">
                  <c:v>3.2037281254222796E-2</c:v>
                </c:pt>
                <c:pt idx="40">
                  <c:v>3.4838739892415434E-2</c:v>
                </c:pt>
                <c:pt idx="41">
                  <c:v>3.7257116259317685E-2</c:v>
                </c:pt>
                <c:pt idx="42">
                  <c:v>3.9227097812904552E-2</c:v>
                </c:pt>
                <c:pt idx="43">
                  <c:v>4.0704538488218693E-2</c:v>
                </c:pt>
                <c:pt idx="44">
                  <c:v>4.1667008388513518E-2</c:v>
                </c:pt>
                <c:pt idx="45">
                  <c:v>4.2112875244039207E-2</c:v>
                </c:pt>
                <c:pt idx="46">
                  <c:v>4.205921361966606E-2</c:v>
                </c:pt>
                <c:pt idx="47">
                  <c:v>4.1538884339160621E-2</c:v>
                </c:pt>
                <c:pt idx="48">
                  <c:v>4.0597129829167196E-2</c:v>
                </c:pt>
                <c:pt idx="49">
                  <c:v>3.9288001279828448E-2</c:v>
                </c:pt>
                <c:pt idx="50">
                  <c:v>3.7670881971642839E-2</c:v>
                </c:pt>
                <c:pt idx="51">
                  <c:v>3.5807308474253681E-2</c:v>
                </c:pt>
                <c:pt idx="52">
                  <c:v>3.3758226572263079E-2</c:v>
                </c:pt>
                <c:pt idx="53">
                  <c:v>3.1581758334776756E-2</c:v>
                </c:pt>
                <c:pt idx="54">
                  <c:v>2.933150500522556E-2</c:v>
                </c:pt>
                <c:pt idx="55">
                  <c:v>2.7055369542696904E-2</c:v>
                </c:pt>
                <c:pt idx="56">
                  <c:v>2.4794853213882643E-2</c:v>
                </c:pt>
                <c:pt idx="57">
                  <c:v>2.2584761924138205E-2</c:v>
                </c:pt>
                <c:pt idx="58">
                  <c:v>2.0453248533361779E-2</c:v>
                </c:pt>
                <c:pt idx="59">
                  <c:v>1.8422115393202303E-2</c:v>
                </c:pt>
                <c:pt idx="60">
                  <c:v>1.6507304845899923E-2</c:v>
                </c:pt>
                <c:pt idx="61">
                  <c:v>1.4719512639483826E-2</c:v>
                </c:pt>
                <c:pt idx="62">
                  <c:v>1.3064868579177239E-2</c:v>
                </c:pt>
                <c:pt idx="63">
                  <c:v>1.154563899221649E-2</c:v>
                </c:pt>
                <c:pt idx="64">
                  <c:v>1.01609157866172E-2</c:v>
                </c:pt>
                <c:pt idx="65">
                  <c:v>8.9072663781394629E-3</c:v>
                </c:pt>
                <c:pt idx="66">
                  <c:v>7.7793271386688446E-3</c:v>
                </c:pt>
                <c:pt idx="67">
                  <c:v>6.7703300802239141E-3</c:v>
                </c:pt>
                <c:pt idx="68">
                  <c:v>5.8725581812406015E-3</c:v>
                </c:pt>
                <c:pt idx="69">
                  <c:v>5.0777291424090798E-3</c:v>
                </c:pt>
                <c:pt idx="70">
                  <c:v>4.3773105535196335E-3</c:v>
                </c:pt>
                <c:pt idx="71">
                  <c:v>3.7627716234435327E-3</c:v>
                </c:pt>
                <c:pt idx="72">
                  <c:v>3.2257779495648087E-3</c:v>
                </c:pt>
                <c:pt idx="73">
                  <c:v>2.7583364551895823E-3</c:v>
                </c:pt>
                <c:pt idx="74">
                  <c:v>2.3528977648414238E-3</c:v>
                </c:pt>
                <c:pt idx="75">
                  <c:v>2.0024230594804411E-3</c:v>
                </c:pt>
                <c:pt idx="76">
                  <c:v>1.7004219758287615E-3</c:v>
                </c:pt>
                <c:pt idx="77">
                  <c:v>1.4409674828225996E-3</c:v>
                </c:pt>
                <c:pt idx="78">
                  <c:v>1.2186929591767579E-3</c:v>
                </c:pt>
                <c:pt idx="79">
                  <c:v>1.0287759656336323E-3</c:v>
                </c:pt>
                <c:pt idx="80">
                  <c:v>8.6691249398593241E-4</c:v>
                </c:pt>
                <c:pt idx="81">
                  <c:v>7.2928480940597906E-4</c:v>
                </c:pt>
                <c:pt idx="82">
                  <c:v>6.1252539940318961E-4</c:v>
                </c:pt>
                <c:pt idx="83">
                  <c:v>5.1367901018025655E-4</c:v>
                </c:pt>
                <c:pt idx="84">
                  <c:v>4.3016429161391744E-4</c:v>
                </c:pt>
                <c:pt idx="85">
                  <c:v>3.5973618370293528E-4</c:v>
                </c:pt>
                <c:pt idx="86">
                  <c:v>3.0044985549615351E-4</c:v>
                </c:pt>
                <c:pt idx="87">
                  <c:v>2.5062674598046674E-4</c:v>
                </c:pt>
                <c:pt idx="88">
                  <c:v>2.0882304810264558E-4</c:v>
                </c:pt>
                <c:pt idx="89">
                  <c:v>1.7380081474370853E-4</c:v>
                </c:pt>
                <c:pt idx="90">
                  <c:v>1.445017419939534E-4</c:v>
                </c:pt>
                <c:pt idx="91">
                  <c:v>1.2002359390473972E-4</c:v>
                </c:pt>
                <c:pt idx="92">
                  <c:v>9.9599168069981102E-5</c:v>
                </c:pt>
                <c:pt idx="93">
                  <c:v>8.2577657675860744E-5</c:v>
                </c:pt>
                <c:pt idx="94">
                  <c:v>6.8408238534677294E-5</c:v>
                </c:pt>
                <c:pt idx="95">
                  <c:v>5.6625695268417235E-5</c:v>
                </c:pt>
                <c:pt idx="96">
                  <c:v>4.6837896056140886E-5</c:v>
                </c:pt>
                <c:pt idx="97">
                  <c:v>3.8714927613947964E-5</c:v>
                </c:pt>
                <c:pt idx="98">
                  <c:v>3.1979709254048464E-5</c:v>
                </c:pt>
                <c:pt idx="99">
                  <c:v>2.6399915325170486E-5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A6-7942-BE73-A49A39653526}"/>
            </c:ext>
          </c:extLst>
        </c:ser>
        <c:ser>
          <c:idx val="3"/>
          <c:order val="1"/>
          <c:tx>
            <c:strRef>
              <c:f>Greeks!$F$13</c:f>
              <c:strCache>
                <c:ptCount val="1"/>
                <c:pt idx="0">
                  <c:v>Gamma+</c:v>
                </c:pt>
              </c:strCache>
            </c:strRef>
          </c:tx>
          <c:spPr>
            <a:ln w="15875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Greeks!$F$14:$F$113</c:f>
              <c:numCache>
                <c:formatCode>General</c:formatCode>
                <c:ptCount val="100"/>
                <c:pt idx="0">
                  <c:v>2.1049947902087335E-36</c:v>
                </c:pt>
                <c:pt idx="1">
                  <c:v>5.5868905792686009E-25</c:v>
                </c:pt>
                <c:pt idx="2">
                  <c:v>2.2645337680339111E-19</c:v>
                </c:pt>
                <c:pt idx="3">
                  <c:v>7.1230509888636144E-16</c:v>
                </c:pt>
                <c:pt idx="4">
                  <c:v>1.9528108615958928E-13</c:v>
                </c:pt>
                <c:pt idx="5">
                  <c:v>1.2714053216316235E-11</c:v>
                </c:pt>
                <c:pt idx="6">
                  <c:v>3.2549037989507448E-10</c:v>
                </c:pt>
                <c:pt idx="7">
                  <c:v>4.3625326244918549E-9</c:v>
                </c:pt>
                <c:pt idx="8">
                  <c:v>3.6524250652014322E-8</c:v>
                </c:pt>
                <c:pt idx="9">
                  <c:v>2.1447033771891672E-7</c:v>
                </c:pt>
                <c:pt idx="10">
                  <c:v>9.564727246342566E-7</c:v>
                </c:pt>
                <c:pt idx="11">
                  <c:v>3.4289882409020124E-6</c:v>
                </c:pt>
                <c:pt idx="12">
                  <c:v>1.0303589030426439E-5</c:v>
                </c:pt>
                <c:pt idx="13">
                  <c:v>2.6780603969057632E-5</c:v>
                </c:pt>
                <c:pt idx="14">
                  <c:v>6.1687712630331936E-5</c:v>
                </c:pt>
                <c:pt idx="15">
                  <c:v>1.2834769380510469E-4</c:v>
                </c:pt>
                <c:pt idx="16">
                  <c:v>2.4489122351713965E-4</c:v>
                </c:pt>
                <c:pt idx="17">
                  <c:v>4.3378309359817633E-4</c:v>
                </c:pt>
                <c:pt idx="18">
                  <c:v>7.2050046038419464E-4</c:v>
                </c:pt>
                <c:pt idx="19">
                  <c:v>1.1314908243522483E-3</c:v>
                </c:pt>
                <c:pt idx="20">
                  <c:v>1.6916887749530585E-3</c:v>
                </c:pt>
                <c:pt idx="21">
                  <c:v>2.4219491680991011E-3</c:v>
                </c:pt>
                <c:pt idx="22">
                  <c:v>3.3367526919931144E-3</c:v>
                </c:pt>
                <c:pt idx="23">
                  <c:v>4.4424721491793826E-3</c:v>
                </c:pt>
                <c:pt idx="24">
                  <c:v>5.7363805399154337E-3</c:v>
                </c:pt>
                <c:pt idx="25">
                  <c:v>7.2064633128603181E-3</c:v>
                </c:pt>
                <c:pt idx="26">
                  <c:v>8.8319899349429618E-3</c:v>
                </c:pt>
                <c:pt idx="27">
                  <c:v>1.0584718789079526E-2</c:v>
                </c:pt>
                <c:pt idx="28">
                  <c:v>1.243056029836833E-2</c:v>
                </c:pt>
                <c:pt idx="29">
                  <c:v>1.4331505149343865E-2</c:v>
                </c:pt>
                <c:pt idx="30">
                  <c:v>1.6247632122943275E-2</c:v>
                </c:pt>
                <c:pt idx="31">
                  <c:v>1.8139035819036722E-2</c:v>
                </c:pt>
                <c:pt idx="32">
                  <c:v>1.9967550725160488E-2</c:v>
                </c:pt>
                <c:pt idx="33">
                  <c:v>2.1698187862371453E-2</c:v>
                </c:pt>
                <c:pt idx="34">
                  <c:v>2.3300238466598282E-2</c:v>
                </c:pt>
                <c:pt idx="35">
                  <c:v>2.4748032402144446E-2</c:v>
                </c:pt>
                <c:pt idx="36">
                  <c:v>2.6021365414559964E-2</c:v>
                </c:pt>
                <c:pt idx="37">
                  <c:v>2.7105628349424322E-2</c:v>
                </c:pt>
                <c:pt idx="38">
                  <c:v>2.7991683441833011E-2</c:v>
                </c:pt>
                <c:pt idx="39">
                  <c:v>2.8675538638672005E-2</c:v>
                </c:pt>
                <c:pt idx="40">
                  <c:v>2.9157871855842326E-2</c:v>
                </c:pt>
                <c:pt idx="41">
                  <c:v>2.9443454367821725E-2</c:v>
                </c:pt>
                <c:pt idx="42">
                  <c:v>2.9540517373126074E-2</c:v>
                </c:pt>
                <c:pt idx="43">
                  <c:v>2.9460099210310241E-2</c:v>
                </c:pt>
                <c:pt idx="44">
                  <c:v>2.9215403548493515E-2</c:v>
                </c:pt>
                <c:pt idx="45">
                  <c:v>2.8821191771089182E-2</c:v>
                </c:pt>
                <c:pt idx="46">
                  <c:v>2.8293226147726089E-2</c:v>
                </c:pt>
                <c:pt idx="47">
                  <c:v>2.7647774519859444E-2</c:v>
                </c:pt>
                <c:pt idx="48">
                  <c:v>2.6901182251041794E-2</c:v>
                </c:pt>
                <c:pt idx="49">
                  <c:v>2.6069513154046032E-2</c:v>
                </c:pt>
                <c:pt idx="50">
                  <c:v>2.5168257973773599E-2</c:v>
                </c:pt>
                <c:pt idx="51">
                  <c:v>2.4212106700534339E-2</c:v>
                </c:pt>
                <c:pt idx="52">
                  <c:v>2.3214779409627313E-2</c:v>
                </c:pt>
                <c:pt idx="53">
                  <c:v>2.2188909355409958E-2</c:v>
                </c:pt>
                <c:pt idx="54">
                  <c:v>2.1145971575717421E-2</c:v>
                </c:pt>
                <c:pt idx="55">
                  <c:v>2.0096250176641534E-2</c:v>
                </c:pt>
                <c:pt idx="56">
                  <c:v>1.9048837670345431E-2</c:v>
                </c:pt>
                <c:pt idx="57">
                  <c:v>1.8011660145076283E-2</c:v>
                </c:pt>
                <c:pt idx="58">
                  <c:v>1.6991522586093426E-2</c:v>
                </c:pt>
                <c:pt idx="59">
                  <c:v>1.5994169281665242E-2</c:v>
                </c:pt>
                <c:pt idx="60">
                  <c:v>1.5024354894916148E-2</c:v>
                </c:pt>
                <c:pt idx="61">
                  <c:v>1.4085922426483965E-2</c:v>
                </c:pt>
                <c:pt idx="62">
                  <c:v>1.3181884910482453E-2</c:v>
                </c:pt>
                <c:pt idx="63">
                  <c:v>1.2314508260778428E-2</c:v>
                </c:pt>
                <c:pt idx="64">
                  <c:v>1.1485393206015179E-2</c:v>
                </c:pt>
                <c:pt idx="65">
                  <c:v>1.0695554714988668E-2</c:v>
                </c:pt>
                <c:pt idx="66">
                  <c:v>9.9454977174777363E-3</c:v>
                </c:pt>
                <c:pt idx="67">
                  <c:v>9.2352882707186293E-3</c:v>
                </c:pt>
                <c:pt idx="68">
                  <c:v>8.5646196115461565E-3</c:v>
                </c:pt>
                <c:pt idx="69">
                  <c:v>7.9328727731510142E-3</c:v>
                </c:pt>
                <c:pt idx="70">
                  <c:v>7.3391716384648351E-3</c:v>
                </c:pt>
                <c:pt idx="71">
                  <c:v>6.7824324547056903E-3</c:v>
                </c:pt>
                <c:pt idx="72">
                  <c:v>6.261407950925597E-3</c:v>
                </c:pt>
                <c:pt idx="73">
                  <c:v>5.7747262876173631E-3</c:v>
                </c:pt>
                <c:pt idx="74">
                  <c:v>5.3209251293448168E-3</c:v>
                </c:pt>
                <c:pt idx="75">
                  <c:v>4.8984811723197077E-3</c:v>
                </c:pt>
                <c:pt idx="76">
                  <c:v>4.5058354827609811E-3</c:v>
                </c:pt>
                <c:pt idx="77">
                  <c:v>4.1414150121673226E-3</c:v>
                </c:pt>
                <c:pt idx="78">
                  <c:v>3.8036506552792432E-3</c:v>
                </c:pt>
                <c:pt idx="79">
                  <c:v>3.4909922080341451E-3</c:v>
                </c:pt>
                <c:pt idx="80">
                  <c:v>3.2019205683557761E-3</c:v>
                </c:pt>
                <c:pt idx="81">
                  <c:v>2.9349575039334208E-3</c:v>
                </c:pt>
                <c:pt idx="82">
                  <c:v>2.6886732896791708E-3</c:v>
                </c:pt>
                <c:pt idx="83">
                  <c:v>2.4616924944637032E-3</c:v>
                </c:pt>
                <c:pt idx="84">
                  <c:v>2.2526981729397147E-3</c:v>
                </c:pt>
                <c:pt idx="85">
                  <c:v>2.0604346944779238E-3</c:v>
                </c:pt>
                <c:pt idx="86">
                  <c:v>1.8837094179992343E-3</c:v>
                </c:pt>
                <c:pt idx="87">
                  <c:v>1.7213933991809039E-3</c:v>
                </c:pt>
                <c:pt idx="88">
                  <c:v>1.5724212954178059E-3</c:v>
                </c:pt>
                <c:pt idx="89">
                  <c:v>1.4357906142104184E-3</c:v>
                </c:pt>
                <c:pt idx="90">
                  <c:v>1.3105604324315722E-3</c:v>
                </c:pt>
                <c:pt idx="91">
                  <c:v>1.195849697236484E-3</c:v>
                </c:pt>
                <c:pt idx="92">
                  <c:v>1.0908352042227529E-3</c:v>
                </c:pt>
                <c:pt idx="93">
                  <c:v>9.9474933478141056E-4</c:v>
                </c:pt>
                <c:pt idx="94">
                  <c:v>9.0687762234530447E-4</c:v>
                </c:pt>
                <c:pt idx="95">
                  <c:v>8.2655620635819344E-4</c:v>
                </c:pt>
                <c:pt idx="96">
                  <c:v>7.5316922316741677E-4</c:v>
                </c:pt>
                <c:pt idx="97">
                  <c:v>6.8614617458907323E-4</c:v>
                </c:pt>
                <c:pt idx="98">
                  <c:v>6.2495930750941303E-4</c:v>
                </c:pt>
                <c:pt idx="99">
                  <c:v>5.6912103147197998E-4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A6-7942-BE73-A49A39653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98176"/>
        <c:axId val="-968694784"/>
      </c:scatterChart>
      <c:valAx>
        <c:axId val="-968698176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Asset</a:t>
                </a:r>
              </a:p>
            </c:rich>
          </c:tx>
          <c:layout>
            <c:manualLayout>
              <c:xMode val="edge"/>
              <c:yMode val="edge"/>
              <c:x val="0.478739971662834"/>
              <c:y val="0.90476465951960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68694784"/>
        <c:crosses val="autoZero"/>
        <c:crossBetween val="midCat"/>
      </c:valAx>
      <c:valAx>
        <c:axId val="-968694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Gamma</a:t>
                </a:r>
              </a:p>
            </c:rich>
          </c:tx>
          <c:layout>
            <c:manualLayout>
              <c:xMode val="edge"/>
              <c:yMode val="edge"/>
              <c:x val="2.5848140663833001E-2"/>
              <c:y val="0.377779206170657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68698176"/>
        <c:crosses val="autoZero"/>
        <c:crossBetween val="midCat"/>
        <c:majorUnit val="0.0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863637048558398"/>
          <c:y val="0.49477909181851099"/>
          <c:w val="0.145396046733096"/>
          <c:h val="0.1365083446201879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1"/>
          <c:tx>
            <c:strRef>
              <c:f>'Delta Hedge'!$F$11</c:f>
              <c:strCache>
                <c:ptCount val="1"/>
                <c:pt idx="0">
                  <c:v>Cum P&amp;L</c:v>
                </c:pt>
              </c:strCache>
            </c:strRef>
          </c:tx>
          <c:marker>
            <c:symbol val="none"/>
          </c:marker>
          <c:xVal>
            <c:numRef>
              <c:f>'Delta Hedge'!$A$12:$A$112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'Delta Hedge'!$F$12:$F$112</c:f>
              <c:numCache>
                <c:formatCode>#,##0.00</c:formatCode>
                <c:ptCount val="101"/>
                <c:pt idx="0">
                  <c:v>63.683058735763588</c:v>
                </c:pt>
                <c:pt idx="1">
                  <c:v>62.962154555521629</c:v>
                </c:pt>
                <c:pt idx="2">
                  <c:v>56.734946815406545</c:v>
                </c:pt>
                <c:pt idx="3">
                  <c:v>52.892826266882814</c:v>
                </c:pt>
                <c:pt idx="4">
                  <c:v>49.219941990484656</c:v>
                </c:pt>
                <c:pt idx="5">
                  <c:v>51.627149043145593</c:v>
                </c:pt>
                <c:pt idx="6">
                  <c:v>48.767470674308782</c:v>
                </c:pt>
                <c:pt idx="7">
                  <c:v>45.209263834337136</c:v>
                </c:pt>
                <c:pt idx="8">
                  <c:v>47.534230575023663</c:v>
                </c:pt>
                <c:pt idx="9">
                  <c:v>42.65512803033873</c:v>
                </c:pt>
                <c:pt idx="10">
                  <c:v>44.95262987822727</c:v>
                </c:pt>
                <c:pt idx="11">
                  <c:v>43.07961115751489</c:v>
                </c:pt>
                <c:pt idx="12">
                  <c:v>44.64463836753292</c:v>
                </c:pt>
                <c:pt idx="13">
                  <c:v>44.436986467810421</c:v>
                </c:pt>
                <c:pt idx="14">
                  <c:v>50.178206077348541</c:v>
                </c:pt>
                <c:pt idx="15">
                  <c:v>48.306744396003168</c:v>
                </c:pt>
                <c:pt idx="16">
                  <c:v>51.73180902845656</c:v>
                </c:pt>
                <c:pt idx="17">
                  <c:v>49.172458915110404</c:v>
                </c:pt>
                <c:pt idx="18">
                  <c:v>44.671953225091038</c:v>
                </c:pt>
                <c:pt idx="19">
                  <c:v>47.27995205705885</c:v>
                </c:pt>
                <c:pt idx="20">
                  <c:v>54.53455801592898</c:v>
                </c:pt>
                <c:pt idx="21">
                  <c:v>55.908862101222802</c:v>
                </c:pt>
                <c:pt idx="22">
                  <c:v>57.828653511696125</c:v>
                </c:pt>
                <c:pt idx="23">
                  <c:v>56.077834948894917</c:v>
                </c:pt>
                <c:pt idx="24">
                  <c:v>48.503241745894869</c:v>
                </c:pt>
                <c:pt idx="25">
                  <c:v>55.853302822080821</c:v>
                </c:pt>
                <c:pt idx="26">
                  <c:v>62.518855994899518</c:v>
                </c:pt>
                <c:pt idx="27">
                  <c:v>61.669450459191694</c:v>
                </c:pt>
                <c:pt idx="28">
                  <c:v>59.927569333768226</c:v>
                </c:pt>
                <c:pt idx="29">
                  <c:v>52.840907586757162</c:v>
                </c:pt>
                <c:pt idx="30">
                  <c:v>54.783487390352569</c:v>
                </c:pt>
                <c:pt idx="31">
                  <c:v>49.608966754656706</c:v>
                </c:pt>
                <c:pt idx="32">
                  <c:v>48.393213038187973</c:v>
                </c:pt>
                <c:pt idx="33">
                  <c:v>50.385381097978723</c:v>
                </c:pt>
                <c:pt idx="34">
                  <c:v>47.723500830457183</c:v>
                </c:pt>
                <c:pt idx="35">
                  <c:v>49.487670797893216</c:v>
                </c:pt>
                <c:pt idx="36">
                  <c:v>48.904961270558687</c:v>
                </c:pt>
                <c:pt idx="37">
                  <c:v>46.959924170713911</c:v>
                </c:pt>
                <c:pt idx="38">
                  <c:v>47.382303636146858</c:v>
                </c:pt>
                <c:pt idx="39">
                  <c:v>48.590727276696754</c:v>
                </c:pt>
                <c:pt idx="40">
                  <c:v>54.42902272017615</c:v>
                </c:pt>
                <c:pt idx="41">
                  <c:v>47.020639743875392</c:v>
                </c:pt>
                <c:pt idx="42">
                  <c:v>43.293140263488922</c:v>
                </c:pt>
                <c:pt idx="43">
                  <c:v>41.707879818040922</c:v>
                </c:pt>
                <c:pt idx="44">
                  <c:v>41.158554505919064</c:v>
                </c:pt>
                <c:pt idx="45">
                  <c:v>43.917646660615766</c:v>
                </c:pt>
                <c:pt idx="46">
                  <c:v>42.742937322958248</c:v>
                </c:pt>
                <c:pt idx="47">
                  <c:v>47.87746516704582</c:v>
                </c:pt>
                <c:pt idx="48">
                  <c:v>50.558627592662262</c:v>
                </c:pt>
                <c:pt idx="49">
                  <c:v>43.482581115152421</c:v>
                </c:pt>
                <c:pt idx="50">
                  <c:v>37.762966345874858</c:v>
                </c:pt>
                <c:pt idx="51">
                  <c:v>35.127502601258861</c:v>
                </c:pt>
                <c:pt idx="52">
                  <c:v>30.774498848248822</c:v>
                </c:pt>
                <c:pt idx="53">
                  <c:v>38.568403724918298</c:v>
                </c:pt>
                <c:pt idx="54">
                  <c:v>41.38987835955453</c:v>
                </c:pt>
                <c:pt idx="55">
                  <c:v>39.355110190078612</c:v>
                </c:pt>
                <c:pt idx="56">
                  <c:v>40.615334744457328</c:v>
                </c:pt>
                <c:pt idx="57">
                  <c:v>41.425383349196387</c:v>
                </c:pt>
                <c:pt idx="58">
                  <c:v>36.077031483259752</c:v>
                </c:pt>
                <c:pt idx="59">
                  <c:v>30.515913046344444</c:v>
                </c:pt>
                <c:pt idx="60">
                  <c:v>30.604999252671547</c:v>
                </c:pt>
                <c:pt idx="61">
                  <c:v>35.129810922656411</c:v>
                </c:pt>
                <c:pt idx="62">
                  <c:v>28.362833405772392</c:v>
                </c:pt>
                <c:pt idx="63">
                  <c:v>26.241834883375191</c:v>
                </c:pt>
                <c:pt idx="64">
                  <c:v>24.119581443048968</c:v>
                </c:pt>
                <c:pt idx="65">
                  <c:v>21.96612102986639</c:v>
                </c:pt>
                <c:pt idx="66">
                  <c:v>20.010604543309281</c:v>
                </c:pt>
                <c:pt idx="67">
                  <c:v>17.967807172619811</c:v>
                </c:pt>
                <c:pt idx="68">
                  <c:v>18.170372196864211</c:v>
                </c:pt>
                <c:pt idx="69">
                  <c:v>17.668062149885255</c:v>
                </c:pt>
                <c:pt idx="70">
                  <c:v>15.693312303684412</c:v>
                </c:pt>
                <c:pt idx="71">
                  <c:v>14.006864784708137</c:v>
                </c:pt>
                <c:pt idx="72">
                  <c:v>14.834002293518923</c:v>
                </c:pt>
                <c:pt idx="73">
                  <c:v>14.577105655501281</c:v>
                </c:pt>
                <c:pt idx="74">
                  <c:v>13.41650936741984</c:v>
                </c:pt>
                <c:pt idx="75">
                  <c:v>15.235382959973844</c:v>
                </c:pt>
                <c:pt idx="76">
                  <c:v>17.48856882217467</c:v>
                </c:pt>
                <c:pt idx="77">
                  <c:v>15.369171948943603</c:v>
                </c:pt>
                <c:pt idx="78">
                  <c:v>15.667517214810404</c:v>
                </c:pt>
                <c:pt idx="79">
                  <c:v>14.118418624436348</c:v>
                </c:pt>
                <c:pt idx="80">
                  <c:v>13.604992514805287</c:v>
                </c:pt>
                <c:pt idx="81">
                  <c:v>13.478682373874108</c:v>
                </c:pt>
                <c:pt idx="82">
                  <c:v>12.617104694153566</c:v>
                </c:pt>
                <c:pt idx="83">
                  <c:v>11.865191895523202</c:v>
                </c:pt>
                <c:pt idx="84">
                  <c:v>10.360484997938029</c:v>
                </c:pt>
                <c:pt idx="85">
                  <c:v>10.39083602366696</c:v>
                </c:pt>
                <c:pt idx="86">
                  <c:v>10.451028335373032</c:v>
                </c:pt>
                <c:pt idx="87">
                  <c:v>10.521237199963823</c:v>
                </c:pt>
                <c:pt idx="88">
                  <c:v>10.569929078193775</c:v>
                </c:pt>
                <c:pt idx="89">
                  <c:v>10.209012789522014</c:v>
                </c:pt>
                <c:pt idx="90">
                  <c:v>10.437816676518446</c:v>
                </c:pt>
                <c:pt idx="91">
                  <c:v>10.387290893493009</c:v>
                </c:pt>
                <c:pt idx="92">
                  <c:v>10.843680207432897</c:v>
                </c:pt>
                <c:pt idx="93">
                  <c:v>10.418618186406691</c:v>
                </c:pt>
                <c:pt idx="94">
                  <c:v>10.249406347523392</c:v>
                </c:pt>
                <c:pt idx="95">
                  <c:v>10.174464876513465</c:v>
                </c:pt>
                <c:pt idx="96">
                  <c:v>10.174354843943329</c:v>
                </c:pt>
                <c:pt idx="97">
                  <c:v>10.17880551641918</c:v>
                </c:pt>
                <c:pt idx="98">
                  <c:v>10.183841346973592</c:v>
                </c:pt>
                <c:pt idx="99">
                  <c:v>10.188934538952914</c:v>
                </c:pt>
                <c:pt idx="100">
                  <c:v>10.194030280051503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85-0441-9C3A-A46BBAD76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934192"/>
        <c:axId val="-1002525520"/>
      </c:scatterChart>
      <c:scatterChart>
        <c:scatterStyle val="lineMarker"/>
        <c:varyColors val="0"/>
        <c:ser>
          <c:idx val="1"/>
          <c:order val="0"/>
          <c:tx>
            <c:strRef>
              <c:f>'Delta Hedge'!$I$11</c:f>
              <c:strCache>
                <c:ptCount val="1"/>
                <c:pt idx="0">
                  <c:v>Gamma_BS</c:v>
                </c:pt>
              </c:strCache>
            </c:strRef>
          </c:tx>
          <c:marker>
            <c:symbol val="none"/>
          </c:marker>
          <c:xVal>
            <c:numRef>
              <c:f>'Delta Hedge'!$A$12:$A$112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'Delta Hedge'!$I$12:$I$112</c:f>
              <c:numCache>
                <c:formatCode>0.000</c:formatCode>
                <c:ptCount val="101"/>
                <c:pt idx="0">
                  <c:v>1.8762017505869651E-2</c:v>
                </c:pt>
                <c:pt idx="1">
                  <c:v>1.9054906188677192E-2</c:v>
                </c:pt>
                <c:pt idx="2">
                  <c:v>2.062650625944536E-2</c:v>
                </c:pt>
                <c:pt idx="3">
                  <c:v>2.138999618179771E-2</c:v>
                </c:pt>
                <c:pt idx="4">
                  <c:v>2.193177344288897E-2</c:v>
                </c:pt>
                <c:pt idx="5">
                  <c:v>2.1772412898530574E-2</c:v>
                </c:pt>
                <c:pt idx="6">
                  <c:v>2.2177835707153676E-2</c:v>
                </c:pt>
                <c:pt idx="7">
                  <c:v>2.2474029644276115E-2</c:v>
                </c:pt>
                <c:pt idx="8">
                  <c:v>2.2479384663960589E-2</c:v>
                </c:pt>
                <c:pt idx="9">
                  <c:v>2.2676686093258801E-2</c:v>
                </c:pt>
                <c:pt idx="10">
                  <c:v>2.2794133915016918E-2</c:v>
                </c:pt>
                <c:pt idx="11">
                  <c:v>2.2895544304692907E-2</c:v>
                </c:pt>
                <c:pt idx="12">
                  <c:v>2.3015016056287453E-2</c:v>
                </c:pt>
                <c:pt idx="13">
                  <c:v>2.3127243367422595E-2</c:v>
                </c:pt>
                <c:pt idx="14">
                  <c:v>2.2959626930568106E-2</c:v>
                </c:pt>
                <c:pt idx="15">
                  <c:v>2.3230853767273438E-2</c:v>
                </c:pt>
                <c:pt idx="16">
                  <c:v>2.3040927499101159E-2</c:v>
                </c:pt>
                <c:pt idx="17">
                  <c:v>2.3417329431346185E-2</c:v>
                </c:pt>
                <c:pt idx="18">
                  <c:v>2.3714853476540093E-2</c:v>
                </c:pt>
                <c:pt idx="19">
                  <c:v>2.3788246065814866E-2</c:v>
                </c:pt>
                <c:pt idx="20">
                  <c:v>2.3205905429831964E-2</c:v>
                </c:pt>
                <c:pt idx="21">
                  <c:v>2.3117193159151526E-2</c:v>
                </c:pt>
                <c:pt idx="22">
                  <c:v>2.289838369042118E-2</c:v>
                </c:pt>
                <c:pt idx="23">
                  <c:v>2.3371469049112952E-2</c:v>
                </c:pt>
                <c:pt idx="24">
                  <c:v>2.4417417975505167E-2</c:v>
                </c:pt>
                <c:pt idx="25">
                  <c:v>2.3746960628784741E-2</c:v>
                </c:pt>
                <c:pt idx="26">
                  <c:v>2.248718640674335E-2</c:v>
                </c:pt>
                <c:pt idx="27">
                  <c:v>2.2856332751474032E-2</c:v>
                </c:pt>
                <c:pt idx="28">
                  <c:v>2.3427175773479029E-2</c:v>
                </c:pt>
                <c:pt idx="29">
                  <c:v>2.4830288337202713E-2</c:v>
                </c:pt>
                <c:pt idx="30">
                  <c:v>2.47369180118352E-2</c:v>
                </c:pt>
                <c:pt idx="31">
                  <c:v>2.545181089764393E-2</c:v>
                </c:pt>
                <c:pt idx="32">
                  <c:v>2.5678484559700628E-2</c:v>
                </c:pt>
                <c:pt idx="33">
                  <c:v>2.5740984549991366E-2</c:v>
                </c:pt>
                <c:pt idx="34">
                  <c:v>2.6042817336694807E-2</c:v>
                </c:pt>
                <c:pt idx="35">
                  <c:v>2.6154354588421132E-2</c:v>
                </c:pt>
                <c:pt idx="36">
                  <c:v>2.636562398796596E-2</c:v>
                </c:pt>
                <c:pt idx="37">
                  <c:v>2.6596782991717551E-2</c:v>
                </c:pt>
                <c:pt idx="38">
                  <c:v>2.6783831422289173E-2</c:v>
                </c:pt>
                <c:pt idx="39">
                  <c:v>2.6953762544523002E-2</c:v>
                </c:pt>
                <c:pt idx="40">
                  <c:v>2.6668859123954631E-2</c:v>
                </c:pt>
                <c:pt idx="41">
                  <c:v>2.7384637441523637E-2</c:v>
                </c:pt>
                <c:pt idx="42">
                  <c:v>2.742370593553178E-2</c:v>
                </c:pt>
                <c:pt idx="43">
                  <c:v>2.746283081604017E-2</c:v>
                </c:pt>
                <c:pt idx="44">
                  <c:v>2.75997653194315E-2</c:v>
                </c:pt>
                <c:pt idx="45">
                  <c:v>2.8118545687181036E-2</c:v>
                </c:pt>
                <c:pt idx="46">
                  <c:v>2.8235104728124693E-2</c:v>
                </c:pt>
                <c:pt idx="47">
                  <c:v>2.8738040817755169E-2</c:v>
                </c:pt>
                <c:pt idx="48">
                  <c:v>2.8914425505368092E-2</c:v>
                </c:pt>
                <c:pt idx="49">
                  <c:v>2.9014545225539569E-2</c:v>
                </c:pt>
                <c:pt idx="50">
                  <c:v>2.8245850066556159E-2</c:v>
                </c:pt>
                <c:pt idx="51">
                  <c:v>2.7704615255792982E-2</c:v>
                </c:pt>
                <c:pt idx="52">
                  <c:v>2.6123217580699902E-2</c:v>
                </c:pt>
                <c:pt idx="53">
                  <c:v>2.9158090876873922E-2</c:v>
                </c:pt>
                <c:pt idx="54">
                  <c:v>3.0026971351050882E-2</c:v>
                </c:pt>
                <c:pt idx="55">
                  <c:v>2.9897827305330731E-2</c:v>
                </c:pt>
                <c:pt idx="56">
                  <c:v>3.046882199688572E-2</c:v>
                </c:pt>
                <c:pt idx="57">
                  <c:v>3.0936800614564917E-2</c:v>
                </c:pt>
                <c:pt idx="58">
                  <c:v>2.9825516758638152E-2</c:v>
                </c:pt>
                <c:pt idx="59">
                  <c:v>2.7606162030617137E-2</c:v>
                </c:pt>
                <c:pt idx="60">
                  <c:v>2.79405738704856E-2</c:v>
                </c:pt>
                <c:pt idx="61">
                  <c:v>3.0386315590793075E-2</c:v>
                </c:pt>
                <c:pt idx="62">
                  <c:v>2.7061342313170863E-2</c:v>
                </c:pt>
                <c:pt idx="63">
                  <c:v>2.5791490992854094E-2</c:v>
                </c:pt>
                <c:pt idx="64">
                  <c:v>2.4250070061553379E-2</c:v>
                </c:pt>
                <c:pt idx="65">
                  <c:v>2.2360119555472662E-2</c:v>
                </c:pt>
                <c:pt idx="66">
                  <c:v>2.0335205126002731E-2</c:v>
                </c:pt>
                <c:pt idx="67">
                  <c:v>1.7796431370280943E-2</c:v>
                </c:pt>
                <c:pt idx="68">
                  <c:v>1.8300420608543418E-2</c:v>
                </c:pt>
                <c:pt idx="69">
                  <c:v>1.7774034075553662E-2</c:v>
                </c:pt>
                <c:pt idx="70">
                  <c:v>1.4686474049706893E-2</c:v>
                </c:pt>
                <c:pt idx="71">
                  <c:v>1.1519938312337191E-2</c:v>
                </c:pt>
                <c:pt idx="72">
                  <c:v>1.3371506016708249E-2</c:v>
                </c:pt>
                <c:pt idx="73">
                  <c:v>1.3026207451784825E-2</c:v>
                </c:pt>
                <c:pt idx="74">
                  <c:v>1.061185966120926E-2</c:v>
                </c:pt>
                <c:pt idx="75">
                  <c:v>1.4700728666147118E-2</c:v>
                </c:pt>
                <c:pt idx="76">
                  <c:v>1.9103361720493407E-2</c:v>
                </c:pt>
                <c:pt idx="77">
                  <c:v>1.5390664660857378E-2</c:v>
                </c:pt>
                <c:pt idx="78">
                  <c:v>1.6273735527876802E-2</c:v>
                </c:pt>
                <c:pt idx="79">
                  <c:v>1.3115712866808365E-2</c:v>
                </c:pt>
                <c:pt idx="80">
                  <c:v>1.2087742524287917E-2</c:v>
                </c:pt>
                <c:pt idx="81">
                  <c:v>1.1997757076264796E-2</c:v>
                </c:pt>
                <c:pt idx="82">
                  <c:v>9.8178579479515707E-3</c:v>
                </c:pt>
                <c:pt idx="83">
                  <c:v>7.6357820933389536E-3</c:v>
                </c:pt>
                <c:pt idx="84">
                  <c:v>1.4802701740587202E-3</c:v>
                </c:pt>
                <c:pt idx="85">
                  <c:v>1.6507444503011158E-3</c:v>
                </c:pt>
                <c:pt idx="86">
                  <c:v>1.9855064393096036E-3</c:v>
                </c:pt>
                <c:pt idx="87">
                  <c:v>2.383609946974642E-3</c:v>
                </c:pt>
                <c:pt idx="88">
                  <c:v>2.6880716011043909E-3</c:v>
                </c:pt>
                <c:pt idx="89">
                  <c:v>5.4441047952632289E-4</c:v>
                </c:pt>
                <c:pt idx="90">
                  <c:v>1.9968673320761494E-3</c:v>
                </c:pt>
                <c:pt idx="91">
                  <c:v>1.7361391464032826E-3</c:v>
                </c:pt>
                <c:pt idx="92">
                  <c:v>4.4948528848190025E-3</c:v>
                </c:pt>
                <c:pt idx="93">
                  <c:v>2.0448781130368919E-3</c:v>
                </c:pt>
                <c:pt idx="94">
                  <c:v>8.1947489815009135E-4</c:v>
                </c:pt>
                <c:pt idx="95">
                  <c:v>7.5428142216905404E-5</c:v>
                </c:pt>
                <c:pt idx="96">
                  <c:v>1.1058311049897363E-5</c:v>
                </c:pt>
                <c:pt idx="97">
                  <c:v>1.1365586911101579E-6</c:v>
                </c:pt>
                <c:pt idx="98">
                  <c:v>6.500961087789128E-11</c:v>
                </c:pt>
                <c:pt idx="99">
                  <c:v>2.5231282265074234E-20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85-0441-9C3A-A46BBAD76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2705616"/>
        <c:axId val="-1002703296"/>
      </c:scatterChart>
      <c:valAx>
        <c:axId val="-970934192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002525520"/>
        <c:crosses val="autoZero"/>
        <c:crossBetween val="midCat"/>
      </c:valAx>
      <c:valAx>
        <c:axId val="-100252552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0934192"/>
        <c:crosses val="autoZero"/>
        <c:crossBetween val="midCat"/>
      </c:valAx>
      <c:valAx>
        <c:axId val="-1002705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002703296"/>
        <c:crosses val="autoZero"/>
        <c:crossBetween val="midCat"/>
      </c:valAx>
      <c:valAx>
        <c:axId val="-1002703296"/>
        <c:scaling>
          <c:orientation val="minMax"/>
        </c:scaling>
        <c:delete val="0"/>
        <c:axPos val="r"/>
        <c:numFmt formatCode="0.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002705616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Study'!$B$10</c:f>
              <c:strCache>
                <c:ptCount val="1"/>
                <c:pt idx="0">
                  <c:v>Asset Path (sigma_a)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Study'!$B$11:$B$211</c:f>
              <c:numCache>
                <c:formatCode>0.00</c:formatCode>
                <c:ptCount val="201"/>
                <c:pt idx="0">
                  <c:v>100</c:v>
                </c:pt>
                <c:pt idx="1">
                  <c:v>103.4311082676569</c:v>
                </c:pt>
                <c:pt idx="2">
                  <c:v>108.50137350091913</c:v>
                </c:pt>
                <c:pt idx="3">
                  <c:v>112.82331753480344</c:v>
                </c:pt>
                <c:pt idx="4">
                  <c:v>108.80436850856728</c:v>
                </c:pt>
                <c:pt idx="5">
                  <c:v>109.58071361347655</c:v>
                </c:pt>
                <c:pt idx="6">
                  <c:v>110.96984571676855</c:v>
                </c:pt>
                <c:pt idx="7">
                  <c:v>108.2472658316313</c:v>
                </c:pt>
                <c:pt idx="8">
                  <c:v>109.55058584361947</c:v>
                </c:pt>
                <c:pt idx="9">
                  <c:v>106.09601192423104</c:v>
                </c:pt>
                <c:pt idx="10">
                  <c:v>108.01355211684827</c:v>
                </c:pt>
                <c:pt idx="11">
                  <c:v>108.7907301160532</c:v>
                </c:pt>
                <c:pt idx="12">
                  <c:v>111.46225426109673</c:v>
                </c:pt>
                <c:pt idx="13">
                  <c:v>112.75948622346144</c:v>
                </c:pt>
                <c:pt idx="14">
                  <c:v>115.45584658699283</c:v>
                </c:pt>
                <c:pt idx="15">
                  <c:v>118.08842461968406</c:v>
                </c:pt>
                <c:pt idx="16">
                  <c:v>120.04458437031906</c:v>
                </c:pt>
                <c:pt idx="17">
                  <c:v>122.70461072431628</c:v>
                </c:pt>
                <c:pt idx="18">
                  <c:v>121.61154230704383</c:v>
                </c:pt>
                <c:pt idx="19">
                  <c:v>121.99057720199603</c:v>
                </c:pt>
                <c:pt idx="20">
                  <c:v>118.65154035599055</c:v>
                </c:pt>
                <c:pt idx="21">
                  <c:v>117.39315184602444</c:v>
                </c:pt>
                <c:pt idx="22">
                  <c:v>120.73775027007129</c:v>
                </c:pt>
                <c:pt idx="23">
                  <c:v>124.86090024660349</c:v>
                </c:pt>
                <c:pt idx="24">
                  <c:v>126.02594374250407</c:v>
                </c:pt>
                <c:pt idx="25">
                  <c:v>127.90176011512263</c:v>
                </c:pt>
                <c:pt idx="26">
                  <c:v>127.32917054032848</c:v>
                </c:pt>
                <c:pt idx="27">
                  <c:v>128.29711022368616</c:v>
                </c:pt>
                <c:pt idx="28">
                  <c:v>127.64246255577852</c:v>
                </c:pt>
                <c:pt idx="29">
                  <c:v>126.21684464954578</c:v>
                </c:pt>
                <c:pt idx="30">
                  <c:v>127.79570569188162</c:v>
                </c:pt>
                <c:pt idx="31">
                  <c:v>128.60535331269662</c:v>
                </c:pt>
                <c:pt idx="32">
                  <c:v>125.70370819008858</c:v>
                </c:pt>
                <c:pt idx="33">
                  <c:v>125.80964267160307</c:v>
                </c:pt>
                <c:pt idx="34">
                  <c:v>126.60849159109995</c:v>
                </c:pt>
                <c:pt idx="35">
                  <c:v>131.32368078030231</c:v>
                </c:pt>
                <c:pt idx="36">
                  <c:v>135.38392585319801</c:v>
                </c:pt>
                <c:pt idx="37">
                  <c:v>133.56041091296044</c:v>
                </c:pt>
                <c:pt idx="38">
                  <c:v>138.29721250277558</c:v>
                </c:pt>
                <c:pt idx="39">
                  <c:v>137.2478310002698</c:v>
                </c:pt>
                <c:pt idx="40">
                  <c:v>136.05863511125051</c:v>
                </c:pt>
                <c:pt idx="41">
                  <c:v>134.05733292655279</c:v>
                </c:pt>
                <c:pt idx="42">
                  <c:v>133.07093990924244</c:v>
                </c:pt>
                <c:pt idx="43">
                  <c:v>131.94849194439777</c:v>
                </c:pt>
                <c:pt idx="44">
                  <c:v>133.29618574744518</c:v>
                </c:pt>
                <c:pt idx="45">
                  <c:v>132.08875289582002</c:v>
                </c:pt>
                <c:pt idx="46">
                  <c:v>124.62805899544148</c:v>
                </c:pt>
                <c:pt idx="47">
                  <c:v>127.34843405530016</c:v>
                </c:pt>
                <c:pt idx="48">
                  <c:v>127.64570696852682</c:v>
                </c:pt>
                <c:pt idx="49">
                  <c:v>126.33048180515209</c:v>
                </c:pt>
                <c:pt idx="50">
                  <c:v>129.71670473074352</c:v>
                </c:pt>
                <c:pt idx="51">
                  <c:v>125.16315959509313</c:v>
                </c:pt>
                <c:pt idx="52">
                  <c:v>124.47680556563449</c:v>
                </c:pt>
                <c:pt idx="53">
                  <c:v>121.61999307743433</c:v>
                </c:pt>
                <c:pt idx="54">
                  <c:v>121.91115046048134</c:v>
                </c:pt>
                <c:pt idx="55">
                  <c:v>124.3094579736389</c:v>
                </c:pt>
                <c:pt idx="56">
                  <c:v>122.90244438498021</c:v>
                </c:pt>
                <c:pt idx="57">
                  <c:v>119.97926685257076</c:v>
                </c:pt>
                <c:pt idx="58">
                  <c:v>126.84684610237076</c:v>
                </c:pt>
                <c:pt idx="59">
                  <c:v>128.33340853407094</c:v>
                </c:pt>
                <c:pt idx="60">
                  <c:v>129.04572734227656</c:v>
                </c:pt>
                <c:pt idx="61">
                  <c:v>130.47598872522414</c:v>
                </c:pt>
                <c:pt idx="62">
                  <c:v>127.91255325760633</c:v>
                </c:pt>
                <c:pt idx="63">
                  <c:v>124.63487546134736</c:v>
                </c:pt>
                <c:pt idx="64">
                  <c:v>120.51470664037255</c:v>
                </c:pt>
                <c:pt idx="65">
                  <c:v>115.82021225560474</c:v>
                </c:pt>
                <c:pt idx="66">
                  <c:v>114.72550323942772</c:v>
                </c:pt>
                <c:pt idx="67">
                  <c:v>116.54192310782535</c:v>
                </c:pt>
                <c:pt idx="68">
                  <c:v>118.2586579697351</c:v>
                </c:pt>
                <c:pt idx="69">
                  <c:v>115.81636388977157</c:v>
                </c:pt>
                <c:pt idx="70">
                  <c:v>114.04860352841695</c:v>
                </c:pt>
                <c:pt idx="71">
                  <c:v>110.89177965774591</c:v>
                </c:pt>
                <c:pt idx="72">
                  <c:v>111.8650832974084</c:v>
                </c:pt>
                <c:pt idx="73">
                  <c:v>113.46784679659905</c:v>
                </c:pt>
                <c:pt idx="74">
                  <c:v>112.33140496645883</c:v>
                </c:pt>
                <c:pt idx="75">
                  <c:v>113.29784586927923</c:v>
                </c:pt>
                <c:pt idx="76">
                  <c:v>113.40081149784855</c:v>
                </c:pt>
                <c:pt idx="77">
                  <c:v>117.7596449657987</c:v>
                </c:pt>
                <c:pt idx="78">
                  <c:v>120.74416384041599</c:v>
                </c:pt>
                <c:pt idx="79">
                  <c:v>120.6468885328425</c:v>
                </c:pt>
                <c:pt idx="80">
                  <c:v>119.81465687106871</c:v>
                </c:pt>
                <c:pt idx="81">
                  <c:v>122.64082886318414</c:v>
                </c:pt>
                <c:pt idx="82">
                  <c:v>127.89462429133124</c:v>
                </c:pt>
                <c:pt idx="83">
                  <c:v>128.47262541469823</c:v>
                </c:pt>
                <c:pt idx="84">
                  <c:v>127.67426370828986</c:v>
                </c:pt>
                <c:pt idx="85">
                  <c:v>129.06795009890121</c:v>
                </c:pt>
                <c:pt idx="86">
                  <c:v>132.93077837869072</c:v>
                </c:pt>
                <c:pt idx="87">
                  <c:v>134.29737045518601</c:v>
                </c:pt>
                <c:pt idx="88">
                  <c:v>135.73999369745493</c:v>
                </c:pt>
                <c:pt idx="89">
                  <c:v>134.58075684382158</c:v>
                </c:pt>
                <c:pt idx="90">
                  <c:v>134.16559907909965</c:v>
                </c:pt>
                <c:pt idx="91">
                  <c:v>135.37452868637467</c:v>
                </c:pt>
                <c:pt idx="92">
                  <c:v>134.87208658847959</c:v>
                </c:pt>
                <c:pt idx="93">
                  <c:v>133.55219799867538</c:v>
                </c:pt>
                <c:pt idx="94">
                  <c:v>135.41189027701682</c:v>
                </c:pt>
                <c:pt idx="95">
                  <c:v>133.12455403719383</c:v>
                </c:pt>
                <c:pt idx="96">
                  <c:v>137.57970226207684</c:v>
                </c:pt>
                <c:pt idx="97">
                  <c:v>135.1707244715555</c:v>
                </c:pt>
                <c:pt idx="98">
                  <c:v>133.53465354008489</c:v>
                </c:pt>
                <c:pt idx="99">
                  <c:v>135.96797600691087</c:v>
                </c:pt>
                <c:pt idx="100">
                  <c:v>133.61816259166616</c:v>
                </c:pt>
                <c:pt idx="101">
                  <c:v>125.65533841813092</c:v>
                </c:pt>
                <c:pt idx="102">
                  <c:v>120.99660645053933</c:v>
                </c:pt>
                <c:pt idx="103">
                  <c:v>123.28628869174122</c:v>
                </c:pt>
                <c:pt idx="104">
                  <c:v>122.41557736579263</c:v>
                </c:pt>
                <c:pt idx="105">
                  <c:v>126.94012340199144</c:v>
                </c:pt>
                <c:pt idx="106">
                  <c:v>123.69552904880162</c:v>
                </c:pt>
                <c:pt idx="107">
                  <c:v>123.42009766558606</c:v>
                </c:pt>
                <c:pt idx="108">
                  <c:v>125.46132038219768</c:v>
                </c:pt>
                <c:pt idx="109">
                  <c:v>122.04511699775659</c:v>
                </c:pt>
                <c:pt idx="110">
                  <c:v>118.77616976042036</c:v>
                </c:pt>
                <c:pt idx="111">
                  <c:v>122.12871027133815</c:v>
                </c:pt>
                <c:pt idx="112">
                  <c:v>120.16910081245049</c:v>
                </c:pt>
                <c:pt idx="113">
                  <c:v>122.67432238935038</c:v>
                </c:pt>
                <c:pt idx="114">
                  <c:v>123.65277280732452</c:v>
                </c:pt>
                <c:pt idx="115">
                  <c:v>122.49940967283712</c:v>
                </c:pt>
                <c:pt idx="116">
                  <c:v>125.08217906143084</c:v>
                </c:pt>
                <c:pt idx="117">
                  <c:v>128.62036697633872</c:v>
                </c:pt>
                <c:pt idx="118">
                  <c:v>129.73551389038863</c:v>
                </c:pt>
                <c:pt idx="119">
                  <c:v>129.86199076592771</c:v>
                </c:pt>
                <c:pt idx="120">
                  <c:v>126.03780777878332</c:v>
                </c:pt>
                <c:pt idx="121">
                  <c:v>123.81042109882584</c:v>
                </c:pt>
                <c:pt idx="122">
                  <c:v>131.71685336247089</c:v>
                </c:pt>
                <c:pt idx="123">
                  <c:v>134.09484409528397</c:v>
                </c:pt>
                <c:pt idx="124">
                  <c:v>135.68338100513151</c:v>
                </c:pt>
                <c:pt idx="125">
                  <c:v>134.67161256155731</c:v>
                </c:pt>
                <c:pt idx="126">
                  <c:v>136.18132287450845</c:v>
                </c:pt>
                <c:pt idx="127">
                  <c:v>133.52255726440143</c:v>
                </c:pt>
                <c:pt idx="128">
                  <c:v>129.91693977633557</c:v>
                </c:pt>
                <c:pt idx="129">
                  <c:v>128.19161432414919</c:v>
                </c:pt>
                <c:pt idx="130">
                  <c:v>136.98759391066631</c:v>
                </c:pt>
                <c:pt idx="131">
                  <c:v>135.97419376884912</c:v>
                </c:pt>
                <c:pt idx="132">
                  <c:v>138.200159501879</c:v>
                </c:pt>
                <c:pt idx="133">
                  <c:v>132.8641950402307</c:v>
                </c:pt>
                <c:pt idx="134">
                  <c:v>128.43708591148692</c:v>
                </c:pt>
                <c:pt idx="135">
                  <c:v>125.66389061536377</c:v>
                </c:pt>
                <c:pt idx="136">
                  <c:v>124.442330348985</c:v>
                </c:pt>
                <c:pt idx="137">
                  <c:v>123.91070707705394</c:v>
                </c:pt>
                <c:pt idx="138">
                  <c:v>123.43771937233564</c:v>
                </c:pt>
                <c:pt idx="139">
                  <c:v>122.21676604336758</c:v>
                </c:pt>
                <c:pt idx="140">
                  <c:v>120.08471567227329</c:v>
                </c:pt>
                <c:pt idx="141">
                  <c:v>125.48122104566535</c:v>
                </c:pt>
                <c:pt idx="142">
                  <c:v>129.46699669186629</c:v>
                </c:pt>
                <c:pt idx="143">
                  <c:v>130.17264456356085</c:v>
                </c:pt>
                <c:pt idx="144">
                  <c:v>132.69929310726175</c:v>
                </c:pt>
                <c:pt idx="145">
                  <c:v>136.01930674165629</c:v>
                </c:pt>
                <c:pt idx="146">
                  <c:v>138.57227574828684</c:v>
                </c:pt>
                <c:pt idx="147">
                  <c:v>135.98569872305103</c:v>
                </c:pt>
                <c:pt idx="148">
                  <c:v>139.36395083239827</c:v>
                </c:pt>
                <c:pt idx="149">
                  <c:v>148.92862851614532</c:v>
                </c:pt>
                <c:pt idx="150">
                  <c:v>146.86051778542384</c:v>
                </c:pt>
                <c:pt idx="151">
                  <c:v>156.84103749342614</c:v>
                </c:pt>
                <c:pt idx="152">
                  <c:v>159.4836739345366</c:v>
                </c:pt>
                <c:pt idx="153">
                  <c:v>163.06314833545176</c:v>
                </c:pt>
                <c:pt idx="154">
                  <c:v>163.54235259348624</c:v>
                </c:pt>
                <c:pt idx="155">
                  <c:v>157.99587701652922</c:v>
                </c:pt>
                <c:pt idx="156">
                  <c:v>150.71296105405176</c:v>
                </c:pt>
                <c:pt idx="157">
                  <c:v>146.46961357799071</c:v>
                </c:pt>
                <c:pt idx="158">
                  <c:v>145.0814459537747</c:v>
                </c:pt>
                <c:pt idx="159">
                  <c:v>139.33872090493986</c:v>
                </c:pt>
                <c:pt idx="160">
                  <c:v>140.67813357574906</c:v>
                </c:pt>
                <c:pt idx="161">
                  <c:v>135.02477208582064</c:v>
                </c:pt>
                <c:pt idx="162">
                  <c:v>130.31168914228616</c:v>
                </c:pt>
                <c:pt idx="163">
                  <c:v>129.62375615439313</c:v>
                </c:pt>
                <c:pt idx="164">
                  <c:v>131.36446894817033</c:v>
                </c:pt>
                <c:pt idx="165">
                  <c:v>124.28238334050401</c:v>
                </c:pt>
                <c:pt idx="166">
                  <c:v>123.4145229267517</c:v>
                </c:pt>
                <c:pt idx="167">
                  <c:v>120.40030513500923</c:v>
                </c:pt>
                <c:pt idx="168">
                  <c:v>123.28605148412262</c:v>
                </c:pt>
                <c:pt idx="169">
                  <c:v>122.4040828439057</c:v>
                </c:pt>
                <c:pt idx="170">
                  <c:v>123.00292534153367</c:v>
                </c:pt>
                <c:pt idx="171">
                  <c:v>126.56446085523085</c:v>
                </c:pt>
                <c:pt idx="172">
                  <c:v>126.2710265759104</c:v>
                </c:pt>
                <c:pt idx="173">
                  <c:v>129.84551565182048</c:v>
                </c:pt>
                <c:pt idx="174">
                  <c:v>124.02345720979973</c:v>
                </c:pt>
                <c:pt idx="175">
                  <c:v>124.58072869346756</c:v>
                </c:pt>
                <c:pt idx="176">
                  <c:v>119.75247180102583</c:v>
                </c:pt>
                <c:pt idx="177">
                  <c:v>122.41993981732173</c:v>
                </c:pt>
                <c:pt idx="178">
                  <c:v>123.56889764250481</c:v>
                </c:pt>
                <c:pt idx="179">
                  <c:v>126.24196869105126</c:v>
                </c:pt>
                <c:pt idx="180">
                  <c:v>123.41982631330083</c:v>
                </c:pt>
                <c:pt idx="181">
                  <c:v>127.67781639703702</c:v>
                </c:pt>
                <c:pt idx="182">
                  <c:v>129.56293824624498</c:v>
                </c:pt>
                <c:pt idx="183">
                  <c:v>127.28344991687266</c:v>
                </c:pt>
                <c:pt idx="184">
                  <c:v>124.2816276295392</c:v>
                </c:pt>
                <c:pt idx="185">
                  <c:v>122.82294373762441</c:v>
                </c:pt>
                <c:pt idx="186">
                  <c:v>119.06576263150617</c:v>
                </c:pt>
                <c:pt idx="187">
                  <c:v>118.96675078744903</c:v>
                </c:pt>
                <c:pt idx="188">
                  <c:v>118.14304152344003</c:v>
                </c:pt>
                <c:pt idx="189">
                  <c:v>115.08680156123179</c:v>
                </c:pt>
                <c:pt idx="190">
                  <c:v>116.53968173524453</c:v>
                </c:pt>
                <c:pt idx="191">
                  <c:v>111.62706331973958</c:v>
                </c:pt>
                <c:pt idx="192">
                  <c:v>111.48994446866929</c:v>
                </c:pt>
                <c:pt idx="193">
                  <c:v>107.9686083060694</c:v>
                </c:pt>
                <c:pt idx="194">
                  <c:v>107.76819626485694</c:v>
                </c:pt>
                <c:pt idx="195">
                  <c:v>110.31392030176785</c:v>
                </c:pt>
                <c:pt idx="196">
                  <c:v>112.7972678324557</c:v>
                </c:pt>
                <c:pt idx="197">
                  <c:v>106.43046668367727</c:v>
                </c:pt>
                <c:pt idx="198">
                  <c:v>106.09939293431231</c:v>
                </c:pt>
                <c:pt idx="199">
                  <c:v>104.43574448307247</c:v>
                </c:pt>
                <c:pt idx="200">
                  <c:v>106.65255170275557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6C-2347-A96E-6F1C5F90B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71488"/>
        <c:axId val="-968669168"/>
      </c:scatterChart>
      <c:scatterChart>
        <c:scatterStyle val="lineMarker"/>
        <c:varyColors val="0"/>
        <c:ser>
          <c:idx val="1"/>
          <c:order val="1"/>
          <c:tx>
            <c:strRef>
              <c:f>'P&amp;L Study'!$G$10</c:f>
              <c:strCache>
                <c:ptCount val="1"/>
                <c:pt idx="0">
                  <c:v>P&amp;L cumulative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Study'!$G$11:$G$211</c:f>
              <c:numCache>
                <c:formatCode>0.00</c:formatCode>
                <c:ptCount val="201"/>
                <c:pt idx="0">
                  <c:v>0</c:v>
                </c:pt>
                <c:pt idx="1">
                  <c:v>4.9440485549126834E-2</c:v>
                </c:pt>
                <c:pt idx="2">
                  <c:v>0.32810916368167398</c:v>
                </c:pt>
                <c:pt idx="3">
                  <c:v>0.66053792109231324</c:v>
                </c:pt>
                <c:pt idx="4">
                  <c:v>0.46447811598834932</c:v>
                </c:pt>
                <c:pt idx="5">
                  <c:v>0.49076153487605723</c:v>
                </c:pt>
                <c:pt idx="6">
                  <c:v>0.56493619904493642</c:v>
                </c:pt>
                <c:pt idx="7">
                  <c:v>0.4268124195497407</c:v>
                </c:pt>
                <c:pt idx="8">
                  <c:v>0.48512344145314756</c:v>
                </c:pt>
                <c:pt idx="9">
                  <c:v>0.36337915756688233</c:v>
                </c:pt>
                <c:pt idx="10">
                  <c:v>0.44271595642046435</c:v>
                </c:pt>
                <c:pt idx="11">
                  <c:v>0.46592565756131421</c:v>
                </c:pt>
                <c:pt idx="12">
                  <c:v>0.64244955170742912</c:v>
                </c:pt>
                <c:pt idx="13">
                  <c:v>0.72373257492235155</c:v>
                </c:pt>
                <c:pt idx="14">
                  <c:v>0.95108434873823455</c:v>
                </c:pt>
                <c:pt idx="15">
                  <c:v>1.1947981136494406</c:v>
                </c:pt>
                <c:pt idx="16">
                  <c:v>1.377803897121197</c:v>
                </c:pt>
                <c:pt idx="17">
                  <c:v>1.6487389823813032</c:v>
                </c:pt>
                <c:pt idx="18">
                  <c:v>1.5324870605178944</c:v>
                </c:pt>
                <c:pt idx="19">
                  <c:v>1.5571210022903728</c:v>
                </c:pt>
                <c:pt idx="20">
                  <c:v>1.2622597743413451</c:v>
                </c:pt>
                <c:pt idx="21">
                  <c:v>1.1372770009528921</c:v>
                </c:pt>
                <c:pt idx="22">
                  <c:v>1.482226036074934</c:v>
                </c:pt>
                <c:pt idx="23">
                  <c:v>1.9393645223173763</c:v>
                </c:pt>
                <c:pt idx="24">
                  <c:v>2.0497895073072385</c:v>
                </c:pt>
                <c:pt idx="25">
                  <c:v>2.2385807902613095</c:v>
                </c:pt>
                <c:pt idx="26">
                  <c:v>2.1722027849962586</c:v>
                </c:pt>
                <c:pt idx="27">
                  <c:v>2.2619979143281341</c:v>
                </c:pt>
                <c:pt idx="28">
                  <c:v>2.1879855069697243</c:v>
                </c:pt>
                <c:pt idx="29">
                  <c:v>2.0404723037145232</c:v>
                </c:pt>
                <c:pt idx="30">
                  <c:v>2.1968110698566079</c:v>
                </c:pt>
                <c:pt idx="31">
                  <c:v>2.2700590540138705</c:v>
                </c:pt>
                <c:pt idx="32">
                  <c:v>1.9935763689909578</c:v>
                </c:pt>
                <c:pt idx="33">
                  <c:v>1.9934769680150453</c:v>
                </c:pt>
                <c:pt idx="34">
                  <c:v>2.0657246217348586</c:v>
                </c:pt>
                <c:pt idx="35">
                  <c:v>2.5906845781276644</c:v>
                </c:pt>
                <c:pt idx="36">
                  <c:v>3.0058977570001133</c:v>
                </c:pt>
                <c:pt idx="37">
                  <c:v>2.8401696838377575</c:v>
                </c:pt>
                <c:pt idx="38">
                  <c:v>3.3082771652091765</c:v>
                </c:pt>
                <c:pt idx="39">
                  <c:v>3.2159447285019382</c:v>
                </c:pt>
                <c:pt idx="40">
                  <c:v>3.1097203456754556</c:v>
                </c:pt>
                <c:pt idx="41">
                  <c:v>2.9326400943236877</c:v>
                </c:pt>
                <c:pt idx="42">
                  <c:v>2.8368683939521304</c:v>
                </c:pt>
                <c:pt idx="43">
                  <c:v>2.7270287563351161</c:v>
                </c:pt>
                <c:pt idx="44">
                  <c:v>2.8512941119563351</c:v>
                </c:pt>
                <c:pt idx="45">
                  <c:v>2.7346969203328797</c:v>
                </c:pt>
                <c:pt idx="46">
                  <c:v>2.1446632845374864</c:v>
                </c:pt>
                <c:pt idx="47">
                  <c:v>2.4357065765912864</c:v>
                </c:pt>
                <c:pt idx="48">
                  <c:v>2.4563337403945837</c:v>
                </c:pt>
                <c:pt idx="49">
                  <c:v>2.3188467400158288</c:v>
                </c:pt>
                <c:pt idx="50">
                  <c:v>2.6842295857775724</c:v>
                </c:pt>
                <c:pt idx="51">
                  <c:v>2.2798503699541612</c:v>
                </c:pt>
                <c:pt idx="52">
                  <c:v>2.1999161275608259</c:v>
                </c:pt>
                <c:pt idx="53">
                  <c:v>1.9224972271759952</c:v>
                </c:pt>
                <c:pt idx="54">
                  <c:v>1.9398966189085343</c:v>
                </c:pt>
                <c:pt idx="55">
                  <c:v>2.1967616976693591</c:v>
                </c:pt>
                <c:pt idx="56">
                  <c:v>2.0466567562954339</c:v>
                </c:pt>
                <c:pt idx="57">
                  <c:v>1.7645061434361651</c:v>
                </c:pt>
                <c:pt idx="58">
                  <c:v>2.6373448843294796</c:v>
                </c:pt>
                <c:pt idx="59">
                  <c:v>2.7843996440193024</c:v>
                </c:pt>
                <c:pt idx="60">
                  <c:v>2.8477973761362279</c:v>
                </c:pt>
                <c:pt idx="61">
                  <c:v>2.9846686606375386</c:v>
                </c:pt>
                <c:pt idx="62">
                  <c:v>2.7448684381471509</c:v>
                </c:pt>
                <c:pt idx="63">
                  <c:v>2.4363522312708881</c:v>
                </c:pt>
                <c:pt idx="64">
                  <c:v>2.0581207580456038</c:v>
                </c:pt>
                <c:pt idx="65">
                  <c:v>1.6622639042981149</c:v>
                </c:pt>
                <c:pt idx="66">
                  <c:v>1.5462666629133111</c:v>
                </c:pt>
                <c:pt idx="67">
                  <c:v>1.7199993111430985</c:v>
                </c:pt>
                <c:pt idx="68">
                  <c:v>1.8902920973228277</c:v>
                </c:pt>
                <c:pt idx="69">
                  <c:v>1.6563496479921724</c:v>
                </c:pt>
                <c:pt idx="70">
                  <c:v>1.4853207458157272</c:v>
                </c:pt>
                <c:pt idx="71">
                  <c:v>1.2446860454648316</c:v>
                </c:pt>
                <c:pt idx="72">
                  <c:v>1.3090375330607884</c:v>
                </c:pt>
                <c:pt idx="73">
                  <c:v>1.4440420146411697</c:v>
                </c:pt>
                <c:pt idx="74">
                  <c:v>1.3299688785177466</c:v>
                </c:pt>
                <c:pt idx="75">
                  <c:v>1.4016179115130569</c:v>
                </c:pt>
                <c:pt idx="76">
                  <c:v>1.39199077075898</c:v>
                </c:pt>
                <c:pt idx="77">
                  <c:v>1.8987534158063255</c:v>
                </c:pt>
                <c:pt idx="78">
                  <c:v>2.236617340597931</c:v>
                </c:pt>
                <c:pt idx="79">
                  <c:v>2.2131072012578556</c:v>
                </c:pt>
                <c:pt idx="80">
                  <c:v>2.1143711940696903</c:v>
                </c:pt>
                <c:pt idx="81">
                  <c:v>2.4337531086004418</c:v>
                </c:pt>
                <c:pt idx="82">
                  <c:v>3.0614097875386648</c:v>
                </c:pt>
                <c:pt idx="83">
                  <c:v>3.1107241554789056</c:v>
                </c:pt>
                <c:pt idx="84">
                  <c:v>3.0272845599209859</c:v>
                </c:pt>
                <c:pt idx="85">
                  <c:v>3.1600209099908056</c:v>
                </c:pt>
                <c:pt idx="86">
                  <c:v>3.5438662340676501</c:v>
                </c:pt>
                <c:pt idx="87">
                  <c:v>3.6566580034842815</c:v>
                </c:pt>
                <c:pt idx="88">
                  <c:v>3.7704631621097775</c:v>
                </c:pt>
                <c:pt idx="89">
                  <c:v>3.6795109128699721</c:v>
                </c:pt>
                <c:pt idx="90">
                  <c:v>3.6425799817534568</c:v>
                </c:pt>
                <c:pt idx="91">
                  <c:v>3.7360543203339347</c:v>
                </c:pt>
                <c:pt idx="92">
                  <c:v>3.694249399279002</c:v>
                </c:pt>
                <c:pt idx="93">
                  <c:v>3.5903695164159757</c:v>
                </c:pt>
                <c:pt idx="94">
                  <c:v>3.7386581196458337</c:v>
                </c:pt>
                <c:pt idx="95">
                  <c:v>3.5694067825415345</c:v>
                </c:pt>
                <c:pt idx="96">
                  <c:v>3.942648358871466</c:v>
                </c:pt>
                <c:pt idx="97">
                  <c:v>3.781924827797468</c:v>
                </c:pt>
                <c:pt idx="98">
                  <c:v>3.6599549628603256</c:v>
                </c:pt>
                <c:pt idx="99">
                  <c:v>3.8513325632323898</c:v>
                </c:pt>
                <c:pt idx="100">
                  <c:v>3.6870804656301033</c:v>
                </c:pt>
                <c:pt idx="101">
                  <c:v>3.1541976301255232</c:v>
                </c:pt>
                <c:pt idx="102">
                  <c:v>2.7433737807675129</c:v>
                </c:pt>
                <c:pt idx="103">
                  <c:v>2.9962414575537792</c:v>
                </c:pt>
                <c:pt idx="104">
                  <c:v>2.8977308237274144</c:v>
                </c:pt>
                <c:pt idx="105">
                  <c:v>3.42221280867399</c:v>
                </c:pt>
                <c:pt idx="106">
                  <c:v>3.1301658466270226</c:v>
                </c:pt>
                <c:pt idx="107">
                  <c:v>3.0924451552495782</c:v>
                </c:pt>
                <c:pt idx="108">
                  <c:v>3.3048176386854067</c:v>
                </c:pt>
                <c:pt idx="109">
                  <c:v>2.9914941914238256</c:v>
                </c:pt>
                <c:pt idx="110">
                  <c:v>2.6741858674706123</c:v>
                </c:pt>
                <c:pt idx="111">
                  <c:v>3.0742715787876023</c:v>
                </c:pt>
                <c:pt idx="112">
                  <c:v>2.8703079367192146</c:v>
                </c:pt>
                <c:pt idx="113">
                  <c:v>3.1525524459092935</c:v>
                </c:pt>
                <c:pt idx="114">
                  <c:v>3.2470783490753661</c:v>
                </c:pt>
                <c:pt idx="115">
                  <c:v>3.1248126482381053</c:v>
                </c:pt>
                <c:pt idx="116">
                  <c:v>3.4014926910252683</c:v>
                </c:pt>
                <c:pt idx="117">
                  <c:v>3.7595401072978518</c:v>
                </c:pt>
                <c:pt idx="118">
                  <c:v>3.8502881757001148</c:v>
                </c:pt>
                <c:pt idx="119">
                  <c:v>3.8559145326114646</c:v>
                </c:pt>
                <c:pt idx="120">
                  <c:v>3.5683881350189495</c:v>
                </c:pt>
                <c:pt idx="121">
                  <c:v>3.3668680064741636</c:v>
                </c:pt>
                <c:pt idx="122">
                  <c:v>4.2483357221893527</c:v>
                </c:pt>
                <c:pt idx="123">
                  <c:v>4.4164809901397319</c:v>
                </c:pt>
                <c:pt idx="124">
                  <c:v>4.5127860297756257</c:v>
                </c:pt>
                <c:pt idx="125">
                  <c:v>4.4555839687428715</c:v>
                </c:pt>
                <c:pt idx="126">
                  <c:v>4.541767635280678</c:v>
                </c:pt>
                <c:pt idx="127">
                  <c:v>4.4047644660285528</c:v>
                </c:pt>
                <c:pt idx="128">
                  <c:v>4.1938709734944126</c:v>
                </c:pt>
                <c:pt idx="129">
                  <c:v>4.0678781073306993</c:v>
                </c:pt>
                <c:pt idx="130">
                  <c:v>4.8121072939256919</c:v>
                </c:pt>
                <c:pt idx="131">
                  <c:v>4.7645067997511745</c:v>
                </c:pt>
                <c:pt idx="132">
                  <c:v>4.8723718817912385</c:v>
                </c:pt>
                <c:pt idx="133">
                  <c:v>4.6609449827465568</c:v>
                </c:pt>
                <c:pt idx="134">
                  <c:v>4.4170835653268767</c:v>
                </c:pt>
                <c:pt idx="135">
                  <c:v>4.2177858728849742</c:v>
                </c:pt>
                <c:pt idx="136">
                  <c:v>4.1118970037462645</c:v>
                </c:pt>
                <c:pt idx="137">
                  <c:v>4.0592584000920908</c:v>
                </c:pt>
                <c:pt idx="138">
                  <c:v>4.0107275001912654</c:v>
                </c:pt>
                <c:pt idx="139">
                  <c:v>3.8956515960647096</c:v>
                </c:pt>
                <c:pt idx="140">
                  <c:v>3.6956082570640945</c:v>
                </c:pt>
                <c:pt idx="141">
                  <c:v>4.3119149827478225</c:v>
                </c:pt>
                <c:pt idx="142">
                  <c:v>4.642420608323846</c:v>
                </c:pt>
                <c:pt idx="143">
                  <c:v>4.6838421604285401</c:v>
                </c:pt>
                <c:pt idx="144">
                  <c:v>4.8302602137959099</c:v>
                </c:pt>
                <c:pt idx="145">
                  <c:v>4.9872721892189134</c:v>
                </c:pt>
                <c:pt idx="146">
                  <c:v>5.076887972658966</c:v>
                </c:pt>
                <c:pt idx="147">
                  <c:v>5.0068144194291051</c:v>
                </c:pt>
                <c:pt idx="148">
                  <c:v>5.1190682879667975</c:v>
                </c:pt>
                <c:pt idx="149">
                  <c:v>5.3469380221369676</c:v>
                </c:pt>
                <c:pt idx="150">
                  <c:v>5.3290334723239994</c:v>
                </c:pt>
                <c:pt idx="151">
                  <c:v>5.4329272538745244</c:v>
                </c:pt>
                <c:pt idx="152">
                  <c:v>5.4422302759402896</c:v>
                </c:pt>
                <c:pt idx="153">
                  <c:v>5.4509131176795051</c:v>
                </c:pt>
                <c:pt idx="154">
                  <c:v>5.4520945071716795</c:v>
                </c:pt>
                <c:pt idx="155">
                  <c:v>5.4461007601544935</c:v>
                </c:pt>
                <c:pt idx="156">
                  <c:v>5.4314470296735493</c:v>
                </c:pt>
                <c:pt idx="157">
                  <c:v>5.4126049744363627</c:v>
                </c:pt>
                <c:pt idx="158">
                  <c:v>5.4033925357761632</c:v>
                </c:pt>
                <c:pt idx="159">
                  <c:v>5.3602655158470753</c:v>
                </c:pt>
                <c:pt idx="160">
                  <c:v>5.3791737776778774</c:v>
                </c:pt>
                <c:pt idx="161">
                  <c:v>5.3169788704128251</c:v>
                </c:pt>
                <c:pt idx="162">
                  <c:v>5.2231551667711642</c:v>
                </c:pt>
                <c:pt idx="163">
                  <c:v>5.2006301780624682</c:v>
                </c:pt>
                <c:pt idx="164">
                  <c:v>5.2585290519642029</c:v>
                </c:pt>
                <c:pt idx="165">
                  <c:v>5.081880843938464</c:v>
                </c:pt>
                <c:pt idx="166">
                  <c:v>5.0340729138555247</c:v>
                </c:pt>
                <c:pt idx="167">
                  <c:v>4.8690209052719098</c:v>
                </c:pt>
                <c:pt idx="168">
                  <c:v>5.0821493068705621</c:v>
                </c:pt>
                <c:pt idx="169">
                  <c:v>5.0340977467625549</c:v>
                </c:pt>
                <c:pt idx="170">
                  <c:v>5.0658343280233424</c:v>
                </c:pt>
                <c:pt idx="171">
                  <c:v>5.2474271807651149</c:v>
                </c:pt>
                <c:pt idx="172">
                  <c:v>5.2380413603856795</c:v>
                </c:pt>
                <c:pt idx="173">
                  <c:v>5.3470488998293746</c:v>
                </c:pt>
                <c:pt idx="174">
                  <c:v>5.2499363580148497</c:v>
                </c:pt>
                <c:pt idx="175">
                  <c:v>5.2694417608513078</c:v>
                </c:pt>
                <c:pt idx="176">
                  <c:v>5.1252079688322709</c:v>
                </c:pt>
                <c:pt idx="177">
                  <c:v>5.2740124765529544</c:v>
                </c:pt>
                <c:pt idx="178">
                  <c:v>5.3154760174968771</c:v>
                </c:pt>
                <c:pt idx="179">
                  <c:v>5.391402789582088</c:v>
                </c:pt>
                <c:pt idx="180">
                  <c:v>5.3453763978751567</c:v>
                </c:pt>
                <c:pt idx="181">
                  <c:v>5.4478133820816197</c:v>
                </c:pt>
                <c:pt idx="182">
                  <c:v>5.4665385720712152</c:v>
                </c:pt>
                <c:pt idx="183">
                  <c:v>5.4542553494197108</c:v>
                </c:pt>
                <c:pt idx="184">
                  <c:v>5.4322170073616292</c:v>
                </c:pt>
                <c:pt idx="185">
                  <c:v>5.4153410444095869</c:v>
                </c:pt>
                <c:pt idx="186">
                  <c:v>5.3651288158342965</c:v>
                </c:pt>
                <c:pt idx="187">
                  <c:v>5.3625566862112066</c:v>
                </c:pt>
                <c:pt idx="188">
                  <c:v>5.34431687058715</c:v>
                </c:pt>
                <c:pt idx="189">
                  <c:v>5.2766968594284407</c:v>
                </c:pt>
                <c:pt idx="190">
                  <c:v>5.3315179626481211</c:v>
                </c:pt>
                <c:pt idx="191">
                  <c:v>5.2279683635215832</c:v>
                </c:pt>
                <c:pt idx="192">
                  <c:v>5.2168201053781047</c:v>
                </c:pt>
                <c:pt idx="193">
                  <c:v>5.0473705705392007</c:v>
                </c:pt>
                <c:pt idx="194">
                  <c:v>5.0154430546288324</c:v>
                </c:pt>
                <c:pt idx="195">
                  <c:v>5.2547544961714294</c:v>
                </c:pt>
                <c:pt idx="196">
                  <c:v>5.3412676049887153</c:v>
                </c:pt>
                <c:pt idx="197">
                  <c:v>5.3024327467657741</c:v>
                </c:pt>
                <c:pt idx="198">
                  <c:v>5.2759695118024581</c:v>
                </c:pt>
                <c:pt idx="199">
                  <c:v>5.2037344784853161</c:v>
                </c:pt>
                <c:pt idx="200">
                  <c:v>5.2884571151288782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6C-2347-A96E-6F1C5F90B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66336"/>
        <c:axId val="-968664016"/>
      </c:scatterChart>
      <c:valAx>
        <c:axId val="-968671488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68669168"/>
        <c:crosses val="autoZero"/>
        <c:crossBetween val="midCat"/>
      </c:valAx>
      <c:valAx>
        <c:axId val="-9686691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68671488"/>
        <c:crosses val="autoZero"/>
        <c:crossBetween val="midCat"/>
      </c:valAx>
      <c:valAx>
        <c:axId val="-968666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8664016"/>
        <c:crosses val="autoZero"/>
        <c:crossBetween val="midCat"/>
      </c:valAx>
      <c:valAx>
        <c:axId val="-968664016"/>
        <c:scaling>
          <c:orientation val="minMax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68666336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Study'!$B$10</c:f>
              <c:strCache>
                <c:ptCount val="1"/>
                <c:pt idx="0">
                  <c:v>Asset Path (sigma_a)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Study'!$B$11:$B$211</c:f>
              <c:numCache>
                <c:formatCode>0.00</c:formatCode>
                <c:ptCount val="201"/>
                <c:pt idx="0">
                  <c:v>100</c:v>
                </c:pt>
                <c:pt idx="1">
                  <c:v>103.4311082676569</c:v>
                </c:pt>
                <c:pt idx="2">
                  <c:v>108.50137350091913</c:v>
                </c:pt>
                <c:pt idx="3">
                  <c:v>112.82331753480344</c:v>
                </c:pt>
                <c:pt idx="4">
                  <c:v>108.80436850856728</c:v>
                </c:pt>
                <c:pt idx="5">
                  <c:v>109.58071361347655</c:v>
                </c:pt>
                <c:pt idx="6">
                  <c:v>110.96984571676855</c:v>
                </c:pt>
                <c:pt idx="7">
                  <c:v>108.2472658316313</c:v>
                </c:pt>
                <c:pt idx="8">
                  <c:v>109.55058584361947</c:v>
                </c:pt>
                <c:pt idx="9">
                  <c:v>106.09601192423104</c:v>
                </c:pt>
                <c:pt idx="10">
                  <c:v>108.01355211684827</c:v>
                </c:pt>
                <c:pt idx="11">
                  <c:v>108.7907301160532</c:v>
                </c:pt>
                <c:pt idx="12">
                  <c:v>111.46225426109673</c:v>
                </c:pt>
                <c:pt idx="13">
                  <c:v>112.75948622346144</c:v>
                </c:pt>
                <c:pt idx="14">
                  <c:v>115.45584658699283</c:v>
                </c:pt>
                <c:pt idx="15">
                  <c:v>118.08842461968406</c:v>
                </c:pt>
                <c:pt idx="16">
                  <c:v>120.04458437031906</c:v>
                </c:pt>
                <c:pt idx="17">
                  <c:v>122.70461072431628</c:v>
                </c:pt>
                <c:pt idx="18">
                  <c:v>121.61154230704383</c:v>
                </c:pt>
                <c:pt idx="19">
                  <c:v>121.99057720199603</c:v>
                </c:pt>
                <c:pt idx="20">
                  <c:v>118.65154035599055</c:v>
                </c:pt>
                <c:pt idx="21">
                  <c:v>117.39315184602444</c:v>
                </c:pt>
                <c:pt idx="22">
                  <c:v>120.73775027007129</c:v>
                </c:pt>
                <c:pt idx="23">
                  <c:v>124.86090024660349</c:v>
                </c:pt>
                <c:pt idx="24">
                  <c:v>126.02594374250407</c:v>
                </c:pt>
                <c:pt idx="25">
                  <c:v>127.90176011512263</c:v>
                </c:pt>
                <c:pt idx="26">
                  <c:v>127.32917054032848</c:v>
                </c:pt>
                <c:pt idx="27">
                  <c:v>128.29711022368616</c:v>
                </c:pt>
                <c:pt idx="28">
                  <c:v>127.64246255577852</c:v>
                </c:pt>
                <c:pt idx="29">
                  <c:v>126.21684464954578</c:v>
                </c:pt>
                <c:pt idx="30">
                  <c:v>127.79570569188162</c:v>
                </c:pt>
                <c:pt idx="31">
                  <c:v>128.60535331269662</c:v>
                </c:pt>
                <c:pt idx="32">
                  <c:v>125.70370819008858</c:v>
                </c:pt>
                <c:pt idx="33">
                  <c:v>125.80964267160307</c:v>
                </c:pt>
                <c:pt idx="34">
                  <c:v>126.60849159109995</c:v>
                </c:pt>
                <c:pt idx="35">
                  <c:v>131.32368078030231</c:v>
                </c:pt>
                <c:pt idx="36">
                  <c:v>135.38392585319801</c:v>
                </c:pt>
                <c:pt idx="37">
                  <c:v>133.56041091296044</c:v>
                </c:pt>
                <c:pt idx="38">
                  <c:v>138.29721250277558</c:v>
                </c:pt>
                <c:pt idx="39">
                  <c:v>137.2478310002698</c:v>
                </c:pt>
                <c:pt idx="40">
                  <c:v>136.05863511125051</c:v>
                </c:pt>
                <c:pt idx="41">
                  <c:v>134.05733292655279</c:v>
                </c:pt>
                <c:pt idx="42">
                  <c:v>133.07093990924244</c:v>
                </c:pt>
                <c:pt idx="43">
                  <c:v>131.94849194439777</c:v>
                </c:pt>
                <c:pt idx="44">
                  <c:v>133.29618574744518</c:v>
                </c:pt>
                <c:pt idx="45">
                  <c:v>132.08875289582002</c:v>
                </c:pt>
                <c:pt idx="46">
                  <c:v>124.62805899544148</c:v>
                </c:pt>
                <c:pt idx="47">
                  <c:v>127.34843405530016</c:v>
                </c:pt>
                <c:pt idx="48">
                  <c:v>127.64570696852682</c:v>
                </c:pt>
                <c:pt idx="49">
                  <c:v>126.33048180515209</c:v>
                </c:pt>
                <c:pt idx="50">
                  <c:v>129.71670473074352</c:v>
                </c:pt>
                <c:pt idx="51">
                  <c:v>125.16315959509313</c:v>
                </c:pt>
                <c:pt idx="52">
                  <c:v>124.47680556563449</c:v>
                </c:pt>
                <c:pt idx="53">
                  <c:v>121.61999307743433</c:v>
                </c:pt>
                <c:pt idx="54">
                  <c:v>121.91115046048134</c:v>
                </c:pt>
                <c:pt idx="55">
                  <c:v>124.3094579736389</c:v>
                </c:pt>
                <c:pt idx="56">
                  <c:v>122.90244438498021</c:v>
                </c:pt>
                <c:pt idx="57">
                  <c:v>119.97926685257076</c:v>
                </c:pt>
                <c:pt idx="58">
                  <c:v>126.84684610237076</c:v>
                </c:pt>
                <c:pt idx="59">
                  <c:v>128.33340853407094</c:v>
                </c:pt>
                <c:pt idx="60">
                  <c:v>129.04572734227656</c:v>
                </c:pt>
                <c:pt idx="61">
                  <c:v>130.47598872522414</c:v>
                </c:pt>
                <c:pt idx="62">
                  <c:v>127.91255325760633</c:v>
                </c:pt>
                <c:pt idx="63">
                  <c:v>124.63487546134736</c:v>
                </c:pt>
                <c:pt idx="64">
                  <c:v>120.51470664037255</c:v>
                </c:pt>
                <c:pt idx="65">
                  <c:v>115.82021225560474</c:v>
                </c:pt>
                <c:pt idx="66">
                  <c:v>114.72550323942772</c:v>
                </c:pt>
                <c:pt idx="67">
                  <c:v>116.54192310782535</c:v>
                </c:pt>
                <c:pt idx="68">
                  <c:v>118.2586579697351</c:v>
                </c:pt>
                <c:pt idx="69">
                  <c:v>115.81636388977157</c:v>
                </c:pt>
                <c:pt idx="70">
                  <c:v>114.04860352841695</c:v>
                </c:pt>
                <c:pt idx="71">
                  <c:v>110.89177965774591</c:v>
                </c:pt>
                <c:pt idx="72">
                  <c:v>111.8650832974084</c:v>
                </c:pt>
                <c:pt idx="73">
                  <c:v>113.46784679659905</c:v>
                </c:pt>
                <c:pt idx="74">
                  <c:v>112.33140496645883</c:v>
                </c:pt>
                <c:pt idx="75">
                  <c:v>113.29784586927923</c:v>
                </c:pt>
                <c:pt idx="76">
                  <c:v>113.40081149784855</c:v>
                </c:pt>
                <c:pt idx="77">
                  <c:v>117.7596449657987</c:v>
                </c:pt>
                <c:pt idx="78">
                  <c:v>120.74416384041599</c:v>
                </c:pt>
                <c:pt idx="79">
                  <c:v>120.6468885328425</c:v>
                </c:pt>
                <c:pt idx="80">
                  <c:v>119.81465687106871</c:v>
                </c:pt>
                <c:pt idx="81">
                  <c:v>122.64082886318414</c:v>
                </c:pt>
                <c:pt idx="82">
                  <c:v>127.89462429133124</c:v>
                </c:pt>
                <c:pt idx="83">
                  <c:v>128.47262541469823</c:v>
                </c:pt>
                <c:pt idx="84">
                  <c:v>127.67426370828986</c:v>
                </c:pt>
                <c:pt idx="85">
                  <c:v>129.06795009890121</c:v>
                </c:pt>
                <c:pt idx="86">
                  <c:v>132.93077837869072</c:v>
                </c:pt>
                <c:pt idx="87">
                  <c:v>134.29737045518601</c:v>
                </c:pt>
                <c:pt idx="88">
                  <c:v>135.73999369745493</c:v>
                </c:pt>
                <c:pt idx="89">
                  <c:v>134.58075684382158</c:v>
                </c:pt>
                <c:pt idx="90">
                  <c:v>134.16559907909965</c:v>
                </c:pt>
                <c:pt idx="91">
                  <c:v>135.37452868637467</c:v>
                </c:pt>
                <c:pt idx="92">
                  <c:v>134.87208658847959</c:v>
                </c:pt>
                <c:pt idx="93">
                  <c:v>133.55219799867538</c:v>
                </c:pt>
                <c:pt idx="94">
                  <c:v>135.41189027701682</c:v>
                </c:pt>
                <c:pt idx="95">
                  <c:v>133.12455403719383</c:v>
                </c:pt>
                <c:pt idx="96">
                  <c:v>137.57970226207684</c:v>
                </c:pt>
                <c:pt idx="97">
                  <c:v>135.1707244715555</c:v>
                </c:pt>
                <c:pt idx="98">
                  <c:v>133.53465354008489</c:v>
                </c:pt>
                <c:pt idx="99">
                  <c:v>135.96797600691087</c:v>
                </c:pt>
                <c:pt idx="100">
                  <c:v>133.61816259166616</c:v>
                </c:pt>
                <c:pt idx="101">
                  <c:v>125.65533841813092</c:v>
                </c:pt>
                <c:pt idx="102">
                  <c:v>120.99660645053933</c:v>
                </c:pt>
                <c:pt idx="103">
                  <c:v>123.28628869174122</c:v>
                </c:pt>
                <c:pt idx="104">
                  <c:v>122.41557736579263</c:v>
                </c:pt>
                <c:pt idx="105">
                  <c:v>126.94012340199144</c:v>
                </c:pt>
                <c:pt idx="106">
                  <c:v>123.69552904880162</c:v>
                </c:pt>
                <c:pt idx="107">
                  <c:v>123.42009766558606</c:v>
                </c:pt>
                <c:pt idx="108">
                  <c:v>125.46132038219768</c:v>
                </c:pt>
                <c:pt idx="109">
                  <c:v>122.04511699775659</c:v>
                </c:pt>
                <c:pt idx="110">
                  <c:v>118.77616976042036</c:v>
                </c:pt>
                <c:pt idx="111">
                  <c:v>122.12871027133815</c:v>
                </c:pt>
                <c:pt idx="112">
                  <c:v>120.16910081245049</c:v>
                </c:pt>
                <c:pt idx="113">
                  <c:v>122.67432238935038</c:v>
                </c:pt>
                <c:pt idx="114">
                  <c:v>123.65277280732452</c:v>
                </c:pt>
                <c:pt idx="115">
                  <c:v>122.49940967283712</c:v>
                </c:pt>
                <c:pt idx="116">
                  <c:v>125.08217906143084</c:v>
                </c:pt>
                <c:pt idx="117">
                  <c:v>128.62036697633872</c:v>
                </c:pt>
                <c:pt idx="118">
                  <c:v>129.73551389038863</c:v>
                </c:pt>
                <c:pt idx="119">
                  <c:v>129.86199076592771</c:v>
                </c:pt>
                <c:pt idx="120">
                  <c:v>126.03780777878332</c:v>
                </c:pt>
                <c:pt idx="121">
                  <c:v>123.81042109882584</c:v>
                </c:pt>
                <c:pt idx="122">
                  <c:v>131.71685336247089</c:v>
                </c:pt>
                <c:pt idx="123">
                  <c:v>134.09484409528397</c:v>
                </c:pt>
                <c:pt idx="124">
                  <c:v>135.68338100513151</c:v>
                </c:pt>
                <c:pt idx="125">
                  <c:v>134.67161256155731</c:v>
                </c:pt>
                <c:pt idx="126">
                  <c:v>136.18132287450845</c:v>
                </c:pt>
                <c:pt idx="127">
                  <c:v>133.52255726440143</c:v>
                </c:pt>
                <c:pt idx="128">
                  <c:v>129.91693977633557</c:v>
                </c:pt>
                <c:pt idx="129">
                  <c:v>128.19161432414919</c:v>
                </c:pt>
                <c:pt idx="130">
                  <c:v>136.98759391066631</c:v>
                </c:pt>
                <c:pt idx="131">
                  <c:v>135.97419376884912</c:v>
                </c:pt>
                <c:pt idx="132">
                  <c:v>138.200159501879</c:v>
                </c:pt>
                <c:pt idx="133">
                  <c:v>132.8641950402307</c:v>
                </c:pt>
                <c:pt idx="134">
                  <c:v>128.43708591148692</c:v>
                </c:pt>
                <c:pt idx="135">
                  <c:v>125.66389061536377</c:v>
                </c:pt>
                <c:pt idx="136">
                  <c:v>124.442330348985</c:v>
                </c:pt>
                <c:pt idx="137">
                  <c:v>123.91070707705394</c:v>
                </c:pt>
                <c:pt idx="138">
                  <c:v>123.43771937233564</c:v>
                </c:pt>
                <c:pt idx="139">
                  <c:v>122.21676604336758</c:v>
                </c:pt>
                <c:pt idx="140">
                  <c:v>120.08471567227329</c:v>
                </c:pt>
                <c:pt idx="141">
                  <c:v>125.48122104566535</c:v>
                </c:pt>
                <c:pt idx="142">
                  <c:v>129.46699669186629</c:v>
                </c:pt>
                <c:pt idx="143">
                  <c:v>130.17264456356085</c:v>
                </c:pt>
                <c:pt idx="144">
                  <c:v>132.69929310726175</c:v>
                </c:pt>
                <c:pt idx="145">
                  <c:v>136.01930674165629</c:v>
                </c:pt>
                <c:pt idx="146">
                  <c:v>138.57227574828684</c:v>
                </c:pt>
                <c:pt idx="147">
                  <c:v>135.98569872305103</c:v>
                </c:pt>
                <c:pt idx="148">
                  <c:v>139.36395083239827</c:v>
                </c:pt>
                <c:pt idx="149">
                  <c:v>148.92862851614532</c:v>
                </c:pt>
                <c:pt idx="150">
                  <c:v>146.86051778542384</c:v>
                </c:pt>
                <c:pt idx="151">
                  <c:v>156.84103749342614</c:v>
                </c:pt>
                <c:pt idx="152">
                  <c:v>159.4836739345366</c:v>
                </c:pt>
                <c:pt idx="153">
                  <c:v>163.06314833545176</c:v>
                </c:pt>
                <c:pt idx="154">
                  <c:v>163.54235259348624</c:v>
                </c:pt>
                <c:pt idx="155">
                  <c:v>157.99587701652922</c:v>
                </c:pt>
                <c:pt idx="156">
                  <c:v>150.71296105405176</c:v>
                </c:pt>
                <c:pt idx="157">
                  <c:v>146.46961357799071</c:v>
                </c:pt>
                <c:pt idx="158">
                  <c:v>145.0814459537747</c:v>
                </c:pt>
                <c:pt idx="159">
                  <c:v>139.33872090493986</c:v>
                </c:pt>
                <c:pt idx="160">
                  <c:v>140.67813357574906</c:v>
                </c:pt>
                <c:pt idx="161">
                  <c:v>135.02477208582064</c:v>
                </c:pt>
                <c:pt idx="162">
                  <c:v>130.31168914228616</c:v>
                </c:pt>
                <c:pt idx="163">
                  <c:v>129.62375615439313</c:v>
                </c:pt>
                <c:pt idx="164">
                  <c:v>131.36446894817033</c:v>
                </c:pt>
                <c:pt idx="165">
                  <c:v>124.28238334050401</c:v>
                </c:pt>
                <c:pt idx="166">
                  <c:v>123.4145229267517</c:v>
                </c:pt>
                <c:pt idx="167">
                  <c:v>120.40030513500923</c:v>
                </c:pt>
                <c:pt idx="168">
                  <c:v>123.28605148412262</c:v>
                </c:pt>
                <c:pt idx="169">
                  <c:v>122.4040828439057</c:v>
                </c:pt>
                <c:pt idx="170">
                  <c:v>123.00292534153367</c:v>
                </c:pt>
                <c:pt idx="171">
                  <c:v>126.56446085523085</c:v>
                </c:pt>
                <c:pt idx="172">
                  <c:v>126.2710265759104</c:v>
                </c:pt>
                <c:pt idx="173">
                  <c:v>129.84551565182048</c:v>
                </c:pt>
                <c:pt idx="174">
                  <c:v>124.02345720979973</c:v>
                </c:pt>
                <c:pt idx="175">
                  <c:v>124.58072869346756</c:v>
                </c:pt>
                <c:pt idx="176">
                  <c:v>119.75247180102583</c:v>
                </c:pt>
                <c:pt idx="177">
                  <c:v>122.41993981732173</c:v>
                </c:pt>
                <c:pt idx="178">
                  <c:v>123.56889764250481</c:v>
                </c:pt>
                <c:pt idx="179">
                  <c:v>126.24196869105126</c:v>
                </c:pt>
                <c:pt idx="180">
                  <c:v>123.41982631330083</c:v>
                </c:pt>
                <c:pt idx="181">
                  <c:v>127.67781639703702</c:v>
                </c:pt>
                <c:pt idx="182">
                  <c:v>129.56293824624498</c:v>
                </c:pt>
                <c:pt idx="183">
                  <c:v>127.28344991687266</c:v>
                </c:pt>
                <c:pt idx="184">
                  <c:v>124.2816276295392</c:v>
                </c:pt>
                <c:pt idx="185">
                  <c:v>122.82294373762441</c:v>
                </c:pt>
                <c:pt idx="186">
                  <c:v>119.06576263150617</c:v>
                </c:pt>
                <c:pt idx="187">
                  <c:v>118.96675078744903</c:v>
                </c:pt>
                <c:pt idx="188">
                  <c:v>118.14304152344003</c:v>
                </c:pt>
                <c:pt idx="189">
                  <c:v>115.08680156123179</c:v>
                </c:pt>
                <c:pt idx="190">
                  <c:v>116.53968173524453</c:v>
                </c:pt>
                <c:pt idx="191">
                  <c:v>111.62706331973958</c:v>
                </c:pt>
                <c:pt idx="192">
                  <c:v>111.48994446866929</c:v>
                </c:pt>
                <c:pt idx="193">
                  <c:v>107.9686083060694</c:v>
                </c:pt>
                <c:pt idx="194">
                  <c:v>107.76819626485694</c:v>
                </c:pt>
                <c:pt idx="195">
                  <c:v>110.31392030176785</c:v>
                </c:pt>
                <c:pt idx="196">
                  <c:v>112.7972678324557</c:v>
                </c:pt>
                <c:pt idx="197">
                  <c:v>106.43046668367727</c:v>
                </c:pt>
                <c:pt idx="198">
                  <c:v>106.09939293431231</c:v>
                </c:pt>
                <c:pt idx="199">
                  <c:v>104.43574448307247</c:v>
                </c:pt>
                <c:pt idx="200">
                  <c:v>106.65255170275557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DE-474C-B971-24C3DB51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831056"/>
        <c:axId val="-968923120"/>
      </c:scatterChart>
      <c:scatterChart>
        <c:scatterStyle val="lineMarker"/>
        <c:varyColors val="0"/>
        <c:ser>
          <c:idx val="1"/>
          <c:order val="1"/>
          <c:tx>
            <c:strRef>
              <c:f>'P&amp;L Study'!$R$10</c:f>
              <c:strCache>
                <c:ptCount val="1"/>
                <c:pt idx="0">
                  <c:v>Gamma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Study'!$R$11:$R$211</c:f>
              <c:numCache>
                <c:formatCode>0.0000</c:formatCode>
                <c:ptCount val="201"/>
                <c:pt idx="0">
                  <c:v>1.1095321575165266E-2</c:v>
                </c:pt>
                <c:pt idx="1">
                  <c:v>1.046864607916613E-2</c:v>
                </c:pt>
                <c:pt idx="2">
                  <c:v>9.4750361940873114E-3</c:v>
                </c:pt>
                <c:pt idx="3">
                  <c:v>8.6148309141919326E-3</c:v>
                </c:pt>
                <c:pt idx="4">
                  <c:v>9.4608303091816923E-3</c:v>
                </c:pt>
                <c:pt idx="5">
                  <c:v>9.3244501973317566E-3</c:v>
                </c:pt>
                <c:pt idx="6">
                  <c:v>9.0597848222237435E-3</c:v>
                </c:pt>
                <c:pt idx="7">
                  <c:v>9.6495045034385909E-3</c:v>
                </c:pt>
                <c:pt idx="8">
                  <c:v>9.4019743543037257E-3</c:v>
                </c:pt>
                <c:pt idx="9">
                  <c:v>1.014894593728926E-2</c:v>
                </c:pt>
                <c:pt idx="10">
                  <c:v>9.7744433438881496E-3</c:v>
                </c:pt>
                <c:pt idx="11">
                  <c:v>9.6358307360967475E-3</c:v>
                </c:pt>
                <c:pt idx="12">
                  <c:v>9.0925502228947422E-3</c:v>
                </c:pt>
                <c:pt idx="13">
                  <c:v>8.839146521934434E-3</c:v>
                </c:pt>
                <c:pt idx="14">
                  <c:v>8.2896086995554469E-3</c:v>
                </c:pt>
                <c:pt idx="15">
                  <c:v>7.7601802262401926E-3</c:v>
                </c:pt>
                <c:pt idx="16">
                  <c:v>7.3774287168890864E-3</c:v>
                </c:pt>
                <c:pt idx="17">
                  <c:v>6.8630855081359054E-3</c:v>
                </c:pt>
                <c:pt idx="18">
                  <c:v>7.0918996315792668E-3</c:v>
                </c:pt>
                <c:pt idx="19">
                  <c:v>7.0299685346572787E-3</c:v>
                </c:pt>
                <c:pt idx="20">
                  <c:v>7.7276198815327156E-3</c:v>
                </c:pt>
                <c:pt idx="21">
                  <c:v>8.0110996948181256E-3</c:v>
                </c:pt>
                <c:pt idx="22">
                  <c:v>7.326088081134427E-3</c:v>
                </c:pt>
                <c:pt idx="23">
                  <c:v>6.5146325511094543E-3</c:v>
                </c:pt>
                <c:pt idx="24">
                  <c:v>6.3012627911200091E-3</c:v>
                </c:pt>
                <c:pt idx="25">
                  <c:v>5.9586169987692764E-3</c:v>
                </c:pt>
                <c:pt idx="26">
                  <c:v>6.0735533069944531E-3</c:v>
                </c:pt>
                <c:pt idx="27">
                  <c:v>5.9017160608651779E-3</c:v>
                </c:pt>
                <c:pt idx="28">
                  <c:v>6.0318715328125019E-3</c:v>
                </c:pt>
                <c:pt idx="29">
                  <c:v>6.3135980448109493E-3</c:v>
                </c:pt>
                <c:pt idx="30">
                  <c:v>6.0196786595833702E-3</c:v>
                </c:pt>
                <c:pt idx="31">
                  <c:v>5.8752481826738062E-3</c:v>
                </c:pt>
                <c:pt idx="32">
                  <c:v>6.4446565948350692E-3</c:v>
                </c:pt>
                <c:pt idx="33">
                  <c:v>6.4337661539917938E-3</c:v>
                </c:pt>
                <c:pt idx="34">
                  <c:v>6.2847582657896434E-3</c:v>
                </c:pt>
                <c:pt idx="35">
                  <c:v>5.4023244331869455E-3</c:v>
                </c:pt>
                <c:pt idx="36">
                  <c:v>4.7110043927143797E-3</c:v>
                </c:pt>
                <c:pt idx="37">
                  <c:v>5.0182131980832404E-3</c:v>
                </c:pt>
                <c:pt idx="38">
                  <c:v>4.2544610812352652E-3</c:v>
                </c:pt>
                <c:pt idx="39">
                  <c:v>4.4164088637507039E-3</c:v>
                </c:pt>
                <c:pt idx="40">
                  <c:v>4.6071227232941459E-3</c:v>
                </c:pt>
                <c:pt idx="41">
                  <c:v>4.9441363420044855E-3</c:v>
                </c:pt>
                <c:pt idx="42">
                  <c:v>5.1195627917712079E-3</c:v>
                </c:pt>
                <c:pt idx="43">
                  <c:v>5.3258682441360197E-3</c:v>
                </c:pt>
                <c:pt idx="44">
                  <c:v>5.0856139204224883E-3</c:v>
                </c:pt>
                <c:pt idx="45">
                  <c:v>5.3080425651580504E-3</c:v>
                </c:pt>
                <c:pt idx="46">
                  <c:v>6.8228099019551E-3</c:v>
                </c:pt>
                <c:pt idx="47">
                  <c:v>6.2516874241731598E-3</c:v>
                </c:pt>
                <c:pt idx="48">
                  <c:v>6.1981534246867351E-3</c:v>
                </c:pt>
                <c:pt idx="49">
                  <c:v>6.4853666608899732E-3</c:v>
                </c:pt>
                <c:pt idx="50">
                  <c:v>5.7888848545053781E-3</c:v>
                </c:pt>
                <c:pt idx="51">
                  <c:v>6.76162727302459E-3</c:v>
                </c:pt>
                <c:pt idx="52">
                  <c:v>6.9274684584799224E-3</c:v>
                </c:pt>
                <c:pt idx="53">
                  <c:v>7.6087959500185974E-3</c:v>
                </c:pt>
                <c:pt idx="54">
                  <c:v>7.5545706392019015E-3</c:v>
                </c:pt>
                <c:pt idx="55">
                  <c:v>7.0021077659020523E-3</c:v>
                </c:pt>
                <c:pt idx="56">
                  <c:v>7.3466010586740399E-3</c:v>
                </c:pt>
                <c:pt idx="57">
                  <c:v>8.0814991626294713E-3</c:v>
                </c:pt>
                <c:pt idx="58">
                  <c:v>6.4554616189961686E-3</c:v>
                </c:pt>
                <c:pt idx="59">
                  <c:v>6.1351895760404073E-3</c:v>
                </c:pt>
                <c:pt idx="60">
                  <c:v>5.9874942794432935E-3</c:v>
                </c:pt>
                <c:pt idx="61">
                  <c:v>5.6893970768893166E-3</c:v>
                </c:pt>
                <c:pt idx="62">
                  <c:v>6.249240813830932E-3</c:v>
                </c:pt>
                <c:pt idx="63">
                  <c:v>7.0211697837298309E-3</c:v>
                </c:pt>
                <c:pt idx="64">
                  <c:v>8.0736420891709976E-3</c:v>
                </c:pt>
                <c:pt idx="65">
                  <c:v>9.3660020503454969E-3</c:v>
                </c:pt>
                <c:pt idx="66">
                  <c:v>9.7007701180449463E-3</c:v>
                </c:pt>
                <c:pt idx="67">
                  <c:v>9.2173596520867263E-3</c:v>
                </c:pt>
                <c:pt idx="68">
                  <c:v>8.7633234945558858E-3</c:v>
                </c:pt>
                <c:pt idx="69">
                  <c:v>9.4763320949497239E-3</c:v>
                </c:pt>
                <c:pt idx="70">
                  <c:v>1.0016078022771251E-2</c:v>
                </c:pt>
                <c:pt idx="71">
                  <c:v>1.0976409093971854E-2</c:v>
                </c:pt>
                <c:pt idx="72">
                  <c:v>1.0726316092813101E-2</c:v>
                </c:pt>
                <c:pt idx="73">
                  <c:v>1.0284700014434985E-2</c:v>
                </c:pt>
                <c:pt idx="74">
                  <c:v>1.0659976348077362E-2</c:v>
                </c:pt>
                <c:pt idx="75">
                  <c:v>1.0403841878562196E-2</c:v>
                </c:pt>
                <c:pt idx="76">
                  <c:v>1.0407174673761224E-2</c:v>
                </c:pt>
                <c:pt idx="77">
                  <c:v>9.1220769988373373E-3</c:v>
                </c:pt>
                <c:pt idx="78">
                  <c:v>8.2720766050059062E-3</c:v>
                </c:pt>
                <c:pt idx="79">
                  <c:v>8.3191213505121094E-3</c:v>
                </c:pt>
                <c:pt idx="80">
                  <c:v>8.5824890391624012E-3</c:v>
                </c:pt>
                <c:pt idx="81">
                  <c:v>7.7822485109689619E-3</c:v>
                </c:pt>
                <c:pt idx="82">
                  <c:v>6.3814048243988264E-3</c:v>
                </c:pt>
                <c:pt idx="83">
                  <c:v>6.2405982582995631E-3</c:v>
                </c:pt>
                <c:pt idx="84">
                  <c:v>6.4482166737304036E-3</c:v>
                </c:pt>
                <c:pt idx="85">
                  <c:v>6.0986265787661594E-3</c:v>
                </c:pt>
                <c:pt idx="86">
                  <c:v>5.1834356826921711E-3</c:v>
                </c:pt>
                <c:pt idx="87">
                  <c:v>4.879485637308399E-3</c:v>
                </c:pt>
                <c:pt idx="88">
                  <c:v>4.5698335935411803E-3</c:v>
                </c:pt>
                <c:pt idx="89">
                  <c:v>4.8077910199048829E-3</c:v>
                </c:pt>
                <c:pt idx="90">
                  <c:v>4.89242123389029E-3</c:v>
                </c:pt>
                <c:pt idx="91">
                  <c:v>4.6250847731931976E-3</c:v>
                </c:pt>
                <c:pt idx="92">
                  <c:v>4.7255398949875779E-3</c:v>
                </c:pt>
                <c:pt idx="93">
                  <c:v>5.0126062193989653E-3</c:v>
                </c:pt>
                <c:pt idx="94">
                  <c:v>4.5935937514929373E-3</c:v>
                </c:pt>
                <c:pt idx="95">
                  <c:v>5.0996820039000594E-3</c:v>
                </c:pt>
                <c:pt idx="96">
                  <c:v>4.1241719306523055E-3</c:v>
                </c:pt>
                <c:pt idx="97">
                  <c:v>4.6196242945289448E-3</c:v>
                </c:pt>
                <c:pt idx="98">
                  <c:v>4.9832356918523557E-3</c:v>
                </c:pt>
                <c:pt idx="99">
                  <c:v>4.4256789965018964E-3</c:v>
                </c:pt>
                <c:pt idx="100">
                  <c:v>4.9474337997548112E-3</c:v>
                </c:pt>
                <c:pt idx="101">
                  <c:v>7.1123861808850214E-3</c:v>
                </c:pt>
                <c:pt idx="102">
                  <c:v>8.6481817009913427E-3</c:v>
                </c:pt>
                <c:pt idx="103">
                  <c:v>7.8869996684279332E-3</c:v>
                </c:pt>
                <c:pt idx="104">
                  <c:v>8.1930372355704974E-3</c:v>
                </c:pt>
                <c:pt idx="105">
                  <c:v>6.7339099524201694E-3</c:v>
                </c:pt>
                <c:pt idx="106">
                  <c:v>7.7826837578132951E-3</c:v>
                </c:pt>
                <c:pt idx="107">
                  <c:v>7.8864563077665015E-3</c:v>
                </c:pt>
                <c:pt idx="108">
                  <c:v>7.2104902383930743E-3</c:v>
                </c:pt>
                <c:pt idx="109">
                  <c:v>8.3942524476347483E-3</c:v>
                </c:pt>
                <c:pt idx="110">
                  <c:v>9.6392392170706522E-3</c:v>
                </c:pt>
                <c:pt idx="111">
                  <c:v>8.3920267186180317E-3</c:v>
                </c:pt>
                <c:pt idx="112">
                  <c:v>9.1464940789848827E-3</c:v>
                </c:pt>
                <c:pt idx="113">
                  <c:v>8.2166822643819776E-3</c:v>
                </c:pt>
                <c:pt idx="114">
                  <c:v>7.8686822493361196E-3</c:v>
                </c:pt>
                <c:pt idx="115">
                  <c:v>8.3045064369148269E-3</c:v>
                </c:pt>
                <c:pt idx="116">
                  <c:v>7.3662586540864123E-3</c:v>
                </c:pt>
                <c:pt idx="117">
                  <c:v>6.1738461107519816E-3</c:v>
                </c:pt>
                <c:pt idx="118">
                  <c:v>5.8156770920914517E-3</c:v>
                </c:pt>
                <c:pt idx="119">
                  <c:v>5.7647082503446282E-3</c:v>
                </c:pt>
                <c:pt idx="120">
                  <c:v>7.0251326936139804E-3</c:v>
                </c:pt>
                <c:pt idx="121">
                  <c:v>7.8510400424751624E-3</c:v>
                </c:pt>
                <c:pt idx="122">
                  <c:v>5.1618738897605881E-3</c:v>
                </c:pt>
                <c:pt idx="123">
                  <c:v>4.4812483445413921E-3</c:v>
                </c:pt>
                <c:pt idx="124">
                  <c:v>4.0522268836323851E-3</c:v>
                </c:pt>
                <c:pt idx="125">
                  <c:v>4.2812592816221301E-3</c:v>
                </c:pt>
                <c:pt idx="126">
                  <c:v>3.8765061778615675E-3</c:v>
                </c:pt>
                <c:pt idx="127">
                  <c:v>4.5361834947045222E-3</c:v>
                </c:pt>
                <c:pt idx="128">
                  <c:v>5.5992418539404986E-3</c:v>
                </c:pt>
                <c:pt idx="129">
                  <c:v>6.1685451176613617E-3</c:v>
                </c:pt>
                <c:pt idx="130">
                  <c:v>3.5622695010092227E-3</c:v>
                </c:pt>
                <c:pt idx="131">
                  <c:v>3.7734085821253525E-3</c:v>
                </c:pt>
                <c:pt idx="132">
                  <c:v>3.2187923234663139E-3</c:v>
                </c:pt>
                <c:pt idx="133">
                  <c:v>4.548626718188899E-3</c:v>
                </c:pt>
                <c:pt idx="134">
                  <c:v>5.9771474842835659E-3</c:v>
                </c:pt>
                <c:pt idx="135">
                  <c:v>7.0380638503881173E-3</c:v>
                </c:pt>
                <c:pt idx="136">
                  <c:v>7.5453835274700331E-3</c:v>
                </c:pt>
                <c:pt idx="137">
                  <c:v>7.7710715120532237E-3</c:v>
                </c:pt>
                <c:pt idx="138">
                  <c:v>7.9780721150403775E-3</c:v>
                </c:pt>
                <c:pt idx="139">
                  <c:v>8.5559354849602115E-3</c:v>
                </c:pt>
                <c:pt idx="140">
                  <c:v>9.6521450262036408E-3</c:v>
                </c:pt>
                <c:pt idx="141">
                  <c:v>6.9971501865319545E-3</c:v>
                </c:pt>
                <c:pt idx="142">
                  <c:v>5.3458669820593951E-3</c:v>
                </c:pt>
                <c:pt idx="143">
                  <c:v>5.0481059692323166E-3</c:v>
                </c:pt>
                <c:pt idx="144">
                  <c:v>4.1581198411003864E-3</c:v>
                </c:pt>
                <c:pt idx="145">
                  <c:v>3.174967951123897E-3</c:v>
                </c:pt>
                <c:pt idx="146">
                  <c:v>2.5332123754826671E-3</c:v>
                </c:pt>
                <c:pt idx="147">
                  <c:v>3.076633848958509E-3</c:v>
                </c:pt>
                <c:pt idx="148">
                  <c:v>2.2669095926247111E-3</c:v>
                </c:pt>
                <c:pt idx="149">
                  <c:v>9.1220204498747401E-4</c:v>
                </c:pt>
                <c:pt idx="150">
                  <c:v>1.0717498296440333E-3</c:v>
                </c:pt>
                <c:pt idx="151">
                  <c:v>3.7046698036614017E-4</c:v>
                </c:pt>
                <c:pt idx="152">
                  <c:v>2.6153935857026292E-4</c:v>
                </c:pt>
                <c:pt idx="153">
                  <c:v>1.6288427741647894E-4</c:v>
                </c:pt>
                <c:pt idx="154">
                  <c:v>1.4226516652412921E-4</c:v>
                </c:pt>
                <c:pt idx="155">
                  <c:v>2.508750221733181E-4</c:v>
                </c:pt>
                <c:pt idx="156">
                  <c:v>5.381782322299223E-4</c:v>
                </c:pt>
                <c:pt idx="157">
                  <c:v>8.1569719460926251E-4</c:v>
                </c:pt>
                <c:pt idx="158">
                  <c:v>9.0276118119801425E-4</c:v>
                </c:pt>
                <c:pt idx="159">
                  <c:v>1.6118990202725891E-3</c:v>
                </c:pt>
                <c:pt idx="160">
                  <c:v>1.3334896298591418E-3</c:v>
                </c:pt>
                <c:pt idx="161">
                  <c:v>2.3600515390723039E-3</c:v>
                </c:pt>
                <c:pt idx="162">
                  <c:v>3.7154506785990571E-3</c:v>
                </c:pt>
                <c:pt idx="163">
                  <c:v>3.877900022526319E-3</c:v>
                </c:pt>
                <c:pt idx="164">
                  <c:v>3.1414276978128704E-3</c:v>
                </c:pt>
                <c:pt idx="165">
                  <c:v>6.2743506988882395E-3</c:v>
                </c:pt>
                <c:pt idx="166">
                  <c:v>6.7013307518210717E-3</c:v>
                </c:pt>
                <c:pt idx="167">
                  <c:v>8.7454427128681473E-3</c:v>
                </c:pt>
                <c:pt idx="168">
                  <c:v>6.5492888014520682E-3</c:v>
                </c:pt>
                <c:pt idx="169">
                  <c:v>7.0219616539366246E-3</c:v>
                </c:pt>
                <c:pt idx="170">
                  <c:v>6.4704205162939748E-3</c:v>
                </c:pt>
                <c:pt idx="171">
                  <c:v>4.2248976150738426E-3</c:v>
                </c:pt>
                <c:pt idx="172">
                  <c:v>4.2142396394114177E-3</c:v>
                </c:pt>
                <c:pt idx="173">
                  <c:v>2.5454554203663683E-3</c:v>
                </c:pt>
                <c:pt idx="174">
                  <c:v>5.1375673365114541E-3</c:v>
                </c:pt>
                <c:pt idx="175">
                  <c:v>4.6041588532909957E-3</c:v>
                </c:pt>
                <c:pt idx="176">
                  <c:v>8.0475373354663305E-3</c:v>
                </c:pt>
                <c:pt idx="177">
                  <c:v>5.6011443571714085E-3</c:v>
                </c:pt>
                <c:pt idx="178">
                  <c:v>4.5736120500498439E-3</c:v>
                </c:pt>
                <c:pt idx="179">
                  <c:v>2.8835953366384316E-3</c:v>
                </c:pt>
                <c:pt idx="180">
                  <c:v>4.1572154096575541E-3</c:v>
                </c:pt>
                <c:pt idx="181">
                  <c:v>1.8896242653961717E-3</c:v>
                </c:pt>
                <c:pt idx="182">
                  <c:v>1.1759711992567843E-3</c:v>
                </c:pt>
                <c:pt idx="183">
                  <c:v>1.5964246076913442E-3</c:v>
                </c:pt>
                <c:pt idx="184">
                  <c:v>2.513547893516059E-3</c:v>
                </c:pt>
                <c:pt idx="185">
                  <c:v>2.9587453440629665E-3</c:v>
                </c:pt>
                <c:pt idx="186">
                  <c:v>5.4483929819620228E-3</c:v>
                </c:pt>
                <c:pt idx="187">
                  <c:v>5.0303726430394108E-3</c:v>
                </c:pt>
                <c:pt idx="188">
                  <c:v>5.3135453651470942E-3</c:v>
                </c:pt>
                <c:pt idx="189">
                  <c:v>8.8745253888856263E-3</c:v>
                </c:pt>
                <c:pt idx="190">
                  <c:v>5.8294724152962397E-3</c:v>
                </c:pt>
                <c:pt idx="191">
                  <c:v>1.4916705059509551E-2</c:v>
                </c:pt>
                <c:pt idx="192">
                  <c:v>1.4208173741453735E-2</c:v>
                </c:pt>
                <c:pt idx="193">
                  <c:v>2.6995910211568219E-2</c:v>
                </c:pt>
                <c:pt idx="194">
                  <c:v>2.7113289611414921E-2</c:v>
                </c:pt>
                <c:pt idx="195">
                  <c:v>1.2690410585298014E-2</c:v>
                </c:pt>
                <c:pt idx="196">
                  <c:v>3.4183904104665161E-3</c:v>
                </c:pt>
                <c:pt idx="197">
                  <c:v>2.9148127104399107E-2</c:v>
                </c:pt>
                <c:pt idx="198">
                  <c:v>2.4693668391984738E-2</c:v>
                </c:pt>
                <c:pt idx="199">
                  <c:v>3.2219620563051339E-2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DE-474C-B971-24C3DB51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904304"/>
        <c:axId val="-968917920"/>
      </c:scatterChart>
      <c:valAx>
        <c:axId val="-967831056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68923120"/>
        <c:crosses val="autoZero"/>
        <c:crossBetween val="midCat"/>
      </c:valAx>
      <c:valAx>
        <c:axId val="-9689231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67831056"/>
        <c:crosses val="autoZero"/>
        <c:crossBetween val="midCat"/>
      </c:valAx>
      <c:valAx>
        <c:axId val="-968904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8917920"/>
        <c:crosses val="autoZero"/>
        <c:crossBetween val="midCat"/>
      </c:valAx>
      <c:valAx>
        <c:axId val="-968917920"/>
        <c:scaling>
          <c:orientation val="minMax"/>
        </c:scaling>
        <c:delete val="0"/>
        <c:axPos val="r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68904304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Study'!$T$10</c:f>
              <c:strCache>
                <c:ptCount val="1"/>
                <c:pt idx="0">
                  <c:v>P&amp;L Realized-Implied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Study'!$T$11:$T$211</c:f>
              <c:numCache>
                <c:formatCode>0.0000</c:formatCode>
                <c:ptCount val="201"/>
                <c:pt idx="1">
                  <c:v>3.1624190770071871E-2</c:v>
                </c:pt>
                <c:pt idx="2">
                  <c:v>9.9862560663961097E-2</c:v>
                </c:pt>
                <c:pt idx="3">
                  <c:v>5.3413519110162726E-2</c:v>
                </c:pt>
                <c:pt idx="4">
                  <c:v>3.6758707920221505E-2</c:v>
                </c:pt>
                <c:pt idx="5">
                  <c:v>-3.1439786970317053E-2</c:v>
                </c:pt>
                <c:pt idx="6">
                  <c:v>-2.5202465077171502E-2</c:v>
                </c:pt>
                <c:pt idx="7">
                  <c:v>-5.9714719634880356E-4</c:v>
                </c:pt>
                <c:pt idx="8">
                  <c:v>-2.6377341561624263E-2</c:v>
                </c:pt>
                <c:pt idx="9">
                  <c:v>2.1813969367990994E-2</c:v>
                </c:pt>
                <c:pt idx="10">
                  <c:v>-1.6298490920017398E-2</c:v>
                </c:pt>
                <c:pt idx="11">
                  <c:v>-3.1973940106106311E-2</c:v>
                </c:pt>
                <c:pt idx="12">
                  <c:v>-5.3523856170075205E-4</c:v>
                </c:pt>
                <c:pt idx="13">
                  <c:v>-2.6807124795514899E-2</c:v>
                </c:pt>
                <c:pt idx="14">
                  <c:v>-2.2482906325898317E-3</c:v>
                </c:pt>
                <c:pt idx="15">
                  <c:v>-5.0096415866831504E-3</c:v>
                </c:pt>
                <c:pt idx="16">
                  <c:v>-1.7972038023699666E-2</c:v>
                </c:pt>
                <c:pt idx="17">
                  <c:v>-6.2772044146206449E-3</c:v>
                </c:pt>
                <c:pt idx="18">
                  <c:v>-2.7959391917191566E-2</c:v>
                </c:pt>
                <c:pt idx="19">
                  <c:v>-3.1531086980428259E-2</c:v>
                </c:pt>
                <c:pt idx="20">
                  <c:v>7.4351140300014436E-3</c:v>
                </c:pt>
                <c:pt idx="21">
                  <c:v>-2.7601543794198779E-2</c:v>
                </c:pt>
                <c:pt idx="22">
                  <c:v>1.0637650220569729E-2</c:v>
                </c:pt>
                <c:pt idx="23">
                  <c:v>2.8118064006185689E-2</c:v>
                </c:pt>
                <c:pt idx="24">
                  <c:v>-2.6292903109530596E-2</c:v>
                </c:pt>
                <c:pt idx="25">
                  <c:v>-1.9054430969320007E-2</c:v>
                </c:pt>
                <c:pt idx="26">
                  <c:v>-2.9169332063115221E-2</c:v>
                </c:pt>
                <c:pt idx="27">
                  <c:v>-2.6943207866465622E-2</c:v>
                </c:pt>
                <c:pt idx="28">
                  <c:v>-2.8817312296073112E-2</c:v>
                </c:pt>
                <c:pt idx="29">
                  <c:v>-2.4529299494417359E-2</c:v>
                </c:pt>
                <c:pt idx="30">
                  <c:v>-2.2416183102647574E-2</c:v>
                </c:pt>
                <c:pt idx="31">
                  <c:v>-2.780896581781455E-2</c:v>
                </c:pt>
                <c:pt idx="32">
                  <c:v>-5.2668017113312081E-3</c:v>
                </c:pt>
                <c:pt idx="33">
                  <c:v>-3.1150524836538428E-2</c:v>
                </c:pt>
                <c:pt idx="34">
                  <c:v>-2.8821612117279429E-2</c:v>
                </c:pt>
                <c:pt idx="35">
                  <c:v>3.6078728600497212E-2</c:v>
                </c:pt>
                <c:pt idx="36">
                  <c:v>1.4826360255975377E-2</c:v>
                </c:pt>
                <c:pt idx="37">
                  <c:v>-1.9294466830154618E-2</c:v>
                </c:pt>
                <c:pt idx="38">
                  <c:v>2.6254848604416514E-2</c:v>
                </c:pt>
                <c:pt idx="39">
                  <c:v>-2.3082557388285845E-2</c:v>
                </c:pt>
                <c:pt idx="40">
                  <c:v>-2.2917635282332153E-2</c:v>
                </c:pt>
                <c:pt idx="41">
                  <c:v>-1.7599178439008236E-2</c:v>
                </c:pt>
                <c:pt idx="42">
                  <c:v>-2.5309500244853921E-2</c:v>
                </c:pt>
                <c:pt idx="43">
                  <c:v>-2.5098548032565445E-2</c:v>
                </c:pt>
                <c:pt idx="44">
                  <c:v>-2.295964499878687E-2</c:v>
                </c:pt>
                <c:pt idx="45">
                  <c:v>-2.4562846079976285E-2</c:v>
                </c:pt>
                <c:pt idx="46">
                  <c:v>0.13658665417187868</c:v>
                </c:pt>
                <c:pt idx="47">
                  <c:v>-6.8964087017750033E-3</c:v>
                </c:pt>
                <c:pt idx="48">
                  <c:v>-3.0652780251654185E-2</c:v>
                </c:pt>
                <c:pt idx="49">
                  <c:v>-2.6203387826239651E-2</c:v>
                </c:pt>
                <c:pt idx="50">
                  <c:v>5.1615643254112314E-3</c:v>
                </c:pt>
                <c:pt idx="51">
                  <c:v>3.2825246837658584E-2</c:v>
                </c:pt>
                <c:pt idx="52">
                  <c:v>-3.1258249649518399E-2</c:v>
                </c:pt>
                <c:pt idx="53">
                  <c:v>-4.8265878849804364E-3</c:v>
                </c:pt>
                <c:pt idx="54">
                  <c:v>-3.4063548714919692E-2</c:v>
                </c:pt>
                <c:pt idx="55">
                  <c:v>-1.2199253145881387E-2</c:v>
                </c:pt>
                <c:pt idx="56">
                  <c:v>-2.687641226479346E-2</c:v>
                </c:pt>
                <c:pt idx="57">
                  <c:v>-2.7219613133856462E-3</c:v>
                </c:pt>
                <c:pt idx="58">
                  <c:v>0.13834776745379868</c:v>
                </c:pt>
                <c:pt idx="59">
                  <c:v>-2.4005704575596573E-2</c:v>
                </c:pt>
                <c:pt idx="60">
                  <c:v>-2.8999810237304507E-2</c:v>
                </c:pt>
                <c:pt idx="61">
                  <c:v>-2.371325263101827E-2</c:v>
                </c:pt>
                <c:pt idx="62">
                  <c:v>-1.157972235577835E-2</c:v>
                </c:pt>
                <c:pt idx="63">
                  <c:v>2.4053384857857405E-3</c:v>
                </c:pt>
                <c:pt idx="64">
                  <c:v>2.8161469584763427E-2</c:v>
                </c:pt>
                <c:pt idx="65">
                  <c:v>5.6844613159231901E-2</c:v>
                </c:pt>
                <c:pt idx="66">
                  <c:v>-3.339901360078968E-2</c:v>
                </c:pt>
                <c:pt idx="67">
                  <c:v>-2.2648446356430887E-2</c:v>
                </c:pt>
                <c:pt idx="68">
                  <c:v>-2.4235997969692908E-2</c:v>
                </c:pt>
                <c:pt idx="69">
                  <c:v>-1.1820555360629141E-2</c:v>
                </c:pt>
                <c:pt idx="70">
                  <c:v>-2.4722335894740283E-2</c:v>
                </c:pt>
                <c:pt idx="71">
                  <c:v>1.0370417348753342E-2</c:v>
                </c:pt>
                <c:pt idx="72">
                  <c:v>-3.5936796517322428E-2</c:v>
                </c:pt>
                <c:pt idx="73">
                  <c:v>-2.696092407432232E-2</c:v>
                </c:pt>
                <c:pt idx="74">
                  <c:v>-3.4447588788004628E-2</c:v>
                </c:pt>
                <c:pt idx="75">
                  <c:v>-3.5956445126754735E-2</c:v>
                </c:pt>
                <c:pt idx="76">
                  <c:v>-4.093127244782873E-2</c:v>
                </c:pt>
                <c:pt idx="77">
                  <c:v>5.4706624816984024E-2</c:v>
                </c:pt>
                <c:pt idx="78">
                  <c:v>1.7985221665246956E-3</c:v>
                </c:pt>
                <c:pt idx="79">
                  <c:v>-3.7044638401459037E-2</c:v>
                </c:pt>
                <c:pt idx="80">
                  <c:v>-3.4800656135753734E-2</c:v>
                </c:pt>
                <c:pt idx="81">
                  <c:v>-3.2840193915861697E-3</c:v>
                </c:pt>
                <c:pt idx="82">
                  <c:v>6.3811643437081039E-2</c:v>
                </c:pt>
                <c:pt idx="83">
                  <c:v>-3.0492601089512197E-2</c:v>
                </c:pt>
                <c:pt idx="84">
                  <c:v>-3.0160583063037531E-2</c:v>
                </c:pt>
                <c:pt idx="85">
                  <c:v>-2.5060337520007359E-2</c:v>
                </c:pt>
                <c:pt idx="86">
                  <c:v>1.2970840956466136E-2</c:v>
                </c:pt>
                <c:pt idx="87">
                  <c:v>-2.2301072168339639E-2</c:v>
                </c:pt>
                <c:pt idx="88">
                  <c:v>-2.0928491318258607E-2</c:v>
                </c:pt>
                <c:pt idx="89">
                  <c:v>-2.3492339756568552E-2</c:v>
                </c:pt>
                <c:pt idx="90">
                  <c:v>-2.6551061549026176E-2</c:v>
                </c:pt>
                <c:pt idx="91">
                  <c:v>-2.2516920165801063E-2</c:v>
                </c:pt>
                <c:pt idx="92">
                  <c:v>-2.5733143035139353E-2</c:v>
                </c:pt>
                <c:pt idx="93">
                  <c:v>-2.3099319234871712E-2</c:v>
                </c:pt>
                <c:pt idx="94">
                  <c:v>-1.7629271041211876E-2</c:v>
                </c:pt>
                <c:pt idx="95">
                  <c:v>-1.4784403000927725E-2</c:v>
                </c:pt>
                <c:pt idx="96">
                  <c:v>1.9807487401974976E-2</c:v>
                </c:pt>
                <c:pt idx="97">
                  <c:v>-1.291031219008767E-2</c:v>
                </c:pt>
                <c:pt idx="98">
                  <c:v>-2.0704030235717163E-2</c:v>
                </c:pt>
                <c:pt idx="99">
                  <c:v>-1.1472796632842589E-2</c:v>
                </c:pt>
                <c:pt idx="100">
                  <c:v>-1.3860332368324098E-2</c:v>
                </c:pt>
                <c:pt idx="101">
                  <c:v>0.16501995615715517</c:v>
                </c:pt>
                <c:pt idx="102">
                  <c:v>4.8244536712782893E-2</c:v>
                </c:pt>
                <c:pt idx="103">
                  <c:v>-1.5248561351482271E-2</c:v>
                </c:pt>
                <c:pt idx="104">
                  <c:v>-3.453855349891484E-2</c:v>
                </c:pt>
                <c:pt idx="105">
                  <c:v>4.0885135958559561E-2</c:v>
                </c:pt>
                <c:pt idx="106">
                  <c:v>2.4301487685029575E-3</c:v>
                </c:pt>
                <c:pt idx="107">
                  <c:v>-3.6492186305706081E-2</c:v>
                </c:pt>
                <c:pt idx="108">
                  <c:v>-1.9235899587565459E-2</c:v>
                </c:pt>
                <c:pt idx="109">
                  <c:v>8.0599599381243042E-3</c:v>
                </c:pt>
                <c:pt idx="110">
                  <c:v>7.1341150927818515E-3</c:v>
                </c:pt>
                <c:pt idx="111">
                  <c:v>1.1527596227212732E-2</c:v>
                </c:pt>
                <c:pt idx="112">
                  <c:v>-2.3447260238541136E-2</c:v>
                </c:pt>
                <c:pt idx="113">
                  <c:v>-1.0997865140850842E-2</c:v>
                </c:pt>
                <c:pt idx="114">
                  <c:v>-3.3018690438041412E-2</c:v>
                </c:pt>
                <c:pt idx="115">
                  <c:v>-3.2743393561420309E-2</c:v>
                </c:pt>
                <c:pt idx="116">
                  <c:v>-9.6790729320037523E-3</c:v>
                </c:pt>
                <c:pt idx="117">
                  <c:v>9.5827849604207399E-3</c:v>
                </c:pt>
                <c:pt idx="118">
                  <c:v>-2.6298386987230252E-2</c:v>
                </c:pt>
                <c:pt idx="119">
                  <c:v>-2.9726456237900503E-2</c:v>
                </c:pt>
                <c:pt idx="120">
                  <c:v>1.4211324558758369E-2</c:v>
                </c:pt>
                <c:pt idx="121">
                  <c:v>-1.8063587467070482E-2</c:v>
                </c:pt>
                <c:pt idx="122">
                  <c:v>0.15517629818865791</c:v>
                </c:pt>
                <c:pt idx="123">
                  <c:v>-1.1545394845196781E-2</c:v>
                </c:pt>
                <c:pt idx="124">
                  <c:v>-1.7612034870385027E-2</c:v>
                </c:pt>
                <c:pt idx="125">
                  <c:v>-2.162058612656911E-2</c:v>
                </c:pt>
                <c:pt idx="126">
                  <c:v>-1.7499353710611208E-2</c:v>
                </c:pt>
                <c:pt idx="127">
                  <c:v>-9.3538733372376497E-3</c:v>
                </c:pt>
                <c:pt idx="128">
                  <c:v>5.5147095790650767E-3</c:v>
                </c:pt>
                <c:pt idx="129">
                  <c:v>-2.210516166511111E-2</c:v>
                </c:pt>
                <c:pt idx="130">
                  <c:v>0.13689286903321304</c:v>
                </c:pt>
                <c:pt idx="131">
                  <c:v>-1.9456939349730428E-2</c:v>
                </c:pt>
                <c:pt idx="132">
                  <c:v>-1.0589554771154537E-2</c:v>
                </c:pt>
                <c:pt idx="133">
                  <c:v>3.5260712812665726E-2</c:v>
                </c:pt>
                <c:pt idx="134">
                  <c:v>2.4539431671556828E-2</c:v>
                </c:pt>
                <c:pt idx="135">
                  <c:v>-8.12949983818817E-3</c:v>
                </c:pt>
                <c:pt idx="136">
                  <c:v>-3.0263667224843031E-2</c:v>
                </c:pt>
                <c:pt idx="137">
                  <c:v>-3.5451735426213396E-2</c:v>
                </c:pt>
                <c:pt idx="138">
                  <c:v>-3.6342394326236059E-2</c:v>
                </c:pt>
                <c:pt idx="139">
                  <c:v>-3.2886842337595514E-2</c:v>
                </c:pt>
                <c:pt idx="140">
                  <c:v>-2.1447217031802891E-2</c:v>
                </c:pt>
                <c:pt idx="141">
                  <c:v>7.7508840638835466E-2</c:v>
                </c:pt>
                <c:pt idx="142">
                  <c:v>1.776196917216509E-2</c:v>
                </c:pt>
                <c:pt idx="143">
                  <c:v>-2.4925982999395781E-2</c:v>
                </c:pt>
                <c:pt idx="144">
                  <c:v>-8.6309935691881046E-3</c:v>
                </c:pt>
                <c:pt idx="145">
                  <c:v>3.9515400386080549E-4</c:v>
                </c:pt>
                <c:pt idx="146">
                  <c:v>-6.3289591393431996E-3</c:v>
                </c:pt>
                <c:pt idx="147">
                  <c:v>-7.5123242731829762E-3</c:v>
                </c:pt>
                <c:pt idx="148">
                  <c:v>1.0258258123102204E-4</c:v>
                </c:pt>
                <c:pt idx="149">
                  <c:v>4.145320191865156E-2</c:v>
                </c:pt>
                <c:pt idx="150">
                  <c:v>-4.8503584779439699E-3</c:v>
                </c:pt>
                <c:pt idx="151">
                  <c:v>1.8253426325071546E-2</c:v>
                </c:pt>
                <c:pt idx="152">
                  <c:v>-1.0929887496330837E-3</c:v>
                </c:pt>
                <c:pt idx="153">
                  <c:v>-2.355221586129557E-4</c:v>
                </c:pt>
                <c:pt idx="154">
                  <c:v>-1.1488622468415794E-3</c:v>
                </c:pt>
                <c:pt idx="155">
                  <c:v>1.6836807761232884E-3</c:v>
                </c:pt>
                <c:pt idx="156">
                  <c:v>9.2435062425617869E-3</c:v>
                </c:pt>
                <c:pt idx="157">
                  <c:v>1.5768130063491764E-3</c:v>
                </c:pt>
                <c:pt idx="158">
                  <c:v>-4.9659211043409333E-3</c:v>
                </c:pt>
                <c:pt idx="159">
                  <c:v>1.4932561746437763E-2</c:v>
                </c:pt>
                <c:pt idx="160">
                  <c:v>-6.8627369384026225E-3</c:v>
                </c:pt>
                <c:pt idx="161">
                  <c:v>2.1566670786808365E-2</c:v>
                </c:pt>
                <c:pt idx="162">
                  <c:v>1.9113308630346361E-2</c:v>
                </c:pt>
                <c:pt idx="163">
                  <c:v>-1.904659992074783E-2</c:v>
                </c:pt>
                <c:pt idx="164">
                  <c:v>-1.1713870027899448E-2</c:v>
                </c:pt>
                <c:pt idx="165">
                  <c:v>0.11115948442611244</c:v>
                </c:pt>
                <c:pt idx="166">
                  <c:v>-2.8770074297741074E-2</c:v>
                </c:pt>
                <c:pt idx="167">
                  <c:v>-1.0136617318346898E-3</c:v>
                </c:pt>
                <c:pt idx="168">
                  <c:v>-1.8932688687213095E-3</c:v>
                </c:pt>
                <c:pt idx="169">
                  <c:v>-2.9527914710131657E-2</c:v>
                </c:pt>
                <c:pt idx="170">
                  <c:v>-2.880897618257924E-2</c:v>
                </c:pt>
                <c:pt idx="171">
                  <c:v>7.6435972383409358E-3</c:v>
                </c:pt>
                <c:pt idx="172">
                  <c:v>-2.0397389868238042E-2</c:v>
                </c:pt>
                <c:pt idx="173">
                  <c:v>4.0522769596140467E-3</c:v>
                </c:pt>
                <c:pt idx="174">
                  <c:v>5.5237672393286238E-2</c:v>
                </c:pt>
                <c:pt idx="175">
                  <c:v>-2.1162718484140228E-2</c:v>
                </c:pt>
                <c:pt idx="176">
                  <c:v>5.1329052616965243E-2</c:v>
                </c:pt>
                <c:pt idx="177">
                  <c:v>-4.8825559428197123E-3</c:v>
                </c:pt>
                <c:pt idx="178">
                  <c:v>-1.8311438386925765E-2</c:v>
                </c:pt>
                <c:pt idx="179">
                  <c:v>-3.3213874966967834E-3</c:v>
                </c:pt>
                <c:pt idx="180">
                  <c:v>-3.5700141279924329E-3</c:v>
                </c:pt>
                <c:pt idx="181">
                  <c:v>8.8985421575798456E-3</c:v>
                </c:pt>
                <c:pt idx="182">
                  <c:v>-3.8938569203423403E-3</c:v>
                </c:pt>
                <c:pt idx="183">
                  <c:v>-3.9178812941360747E-3</c:v>
                </c:pt>
                <c:pt idx="184">
                  <c:v>-1.0930194334636315E-3</c:v>
                </c:pt>
                <c:pt idx="185">
                  <c:v>-1.0594895195469663E-2</c:v>
                </c:pt>
                <c:pt idx="186">
                  <c:v>1.2484364705433218E-2</c:v>
                </c:pt>
                <c:pt idx="187">
                  <c:v>-2.1778946106331642E-2</c:v>
                </c:pt>
                <c:pt idx="188">
                  <c:v>-2.0935382934375336E-2</c:v>
                </c:pt>
                <c:pt idx="189">
                  <c:v>3.3325815860354114E-3</c:v>
                </c:pt>
                <c:pt idx="190">
                  <c:v>-1.7937793935877057E-2</c:v>
                </c:pt>
                <c:pt idx="191">
                  <c:v>0.10822002635984769</c:v>
                </c:pt>
                <c:pt idx="192">
                  <c:v>-5.3952870847260991E-2</c:v>
                </c:pt>
                <c:pt idx="193">
                  <c:v>6.0590310305102701E-2</c:v>
                </c:pt>
                <c:pt idx="194">
                  <c:v>-9.5893594855968781E-2</c:v>
                </c:pt>
                <c:pt idx="195">
                  <c:v>-4.2075462117898239E-3</c:v>
                </c:pt>
                <c:pt idx="196">
                  <c:v>-2.2991665934868522E-3</c:v>
                </c:pt>
                <c:pt idx="197">
                  <c:v>0.42485068090862343</c:v>
                </c:pt>
                <c:pt idx="198">
                  <c:v>-8.3786027544629715E-2</c:v>
                </c:pt>
                <c:pt idx="199">
                  <c:v>-6.4420229940178E-2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18-934C-848E-FC895EBEC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53776"/>
        <c:axId val="-967451456"/>
      </c:scatterChart>
      <c:scatterChart>
        <c:scatterStyle val="lineMarker"/>
        <c:varyColors val="0"/>
        <c:ser>
          <c:idx val="1"/>
          <c:order val="1"/>
          <c:tx>
            <c:strRef>
              <c:f>'P&amp;L Study'!$R$10</c:f>
              <c:strCache>
                <c:ptCount val="1"/>
                <c:pt idx="0">
                  <c:v>Gamma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Study'!$R$11:$R$211</c:f>
              <c:numCache>
                <c:formatCode>0.0000</c:formatCode>
                <c:ptCount val="201"/>
                <c:pt idx="0">
                  <c:v>1.1095321575165266E-2</c:v>
                </c:pt>
                <c:pt idx="1">
                  <c:v>1.046864607916613E-2</c:v>
                </c:pt>
                <c:pt idx="2">
                  <c:v>9.4750361940873114E-3</c:v>
                </c:pt>
                <c:pt idx="3">
                  <c:v>8.6148309141919326E-3</c:v>
                </c:pt>
                <c:pt idx="4">
                  <c:v>9.4608303091816923E-3</c:v>
                </c:pt>
                <c:pt idx="5">
                  <c:v>9.3244501973317566E-3</c:v>
                </c:pt>
                <c:pt idx="6">
                  <c:v>9.0597848222237435E-3</c:v>
                </c:pt>
                <c:pt idx="7">
                  <c:v>9.6495045034385909E-3</c:v>
                </c:pt>
                <c:pt idx="8">
                  <c:v>9.4019743543037257E-3</c:v>
                </c:pt>
                <c:pt idx="9">
                  <c:v>1.014894593728926E-2</c:v>
                </c:pt>
                <c:pt idx="10">
                  <c:v>9.7744433438881496E-3</c:v>
                </c:pt>
                <c:pt idx="11">
                  <c:v>9.6358307360967475E-3</c:v>
                </c:pt>
                <c:pt idx="12">
                  <c:v>9.0925502228947422E-3</c:v>
                </c:pt>
                <c:pt idx="13">
                  <c:v>8.839146521934434E-3</c:v>
                </c:pt>
                <c:pt idx="14">
                  <c:v>8.2896086995554469E-3</c:v>
                </c:pt>
                <c:pt idx="15">
                  <c:v>7.7601802262401926E-3</c:v>
                </c:pt>
                <c:pt idx="16">
                  <c:v>7.3774287168890864E-3</c:v>
                </c:pt>
                <c:pt idx="17">
                  <c:v>6.8630855081359054E-3</c:v>
                </c:pt>
                <c:pt idx="18">
                  <c:v>7.0918996315792668E-3</c:v>
                </c:pt>
                <c:pt idx="19">
                  <c:v>7.0299685346572787E-3</c:v>
                </c:pt>
                <c:pt idx="20">
                  <c:v>7.7276198815327156E-3</c:v>
                </c:pt>
                <c:pt idx="21">
                  <c:v>8.0110996948181256E-3</c:v>
                </c:pt>
                <c:pt idx="22">
                  <c:v>7.326088081134427E-3</c:v>
                </c:pt>
                <c:pt idx="23">
                  <c:v>6.5146325511094543E-3</c:v>
                </c:pt>
                <c:pt idx="24">
                  <c:v>6.3012627911200091E-3</c:v>
                </c:pt>
                <c:pt idx="25">
                  <c:v>5.9586169987692764E-3</c:v>
                </c:pt>
                <c:pt idx="26">
                  <c:v>6.0735533069944531E-3</c:v>
                </c:pt>
                <c:pt idx="27">
                  <c:v>5.9017160608651779E-3</c:v>
                </c:pt>
                <c:pt idx="28">
                  <c:v>6.0318715328125019E-3</c:v>
                </c:pt>
                <c:pt idx="29">
                  <c:v>6.3135980448109493E-3</c:v>
                </c:pt>
                <c:pt idx="30">
                  <c:v>6.0196786595833702E-3</c:v>
                </c:pt>
                <c:pt idx="31">
                  <c:v>5.8752481826738062E-3</c:v>
                </c:pt>
                <c:pt idx="32">
                  <c:v>6.4446565948350692E-3</c:v>
                </c:pt>
                <c:pt idx="33">
                  <c:v>6.4337661539917938E-3</c:v>
                </c:pt>
                <c:pt idx="34">
                  <c:v>6.2847582657896434E-3</c:v>
                </c:pt>
                <c:pt idx="35">
                  <c:v>5.4023244331869455E-3</c:v>
                </c:pt>
                <c:pt idx="36">
                  <c:v>4.7110043927143797E-3</c:v>
                </c:pt>
                <c:pt idx="37">
                  <c:v>5.0182131980832404E-3</c:v>
                </c:pt>
                <c:pt idx="38">
                  <c:v>4.2544610812352652E-3</c:v>
                </c:pt>
                <c:pt idx="39">
                  <c:v>4.4164088637507039E-3</c:v>
                </c:pt>
                <c:pt idx="40">
                  <c:v>4.6071227232941459E-3</c:v>
                </c:pt>
                <c:pt idx="41">
                  <c:v>4.9441363420044855E-3</c:v>
                </c:pt>
                <c:pt idx="42">
                  <c:v>5.1195627917712079E-3</c:v>
                </c:pt>
                <c:pt idx="43">
                  <c:v>5.3258682441360197E-3</c:v>
                </c:pt>
                <c:pt idx="44">
                  <c:v>5.0856139204224883E-3</c:v>
                </c:pt>
                <c:pt idx="45">
                  <c:v>5.3080425651580504E-3</c:v>
                </c:pt>
                <c:pt idx="46">
                  <c:v>6.8228099019551E-3</c:v>
                </c:pt>
                <c:pt idx="47">
                  <c:v>6.2516874241731598E-3</c:v>
                </c:pt>
                <c:pt idx="48">
                  <c:v>6.1981534246867351E-3</c:v>
                </c:pt>
                <c:pt idx="49">
                  <c:v>6.4853666608899732E-3</c:v>
                </c:pt>
                <c:pt idx="50">
                  <c:v>5.7888848545053781E-3</c:v>
                </c:pt>
                <c:pt idx="51">
                  <c:v>6.76162727302459E-3</c:v>
                </c:pt>
                <c:pt idx="52">
                  <c:v>6.9274684584799224E-3</c:v>
                </c:pt>
                <c:pt idx="53">
                  <c:v>7.6087959500185974E-3</c:v>
                </c:pt>
                <c:pt idx="54">
                  <c:v>7.5545706392019015E-3</c:v>
                </c:pt>
                <c:pt idx="55">
                  <c:v>7.0021077659020523E-3</c:v>
                </c:pt>
                <c:pt idx="56">
                  <c:v>7.3466010586740399E-3</c:v>
                </c:pt>
                <c:pt idx="57">
                  <c:v>8.0814991626294713E-3</c:v>
                </c:pt>
                <c:pt idx="58">
                  <c:v>6.4554616189961686E-3</c:v>
                </c:pt>
                <c:pt idx="59">
                  <c:v>6.1351895760404073E-3</c:v>
                </c:pt>
                <c:pt idx="60">
                  <c:v>5.9874942794432935E-3</c:v>
                </c:pt>
                <c:pt idx="61">
                  <c:v>5.6893970768893166E-3</c:v>
                </c:pt>
                <c:pt idx="62">
                  <c:v>6.249240813830932E-3</c:v>
                </c:pt>
                <c:pt idx="63">
                  <c:v>7.0211697837298309E-3</c:v>
                </c:pt>
                <c:pt idx="64">
                  <c:v>8.0736420891709976E-3</c:v>
                </c:pt>
                <c:pt idx="65">
                  <c:v>9.3660020503454969E-3</c:v>
                </c:pt>
                <c:pt idx="66">
                  <c:v>9.7007701180449463E-3</c:v>
                </c:pt>
                <c:pt idx="67">
                  <c:v>9.2173596520867263E-3</c:v>
                </c:pt>
                <c:pt idx="68">
                  <c:v>8.7633234945558858E-3</c:v>
                </c:pt>
                <c:pt idx="69">
                  <c:v>9.4763320949497239E-3</c:v>
                </c:pt>
                <c:pt idx="70">
                  <c:v>1.0016078022771251E-2</c:v>
                </c:pt>
                <c:pt idx="71">
                  <c:v>1.0976409093971854E-2</c:v>
                </c:pt>
                <c:pt idx="72">
                  <c:v>1.0726316092813101E-2</c:v>
                </c:pt>
                <c:pt idx="73">
                  <c:v>1.0284700014434985E-2</c:v>
                </c:pt>
                <c:pt idx="74">
                  <c:v>1.0659976348077362E-2</c:v>
                </c:pt>
                <c:pt idx="75">
                  <c:v>1.0403841878562196E-2</c:v>
                </c:pt>
                <c:pt idx="76">
                  <c:v>1.0407174673761224E-2</c:v>
                </c:pt>
                <c:pt idx="77">
                  <c:v>9.1220769988373373E-3</c:v>
                </c:pt>
                <c:pt idx="78">
                  <c:v>8.2720766050059062E-3</c:v>
                </c:pt>
                <c:pt idx="79">
                  <c:v>8.3191213505121094E-3</c:v>
                </c:pt>
                <c:pt idx="80">
                  <c:v>8.5824890391624012E-3</c:v>
                </c:pt>
                <c:pt idx="81">
                  <c:v>7.7822485109689619E-3</c:v>
                </c:pt>
                <c:pt idx="82">
                  <c:v>6.3814048243988264E-3</c:v>
                </c:pt>
                <c:pt idx="83">
                  <c:v>6.2405982582995631E-3</c:v>
                </c:pt>
                <c:pt idx="84">
                  <c:v>6.4482166737304036E-3</c:v>
                </c:pt>
                <c:pt idx="85">
                  <c:v>6.0986265787661594E-3</c:v>
                </c:pt>
                <c:pt idx="86">
                  <c:v>5.1834356826921711E-3</c:v>
                </c:pt>
                <c:pt idx="87">
                  <c:v>4.879485637308399E-3</c:v>
                </c:pt>
                <c:pt idx="88">
                  <c:v>4.5698335935411803E-3</c:v>
                </c:pt>
                <c:pt idx="89">
                  <c:v>4.8077910199048829E-3</c:v>
                </c:pt>
                <c:pt idx="90">
                  <c:v>4.89242123389029E-3</c:v>
                </c:pt>
                <c:pt idx="91">
                  <c:v>4.6250847731931976E-3</c:v>
                </c:pt>
                <c:pt idx="92">
                  <c:v>4.7255398949875779E-3</c:v>
                </c:pt>
                <c:pt idx="93">
                  <c:v>5.0126062193989653E-3</c:v>
                </c:pt>
                <c:pt idx="94">
                  <c:v>4.5935937514929373E-3</c:v>
                </c:pt>
                <c:pt idx="95">
                  <c:v>5.0996820039000594E-3</c:v>
                </c:pt>
                <c:pt idx="96">
                  <c:v>4.1241719306523055E-3</c:v>
                </c:pt>
                <c:pt idx="97">
                  <c:v>4.6196242945289448E-3</c:v>
                </c:pt>
                <c:pt idx="98">
                  <c:v>4.9832356918523557E-3</c:v>
                </c:pt>
                <c:pt idx="99">
                  <c:v>4.4256789965018964E-3</c:v>
                </c:pt>
                <c:pt idx="100">
                  <c:v>4.9474337997548112E-3</c:v>
                </c:pt>
                <c:pt idx="101">
                  <c:v>7.1123861808850214E-3</c:v>
                </c:pt>
                <c:pt idx="102">
                  <c:v>8.6481817009913427E-3</c:v>
                </c:pt>
                <c:pt idx="103">
                  <c:v>7.8869996684279332E-3</c:v>
                </c:pt>
                <c:pt idx="104">
                  <c:v>8.1930372355704974E-3</c:v>
                </c:pt>
                <c:pt idx="105">
                  <c:v>6.7339099524201694E-3</c:v>
                </c:pt>
                <c:pt idx="106">
                  <c:v>7.7826837578132951E-3</c:v>
                </c:pt>
                <c:pt idx="107">
                  <c:v>7.8864563077665015E-3</c:v>
                </c:pt>
                <c:pt idx="108">
                  <c:v>7.2104902383930743E-3</c:v>
                </c:pt>
                <c:pt idx="109">
                  <c:v>8.3942524476347483E-3</c:v>
                </c:pt>
                <c:pt idx="110">
                  <c:v>9.6392392170706522E-3</c:v>
                </c:pt>
                <c:pt idx="111">
                  <c:v>8.3920267186180317E-3</c:v>
                </c:pt>
                <c:pt idx="112">
                  <c:v>9.1464940789848827E-3</c:v>
                </c:pt>
                <c:pt idx="113">
                  <c:v>8.2166822643819776E-3</c:v>
                </c:pt>
                <c:pt idx="114">
                  <c:v>7.8686822493361196E-3</c:v>
                </c:pt>
                <c:pt idx="115">
                  <c:v>8.3045064369148269E-3</c:v>
                </c:pt>
                <c:pt idx="116">
                  <c:v>7.3662586540864123E-3</c:v>
                </c:pt>
                <c:pt idx="117">
                  <c:v>6.1738461107519816E-3</c:v>
                </c:pt>
                <c:pt idx="118">
                  <c:v>5.8156770920914517E-3</c:v>
                </c:pt>
                <c:pt idx="119">
                  <c:v>5.7647082503446282E-3</c:v>
                </c:pt>
                <c:pt idx="120">
                  <c:v>7.0251326936139804E-3</c:v>
                </c:pt>
                <c:pt idx="121">
                  <c:v>7.8510400424751624E-3</c:v>
                </c:pt>
                <c:pt idx="122">
                  <c:v>5.1618738897605881E-3</c:v>
                </c:pt>
                <c:pt idx="123">
                  <c:v>4.4812483445413921E-3</c:v>
                </c:pt>
                <c:pt idx="124">
                  <c:v>4.0522268836323851E-3</c:v>
                </c:pt>
                <c:pt idx="125">
                  <c:v>4.2812592816221301E-3</c:v>
                </c:pt>
                <c:pt idx="126">
                  <c:v>3.8765061778615675E-3</c:v>
                </c:pt>
                <c:pt idx="127">
                  <c:v>4.5361834947045222E-3</c:v>
                </c:pt>
                <c:pt idx="128">
                  <c:v>5.5992418539404986E-3</c:v>
                </c:pt>
                <c:pt idx="129">
                  <c:v>6.1685451176613617E-3</c:v>
                </c:pt>
                <c:pt idx="130">
                  <c:v>3.5622695010092227E-3</c:v>
                </c:pt>
                <c:pt idx="131">
                  <c:v>3.7734085821253525E-3</c:v>
                </c:pt>
                <c:pt idx="132">
                  <c:v>3.2187923234663139E-3</c:v>
                </c:pt>
                <c:pt idx="133">
                  <c:v>4.548626718188899E-3</c:v>
                </c:pt>
                <c:pt idx="134">
                  <c:v>5.9771474842835659E-3</c:v>
                </c:pt>
                <c:pt idx="135">
                  <c:v>7.0380638503881173E-3</c:v>
                </c:pt>
                <c:pt idx="136">
                  <c:v>7.5453835274700331E-3</c:v>
                </c:pt>
                <c:pt idx="137">
                  <c:v>7.7710715120532237E-3</c:v>
                </c:pt>
                <c:pt idx="138">
                  <c:v>7.9780721150403775E-3</c:v>
                </c:pt>
                <c:pt idx="139">
                  <c:v>8.5559354849602115E-3</c:v>
                </c:pt>
                <c:pt idx="140">
                  <c:v>9.6521450262036408E-3</c:v>
                </c:pt>
                <c:pt idx="141">
                  <c:v>6.9971501865319545E-3</c:v>
                </c:pt>
                <c:pt idx="142">
                  <c:v>5.3458669820593951E-3</c:v>
                </c:pt>
                <c:pt idx="143">
                  <c:v>5.0481059692323166E-3</c:v>
                </c:pt>
                <c:pt idx="144">
                  <c:v>4.1581198411003864E-3</c:v>
                </c:pt>
                <c:pt idx="145">
                  <c:v>3.174967951123897E-3</c:v>
                </c:pt>
                <c:pt idx="146">
                  <c:v>2.5332123754826671E-3</c:v>
                </c:pt>
                <c:pt idx="147">
                  <c:v>3.076633848958509E-3</c:v>
                </c:pt>
                <c:pt idx="148">
                  <c:v>2.2669095926247111E-3</c:v>
                </c:pt>
                <c:pt idx="149">
                  <c:v>9.1220204498747401E-4</c:v>
                </c:pt>
                <c:pt idx="150">
                  <c:v>1.0717498296440333E-3</c:v>
                </c:pt>
                <c:pt idx="151">
                  <c:v>3.7046698036614017E-4</c:v>
                </c:pt>
                <c:pt idx="152">
                  <c:v>2.6153935857026292E-4</c:v>
                </c:pt>
                <c:pt idx="153">
                  <c:v>1.6288427741647894E-4</c:v>
                </c:pt>
                <c:pt idx="154">
                  <c:v>1.4226516652412921E-4</c:v>
                </c:pt>
                <c:pt idx="155">
                  <c:v>2.508750221733181E-4</c:v>
                </c:pt>
                <c:pt idx="156">
                  <c:v>5.381782322299223E-4</c:v>
                </c:pt>
                <c:pt idx="157">
                  <c:v>8.1569719460926251E-4</c:v>
                </c:pt>
                <c:pt idx="158">
                  <c:v>9.0276118119801425E-4</c:v>
                </c:pt>
                <c:pt idx="159">
                  <c:v>1.6118990202725891E-3</c:v>
                </c:pt>
                <c:pt idx="160">
                  <c:v>1.3334896298591418E-3</c:v>
                </c:pt>
                <c:pt idx="161">
                  <c:v>2.3600515390723039E-3</c:v>
                </c:pt>
                <c:pt idx="162">
                  <c:v>3.7154506785990571E-3</c:v>
                </c:pt>
                <c:pt idx="163">
                  <c:v>3.877900022526319E-3</c:v>
                </c:pt>
                <c:pt idx="164">
                  <c:v>3.1414276978128704E-3</c:v>
                </c:pt>
                <c:pt idx="165">
                  <c:v>6.2743506988882395E-3</c:v>
                </c:pt>
                <c:pt idx="166">
                  <c:v>6.7013307518210717E-3</c:v>
                </c:pt>
                <c:pt idx="167">
                  <c:v>8.7454427128681473E-3</c:v>
                </c:pt>
                <c:pt idx="168">
                  <c:v>6.5492888014520682E-3</c:v>
                </c:pt>
                <c:pt idx="169">
                  <c:v>7.0219616539366246E-3</c:v>
                </c:pt>
                <c:pt idx="170">
                  <c:v>6.4704205162939748E-3</c:v>
                </c:pt>
                <c:pt idx="171">
                  <c:v>4.2248976150738426E-3</c:v>
                </c:pt>
                <c:pt idx="172">
                  <c:v>4.2142396394114177E-3</c:v>
                </c:pt>
                <c:pt idx="173">
                  <c:v>2.5454554203663683E-3</c:v>
                </c:pt>
                <c:pt idx="174">
                  <c:v>5.1375673365114541E-3</c:v>
                </c:pt>
                <c:pt idx="175">
                  <c:v>4.6041588532909957E-3</c:v>
                </c:pt>
                <c:pt idx="176">
                  <c:v>8.0475373354663305E-3</c:v>
                </c:pt>
                <c:pt idx="177">
                  <c:v>5.6011443571714085E-3</c:v>
                </c:pt>
                <c:pt idx="178">
                  <c:v>4.5736120500498439E-3</c:v>
                </c:pt>
                <c:pt idx="179">
                  <c:v>2.8835953366384316E-3</c:v>
                </c:pt>
                <c:pt idx="180">
                  <c:v>4.1572154096575541E-3</c:v>
                </c:pt>
                <c:pt idx="181">
                  <c:v>1.8896242653961717E-3</c:v>
                </c:pt>
                <c:pt idx="182">
                  <c:v>1.1759711992567843E-3</c:v>
                </c:pt>
                <c:pt idx="183">
                  <c:v>1.5964246076913442E-3</c:v>
                </c:pt>
                <c:pt idx="184">
                  <c:v>2.513547893516059E-3</c:v>
                </c:pt>
                <c:pt idx="185">
                  <c:v>2.9587453440629665E-3</c:v>
                </c:pt>
                <c:pt idx="186">
                  <c:v>5.4483929819620228E-3</c:v>
                </c:pt>
                <c:pt idx="187">
                  <c:v>5.0303726430394108E-3</c:v>
                </c:pt>
                <c:pt idx="188">
                  <c:v>5.3135453651470942E-3</c:v>
                </c:pt>
                <c:pt idx="189">
                  <c:v>8.8745253888856263E-3</c:v>
                </c:pt>
                <c:pt idx="190">
                  <c:v>5.8294724152962397E-3</c:v>
                </c:pt>
                <c:pt idx="191">
                  <c:v>1.4916705059509551E-2</c:v>
                </c:pt>
                <c:pt idx="192">
                  <c:v>1.4208173741453735E-2</c:v>
                </c:pt>
                <c:pt idx="193">
                  <c:v>2.6995910211568219E-2</c:v>
                </c:pt>
                <c:pt idx="194">
                  <c:v>2.7113289611414921E-2</c:v>
                </c:pt>
                <c:pt idx="195">
                  <c:v>1.2690410585298014E-2</c:v>
                </c:pt>
                <c:pt idx="196">
                  <c:v>3.4183904104665161E-3</c:v>
                </c:pt>
                <c:pt idx="197">
                  <c:v>2.9148127104399107E-2</c:v>
                </c:pt>
                <c:pt idx="198">
                  <c:v>2.4693668391984738E-2</c:v>
                </c:pt>
                <c:pt idx="199">
                  <c:v>3.2219620563051339E-2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18-934C-848E-FC895EBEC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48624"/>
        <c:axId val="-967487568"/>
      </c:scatterChart>
      <c:valAx>
        <c:axId val="-967453776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67451456"/>
        <c:crosses val="autoZero"/>
        <c:crossBetween val="midCat"/>
      </c:valAx>
      <c:valAx>
        <c:axId val="-967451456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67453776"/>
        <c:crosses val="autoZero"/>
        <c:crossBetween val="midCat"/>
      </c:valAx>
      <c:valAx>
        <c:axId val="-967448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7487568"/>
        <c:crosses val="autoZero"/>
        <c:crossBetween val="midCat"/>
      </c:valAx>
      <c:valAx>
        <c:axId val="-967487568"/>
        <c:scaling>
          <c:orientation val="minMax"/>
        </c:scaling>
        <c:delete val="0"/>
        <c:axPos val="r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67448624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1200" b="1" i="0" u="none" strike="noStrike" baseline="0"/>
              <a:t>Call Option: Uncertain Volatility vs. </a:t>
            </a:r>
            <a:r>
              <a:rPr lang="en-GB"/>
              <a:t>Black-Scholes</a:t>
            </a:r>
            <a:r>
              <a:rPr lang="en-GB" baseline="0"/>
              <a:t> </a:t>
            </a:r>
            <a:endParaRPr lang="en-GB"/>
          </a:p>
        </c:rich>
      </c:tx>
      <c:layout>
        <c:manualLayout>
          <c:xMode val="edge"/>
          <c:yMode val="edge"/>
          <c:x val="0.216828818727756"/>
          <c:y val="7.05596107055961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670025646657606E-2"/>
          <c:y val="0.17274980219216199"/>
          <c:w val="0.88026029066211997"/>
          <c:h val="0.6982984961852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'Uncertain Vol.'!$L$1</c:f>
              <c:strCache>
                <c:ptCount val="1"/>
                <c:pt idx="0">
                  <c:v>payoff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Vol.'!$L$2:$L$101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4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14</c:v>
                </c:pt>
                <c:pt idx="58">
                  <c:v>16</c:v>
                </c:pt>
                <c:pt idx="59">
                  <c:v>18</c:v>
                </c:pt>
                <c:pt idx="60">
                  <c:v>20</c:v>
                </c:pt>
                <c:pt idx="61">
                  <c:v>22</c:v>
                </c:pt>
                <c:pt idx="62">
                  <c:v>24</c:v>
                </c:pt>
                <c:pt idx="63">
                  <c:v>26</c:v>
                </c:pt>
                <c:pt idx="64">
                  <c:v>28</c:v>
                </c:pt>
                <c:pt idx="65">
                  <c:v>30</c:v>
                </c:pt>
                <c:pt idx="66">
                  <c:v>32</c:v>
                </c:pt>
                <c:pt idx="67">
                  <c:v>34</c:v>
                </c:pt>
                <c:pt idx="68">
                  <c:v>36</c:v>
                </c:pt>
                <c:pt idx="69">
                  <c:v>38</c:v>
                </c:pt>
                <c:pt idx="70">
                  <c:v>40</c:v>
                </c:pt>
                <c:pt idx="71">
                  <c:v>42</c:v>
                </c:pt>
                <c:pt idx="72">
                  <c:v>44</c:v>
                </c:pt>
                <c:pt idx="73">
                  <c:v>46</c:v>
                </c:pt>
                <c:pt idx="74">
                  <c:v>48</c:v>
                </c:pt>
                <c:pt idx="75">
                  <c:v>50</c:v>
                </c:pt>
                <c:pt idx="76">
                  <c:v>52</c:v>
                </c:pt>
                <c:pt idx="77">
                  <c:v>54</c:v>
                </c:pt>
                <c:pt idx="78">
                  <c:v>56</c:v>
                </c:pt>
                <c:pt idx="79">
                  <c:v>58</c:v>
                </c:pt>
                <c:pt idx="80">
                  <c:v>60</c:v>
                </c:pt>
                <c:pt idx="81">
                  <c:v>62</c:v>
                </c:pt>
                <c:pt idx="82">
                  <c:v>64</c:v>
                </c:pt>
                <c:pt idx="83">
                  <c:v>66</c:v>
                </c:pt>
                <c:pt idx="84">
                  <c:v>68</c:v>
                </c:pt>
                <c:pt idx="85">
                  <c:v>70</c:v>
                </c:pt>
                <c:pt idx="86">
                  <c:v>72</c:v>
                </c:pt>
                <c:pt idx="87">
                  <c:v>74</c:v>
                </c:pt>
                <c:pt idx="88">
                  <c:v>76</c:v>
                </c:pt>
                <c:pt idx="89">
                  <c:v>78</c:v>
                </c:pt>
                <c:pt idx="90">
                  <c:v>80</c:v>
                </c:pt>
                <c:pt idx="91">
                  <c:v>82</c:v>
                </c:pt>
                <c:pt idx="92">
                  <c:v>84</c:v>
                </c:pt>
                <c:pt idx="93">
                  <c:v>86</c:v>
                </c:pt>
                <c:pt idx="94">
                  <c:v>88</c:v>
                </c:pt>
                <c:pt idx="95">
                  <c:v>90</c:v>
                </c:pt>
                <c:pt idx="96">
                  <c:v>92</c:v>
                </c:pt>
                <c:pt idx="97">
                  <c:v>94</c:v>
                </c:pt>
                <c:pt idx="98">
                  <c:v>96</c:v>
                </c:pt>
                <c:pt idx="99">
                  <c:v>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7A-4B40-94E4-F497ADA150A5}"/>
            </c:ext>
          </c:extLst>
        </c:ser>
        <c:ser>
          <c:idx val="1"/>
          <c:order val="1"/>
          <c:tx>
            <c:strRef>
              <c:f>'Uncertain Vol.'!$M$1</c:f>
              <c:strCache>
                <c:ptCount val="1"/>
                <c:pt idx="0">
                  <c:v>UV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Vol.'!$M$2:$M$101</c:f>
              <c:numCache>
                <c:formatCode>0.0000</c:formatCode>
                <c:ptCount val="100"/>
                <c:pt idx="0">
                  <c:v>0</c:v>
                </c:pt>
                <c:pt idx="1">
                  <c:v>2.2544624073056298E-40</c:v>
                </c:pt>
                <c:pt idx="2">
                  <c:v>4.2958761208341698E-37</c:v>
                </c:pt>
                <c:pt idx="3">
                  <c:v>2.7443709690886624E-34</c:v>
                </c:pt>
                <c:pt idx="4">
                  <c:v>8.6558074255347441E-32</c:v>
                </c:pt>
                <c:pt idx="5">
                  <c:v>1.6051261312859586E-29</c:v>
                </c:pt>
                <c:pt idx="6">
                  <c:v>1.9369655663212971E-27</c:v>
                </c:pt>
                <c:pt idx="7">
                  <c:v>1.6261350402759054E-25</c:v>
                </c:pt>
                <c:pt idx="8">
                  <c:v>9.9594533212179348E-24</c:v>
                </c:pt>
                <c:pt idx="9">
                  <c:v>4.6112312897593474E-22</c:v>
                </c:pt>
                <c:pt idx="10">
                  <c:v>1.6594122098146663E-20</c:v>
                </c:pt>
                <c:pt idx="11">
                  <c:v>4.7461466385313518E-19</c:v>
                </c:pt>
                <c:pt idx="12">
                  <c:v>1.0989369073054653E-17</c:v>
                </c:pt>
                <c:pt idx="13">
                  <c:v>2.0921190069822161E-16</c:v>
                </c:pt>
                <c:pt idx="14">
                  <c:v>3.318687406954774E-15</c:v>
                </c:pt>
                <c:pt idx="15">
                  <c:v>4.43774415207013E-14</c:v>
                </c:pt>
                <c:pt idx="16">
                  <c:v>5.0541655533939644E-13</c:v>
                </c:pt>
                <c:pt idx="17">
                  <c:v>4.9482258776300384E-12</c:v>
                </c:pt>
                <c:pt idx="18">
                  <c:v>4.199738293320528E-11</c:v>
                </c:pt>
                <c:pt idx="19">
                  <c:v>3.1141303493047954E-10</c:v>
                </c:pt>
                <c:pt idx="20">
                  <c:v>2.0320158712333621E-9</c:v>
                </c:pt>
                <c:pt idx="21">
                  <c:v>1.1747213583690334E-8</c:v>
                </c:pt>
                <c:pt idx="22">
                  <c:v>6.0554020816100939E-8</c:v>
                </c:pt>
                <c:pt idx="23">
                  <c:v>2.8002773172814576E-7</c:v>
                </c:pt>
                <c:pt idx="24">
                  <c:v>1.168542195932668E-6</c:v>
                </c:pt>
                <c:pt idx="25">
                  <c:v>4.4249463993535491E-6</c:v>
                </c:pt>
                <c:pt idx="26">
                  <c:v>1.5287482192303919E-5</c:v>
                </c:pt>
                <c:pt idx="27">
                  <c:v>4.8438149616589388E-5</c:v>
                </c:pt>
                <c:pt idx="28">
                  <c:v>1.4146230453167418E-4</c:v>
                </c:pt>
                <c:pt idx="29">
                  <c:v>3.8264293422298471E-4</c:v>
                </c:pt>
                <c:pt idx="30">
                  <c:v>9.6308600074236563E-4</c:v>
                </c:pt>
                <c:pt idx="31">
                  <c:v>2.2656529191287258E-3</c:v>
                </c:pt>
                <c:pt idx="32">
                  <c:v>5.0030663952406436E-3</c:v>
                </c:pt>
                <c:pt idx="33">
                  <c:v>1.0412852416255015E-2</c:v>
                </c:pt>
                <c:pt idx="34">
                  <c:v>2.0506313934113923E-2</c:v>
                </c:pt>
                <c:pt idx="35">
                  <c:v>3.8353211403568746E-2</c:v>
                </c:pt>
                <c:pt idx="36">
                  <c:v>6.8366351210363857E-2</c:v>
                </c:pt>
                <c:pt idx="37">
                  <c:v>0.11653584021828281</c:v>
                </c:pt>
                <c:pt idx="38">
                  <c:v>0.19055670561792035</c:v>
                </c:pt>
                <c:pt idx="39">
                  <c:v>0.29979963926572611</c:v>
                </c:pt>
                <c:pt idx="40">
                  <c:v>0.45509332595625035</c:v>
                </c:pt>
                <c:pt idx="41">
                  <c:v>0.66831497309454324</c:v>
                </c:pt>
                <c:pt idx="42">
                  <c:v>0.95181723131057627</c:v>
                </c:pt>
                <c:pt idx="43">
                  <c:v>1.3177475971893169</c:v>
                </c:pt>
                <c:pt idx="44">
                  <c:v>1.7773345697251925</c:v>
                </c:pt>
                <c:pt idx="45">
                  <c:v>2.3402198611316662</c:v>
                </c:pt>
                <c:pt idx="46">
                  <c:v>3.0139076707286923</c:v>
                </c:pt>
                <c:pt idx="47">
                  <c:v>3.8033831493922849</c:v>
                </c:pt>
                <c:pt idx="48">
                  <c:v>4.7109272716747768</c:v>
                </c:pt>
                <c:pt idx="49">
                  <c:v>5.7361294449367133</c:v>
                </c:pt>
                <c:pt idx="50">
                  <c:v>6.8760766824844906</c:v>
                </c:pt>
                <c:pt idx="51">
                  <c:v>8.1256819690280224</c:v>
                </c:pt>
                <c:pt idx="52">
                  <c:v>9.4781057731176528</c:v>
                </c:pt>
                <c:pt idx="53">
                  <c:v>10.925223211421688</c:v>
                </c:pt>
                <c:pt idx="54">
                  <c:v>12.458093759675656</c:v>
                </c:pt>
                <c:pt idx="55">
                  <c:v>14.067398697316614</c:v>
                </c:pt>
                <c:pt idx="56">
                  <c:v>15.743821655874514</c:v>
                </c:pt>
                <c:pt idx="57">
                  <c:v>17.478357978069599</c:v>
                </c:pt>
                <c:pt idx="58">
                  <c:v>19.262547813644169</c:v>
                </c:pt>
                <c:pt idx="59">
                  <c:v>21.088635223765468</c:v>
                </c:pt>
                <c:pt idx="60">
                  <c:v>22.949660748211301</c:v>
                </c:pt>
                <c:pt idx="61">
                  <c:v>24.839497975829232</c:v>
                </c:pt>
                <c:pt idx="62">
                  <c:v>26.752845947776809</c:v>
                </c:pt>
                <c:pt idx="63">
                  <c:v>28.685189128418195</c:v>
                </c:pt>
                <c:pt idx="64">
                  <c:v>30.632735636795058</c:v>
                </c:pt>
                <c:pt idx="65">
                  <c:v>32.592342839061018</c:v>
                </c:pt>
                <c:pt idx="66">
                  <c:v>34.561437582074426</c:v>
                </c:pt>
                <c:pt idx="67">
                  <c:v>36.537936537596181</c:v>
                </c:pt>
                <c:pt idx="68">
                  <c:v>38.520170480070419</c:v>
                </c:pt>
                <c:pt idx="69">
                  <c:v>40.506814923799844</c:v>
                </c:pt>
                <c:pt idx="70">
                  <c:v>42.49682842891189</c:v>
                </c:pt>
                <c:pt idx="71">
                  <c:v>44.489399044106122</c:v>
                </c:pt>
                <c:pt idx="72">
                  <c:v>46.483898759219876</c:v>
                </c:pt>
                <c:pt idx="73">
                  <c:v>48.479845452155722</c:v>
                </c:pt>
                <c:pt idx="74">
                  <c:v>50.476871589454099</c:v>
                </c:pt>
                <c:pt idx="75">
                  <c:v>52.474698836647363</c:v>
                </c:pt>
                <c:pt idx="76">
                  <c:v>54.473117717500713</c:v>
                </c:pt>
                <c:pt idx="77">
                  <c:v>56.471971500766628</c:v>
                </c:pt>
                <c:pt idx="78">
                  <c:v>58.471143566163377</c:v>
                </c:pt>
                <c:pt idx="79">
                  <c:v>60.470547590978313</c:v>
                </c:pt>
                <c:pt idx="80">
                  <c:v>62.470119993159727</c:v>
                </c:pt>
                <c:pt idx="81">
                  <c:v>64.469814158279348</c:v>
                </c:pt>
                <c:pt idx="82">
                  <c:v>66.469596061731124</c:v>
                </c:pt>
                <c:pt idx="83">
                  <c:v>68.469440971662621</c:v>
                </c:pt>
                <c:pt idx="84">
                  <c:v>70.469330981649861</c:v>
                </c:pt>
                <c:pt idx="85">
                  <c:v>72.469253175266417</c:v>
                </c:pt>
                <c:pt idx="86">
                  <c:v>74.469198268289688</c:v>
                </c:pt>
                <c:pt idx="87">
                  <c:v>76.469159609458984</c:v>
                </c:pt>
                <c:pt idx="88">
                  <c:v>78.469132448669782</c:v>
                </c:pt>
                <c:pt idx="89">
                  <c:v>80.469113403455836</c:v>
                </c:pt>
                <c:pt idx="90">
                  <c:v>82.469100071669857</c:v>
                </c:pt>
                <c:pt idx="91">
                  <c:v>84.469090751390709</c:v>
                </c:pt>
                <c:pt idx="92">
                  <c:v>86.469084239079962</c:v>
                </c:pt>
                <c:pt idx="93">
                  <c:v>88.469079684563596</c:v>
                </c:pt>
                <c:pt idx="94">
                  <c:v>90.469076487080002</c:v>
                </c:pt>
                <c:pt idx="95">
                  <c:v>92.469074220853841</c:v>
                </c:pt>
                <c:pt idx="96">
                  <c:v>94.469072581776089</c:v>
                </c:pt>
                <c:pt idx="97">
                  <c:v>96.46907134906472</c:v>
                </c:pt>
                <c:pt idx="98">
                  <c:v>98.469070357455038</c:v>
                </c:pt>
                <c:pt idx="99">
                  <c:v>100.46906947668487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7A-4B40-94E4-F497ADA150A5}"/>
            </c:ext>
          </c:extLst>
        </c:ser>
        <c:ser>
          <c:idx val="2"/>
          <c:order val="2"/>
          <c:tx>
            <c:strRef>
              <c:f>'Uncertain Vol.'!$N$1</c:f>
              <c:strCache>
                <c:ptCount val="1"/>
                <c:pt idx="0">
                  <c:v>BS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'Uncertain Vol.'!$N$2:$N$102</c:f>
              <c:numCache>
                <c:formatCode>0.0000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3.3306690738754696E-15</c:v>
                </c:pt>
                <c:pt idx="16">
                  <c:v>5.7456340104937602E-15</c:v>
                </c:pt>
                <c:pt idx="17">
                  <c:v>5.3117304611292542E-14</c:v>
                </c:pt>
                <c:pt idx="18">
                  <c:v>1.0230951254565479E-12</c:v>
                </c:pt>
                <c:pt idx="19">
                  <c:v>1.6095682188097928E-11</c:v>
                </c:pt>
                <c:pt idx="20">
                  <c:v>1.930216996562394E-10</c:v>
                </c:pt>
                <c:pt idx="21">
                  <c:v>1.8242997026938244E-9</c:v>
                </c:pt>
                <c:pt idx="22">
                  <c:v>1.3970713350862492E-8</c:v>
                </c:pt>
                <c:pt idx="23">
                  <c:v>8.8771985901954796E-8</c:v>
                </c:pt>
                <c:pt idx="24">
                  <c:v>4.7763169975743993E-7</c:v>
                </c:pt>
                <c:pt idx="25">
                  <c:v>2.2144978938359991E-6</c:v>
                </c:pt>
                <c:pt idx="26">
                  <c:v>8.9829114202776179E-6</c:v>
                </c:pt>
                <c:pt idx="27">
                  <c:v>3.2305009845541533E-5</c:v>
                </c:pt>
                <c:pt idx="28">
                  <c:v>1.0420191214526855E-4</c:v>
                </c:pt>
                <c:pt idx="29">
                  <c:v>3.0456287098686377E-4</c:v>
                </c:pt>
                <c:pt idx="30">
                  <c:v>8.139652850463891E-4</c:v>
                </c:pt>
                <c:pt idx="31">
                  <c:v>2.0052025005018251E-3</c:v>
                </c:pt>
                <c:pt idx="32">
                  <c:v>4.5862166887150752E-3</c:v>
                </c:pt>
                <c:pt idx="33">
                  <c:v>9.8014708990293298E-3</c:v>
                </c:pt>
                <c:pt idx="34">
                  <c:v>1.9687169983491071E-2</c:v>
                </c:pt>
                <c:pt idx="35">
                  <c:v>3.7359440651769993E-2</c:v>
                </c:pt>
                <c:pt idx="36">
                  <c:v>6.7297256549429418E-2</c:v>
                </c:pt>
                <c:pt idx="37">
                  <c:v>0.11556871246050759</c:v>
                </c:pt>
                <c:pt idx="38">
                  <c:v>0.18994520352937494</c:v>
                </c:pt>
                <c:pt idx="39">
                  <c:v>0.29985610463308454</c:v>
                </c:pt>
                <c:pt idx="40">
                  <c:v>0.45615635982011149</c:v>
                </c:pt>
                <c:pt idx="41">
                  <c:v>0.67070732469980854</c:v>
                </c:pt>
                <c:pt idx="42">
                  <c:v>0.95580132769995352</c:v>
                </c:pt>
                <c:pt idx="43">
                  <c:v>1.3234862974145862</c:v>
                </c:pt>
                <c:pt idx="44">
                  <c:v>1.78486329032825</c:v>
                </c:pt>
                <c:pt idx="45">
                  <c:v>2.3494341850316296</c:v>
                </c:pt>
                <c:pt idx="46">
                  <c:v>3.0245693680775005</c:v>
                </c:pt>
                <c:pt idx="47">
                  <c:v>3.8151484910708291</c:v>
                </c:pt>
                <c:pt idx="48">
                  <c:v>4.7234053100201905</c:v>
                </c:pt>
                <c:pt idx="49">
                  <c:v>5.7489146267422626</c:v>
                </c:pt>
                <c:pt idx="50">
                  <c:v>6.8887182220808114</c:v>
                </c:pt>
                <c:pt idx="51">
                  <c:v>8.1378429106297432</c:v>
                </c:pt>
                <c:pt idx="52">
                  <c:v>9.4894820162950069</c:v>
                </c:pt>
                <c:pt idx="53">
                  <c:v>10.935584394802987</c:v>
                </c:pt>
                <c:pt idx="54">
                  <c:v>12.467296157216609</c:v>
                </c:pt>
                <c:pt idx="55">
                  <c:v>14.075380149176652</c:v>
                </c:pt>
                <c:pt idx="56">
                  <c:v>15.750588470135213</c:v>
                </c:pt>
                <c:pt idx="57">
                  <c:v>17.483969057349725</c:v>
                </c:pt>
                <c:pt idx="58">
                  <c:v>19.267098798317889</c:v>
                </c:pt>
                <c:pt idx="59">
                  <c:v>21.092244136402059</c:v>
                </c:pt>
                <c:pt idx="60">
                  <c:v>22.952455889941064</c:v>
                </c:pt>
                <c:pt idx="61">
                  <c:v>24.841608373259191</c:v>
                </c:pt>
                <c:pt idx="62">
                  <c:v>26.754394347614507</c:v>
                </c:pt>
                <c:pt idx="63">
                  <c:v>28.686287333137415</c:v>
                </c:pt>
                <c:pt idx="64">
                  <c:v>30.633481847385454</c:v>
                </c:pt>
                <c:pt idx="65">
                  <c:v>32.59282060803946</c:v>
                </c:pt>
                <c:pt idx="66">
                  <c:v>34.561715969495623</c:v>
                </c:pt>
                <c:pt idx="67">
                  <c:v>36.538071091149845</c:v>
                </c:pt>
                <c:pt idx="68">
                  <c:v>38.520204713418394</c:v>
                </c:pt>
                <c:pt idx="69">
                  <c:v>40.506782032316707</c:v>
                </c:pt>
                <c:pt idx="70">
                  <c:v>42.496753048744964</c:v>
                </c:pt>
                <c:pt idx="71">
                  <c:v>44.489298921859856</c:v>
                </c:pt>
                <c:pt idx="72">
                  <c:v>46.483786251463471</c:v>
                </c:pt>
                <c:pt idx="73">
                  <c:v>48.479728814687334</c:v>
                </c:pt>
                <c:pt idx="74">
                  <c:v>50.47675604594555</c:v>
                </c:pt>
                <c:pt idx="75">
                  <c:v>52.474587436175227</c:v>
                </c:pt>
                <c:pt idx="76">
                  <c:v>54.473012002326854</c:v>
                </c:pt>
                <c:pt idx="77">
                  <c:v>56.471872011486965</c:v>
                </c:pt>
                <c:pt idx="78">
                  <c:v>58.47105021279279</c:v>
                </c:pt>
                <c:pt idx="79">
                  <c:v>60.470459917199321</c:v>
                </c:pt>
                <c:pt idx="80">
                  <c:v>62.470037358028833</c:v>
                </c:pt>
                <c:pt idx="81">
                  <c:v>64.469735856025423</c:v>
                </c:pt>
                <c:pt idx="82">
                  <c:v>66.469521396489284</c:v>
                </c:pt>
                <c:pt idx="83">
                  <c:v>68.469369300429165</c:v>
                </c:pt>
                <c:pt idx="84">
                  <c:v>70.46926173561684</c:v>
                </c:pt>
                <c:pt idx="85">
                  <c:v>72.469185867075353</c:v>
                </c:pt>
                <c:pt idx="86">
                  <c:v>74.469132490638046</c:v>
                </c:pt>
                <c:pt idx="87">
                  <c:v>76.469095028854667</c:v>
                </c:pt>
                <c:pt idx="88">
                  <c:v>78.469068796896181</c:v>
                </c:pt>
                <c:pt idx="89">
                  <c:v>80.469050468410956</c:v>
                </c:pt>
                <c:pt idx="90">
                  <c:v>82.469037688609603</c:v>
                </c:pt>
                <c:pt idx="91">
                  <c:v>84.469028795177735</c:v>
                </c:pt>
                <c:pt idx="92">
                  <c:v>86.469022617765759</c:v>
                </c:pt>
                <c:pt idx="93">
                  <c:v>88.469018334470903</c:v>
                </c:pt>
                <c:pt idx="94">
                  <c:v>90.469015369474533</c:v>
                </c:pt>
                <c:pt idx="95">
                  <c:v>92.469013320276034</c:v>
                </c:pt>
                <c:pt idx="96">
                  <c:v>94.469011906128031</c:v>
                </c:pt>
                <c:pt idx="97">
                  <c:v>96.46901093160433</c:v>
                </c:pt>
                <c:pt idx="98">
                  <c:v>98.469010260931171</c:v>
                </c:pt>
                <c:pt idx="99">
                  <c:v>100.46900979994984</c:v>
                </c:pt>
                <c:pt idx="100">
                  <c:v>102.46900948347353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7A-4B40-94E4-F497ADA15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24784"/>
        <c:axId val="-967422032"/>
      </c:scatterChart>
      <c:valAx>
        <c:axId val="-9674247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67422032"/>
        <c:crosses val="autoZero"/>
        <c:crossBetween val="midCat"/>
      </c:valAx>
      <c:valAx>
        <c:axId val="-967422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67424784"/>
        <c:crosses val="autoZero"/>
        <c:crossBetween val="midCat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9935326045409399"/>
          <c:y val="0.92457650822844195"/>
          <c:w val="0.43689388341020502"/>
          <c:h val="5.839441602646389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740434332988598E-2"/>
          <c:y val="3.5593220338983003E-2"/>
          <c:w val="0.81075491209927597"/>
          <c:h val="0.9288135593220340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'Uncertain Vol.'!$O$1</c:f>
              <c:strCache>
                <c:ptCount val="1"/>
                <c:pt idx="0">
                  <c:v>Worst Case</c:v>
                </c:pt>
              </c:strCache>
            </c:strRef>
          </c:tx>
          <c:spPr>
            <a:ln w="38100">
              <a:solidFill>
                <a:srgbClr val="00206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Vol.'!$O$2:$O$101</c:f>
              <c:numCache>
                <c:formatCode>0.0000</c:formatCode>
                <c:ptCount val="100"/>
                <c:pt idx="0">
                  <c:v>0</c:v>
                </c:pt>
                <c:pt idx="1">
                  <c:v>6.5999928942209183E-41</c:v>
                </c:pt>
                <c:pt idx="2">
                  <c:v>1.2460186635953301E-37</c:v>
                </c:pt>
                <c:pt idx="3">
                  <c:v>7.8832618108765562E-35</c:v>
                </c:pt>
                <c:pt idx="4">
                  <c:v>2.4613143558263484E-32</c:v>
                </c:pt>
                <c:pt idx="5">
                  <c:v>4.5160446488446657E-30</c:v>
                </c:pt>
                <c:pt idx="6">
                  <c:v>5.3893947263842175E-28</c:v>
                </c:pt>
                <c:pt idx="7">
                  <c:v>4.4720694373077566E-26</c:v>
                </c:pt>
                <c:pt idx="8">
                  <c:v>2.7056427496266355E-24</c:v>
                </c:pt>
                <c:pt idx="9">
                  <c:v>1.2367088376263686E-22</c:v>
                </c:pt>
                <c:pt idx="10">
                  <c:v>4.3907170219930363E-21</c:v>
                </c:pt>
                <c:pt idx="11">
                  <c:v>1.2380819060867765E-19</c:v>
                </c:pt>
                <c:pt idx="12">
                  <c:v>2.8241320476253375E-18</c:v>
                </c:pt>
                <c:pt idx="13">
                  <c:v>5.2924799938537336E-17</c:v>
                </c:pt>
                <c:pt idx="14">
                  <c:v>8.2572455604461484E-16</c:v>
                </c:pt>
                <c:pt idx="15">
                  <c:v>1.0850273400968663E-14</c:v>
                </c:pt>
                <c:pt idx="16">
                  <c:v>1.213189406858208E-13</c:v>
                </c:pt>
                <c:pt idx="17">
                  <c:v>1.1649244973377972E-12</c:v>
                </c:pt>
                <c:pt idx="18">
                  <c:v>9.6869056117737397E-12</c:v>
                </c:pt>
                <c:pt idx="19">
                  <c:v>7.0297001366058543E-11</c:v>
                </c:pt>
                <c:pt idx="20">
                  <c:v>4.4839866767771508E-10</c:v>
                </c:pt>
                <c:pt idx="21">
                  <c:v>2.5309717956863414E-9</c:v>
                </c:pt>
                <c:pt idx="22">
                  <c:v>1.2722352913728187E-8</c:v>
                </c:pt>
                <c:pt idx="23">
                  <c:v>5.7297288384834033E-8</c:v>
                </c:pt>
                <c:pt idx="24">
                  <c:v>2.3254312982911199E-7</c:v>
                </c:pt>
                <c:pt idx="25">
                  <c:v>8.5524982188859132E-7</c:v>
                </c:pt>
                <c:pt idx="26">
                  <c:v>2.8656967880624489E-6</c:v>
                </c:pt>
                <c:pt idx="27">
                  <c:v>8.7934563300850459E-6</c:v>
                </c:pt>
                <c:pt idx="28">
                  <c:v>2.4833935410589716E-5</c:v>
                </c:pt>
                <c:pt idx="29">
                  <c:v>6.4859561849831996E-5</c:v>
                </c:pt>
                <c:pt idx="30">
                  <c:v>1.5738112517821692E-4</c:v>
                </c:pt>
                <c:pt idx="31">
                  <c:v>3.5637741633169184E-4</c:v>
                </c:pt>
                <c:pt idx="32">
                  <c:v>7.5630246995005796E-4</c:v>
                </c:pt>
                <c:pt idx="33">
                  <c:v>1.5103479880940872E-3</c:v>
                </c:pt>
                <c:pt idx="34">
                  <c:v>2.8493253727151077E-3</c:v>
                </c:pt>
                <c:pt idx="35">
                  <c:v>5.0967943605067139E-3</c:v>
                </c:pt>
                <c:pt idx="36">
                  <c:v>8.674983735857034E-3</c:v>
                </c:pt>
                <c:pt idx="37">
                  <c:v>1.4096279746250818E-2</c:v>
                </c:pt>
                <c:pt idx="38">
                  <c:v>2.1936926366095288E-2</c:v>
                </c:pt>
                <c:pt idx="39">
                  <c:v>3.2792874616037443E-2</c:v>
                </c:pt>
                <c:pt idx="40">
                  <c:v>4.7221681161481129E-2</c:v>
                </c:pt>
                <c:pt idx="41">
                  <c:v>6.5677922612835768E-2</c:v>
                </c:pt>
                <c:pt idx="42">
                  <c:v>8.8451746769961731E-2</c:v>
                </c:pt>
                <c:pt idx="43">
                  <c:v>0.11562031030834174</c:v>
                </c:pt>
                <c:pt idx="44">
                  <c:v>0.14701992954651852</c:v>
                </c:pt>
                <c:pt idx="45">
                  <c:v>0.18224333245192104</c:v>
                </c:pt>
                <c:pt idx="46">
                  <c:v>0.22066231832569777</c:v>
                </c:pt>
                <c:pt idx="47">
                  <c:v>0.26147231021054779</c:v>
                </c:pt>
                <c:pt idx="48">
                  <c:v>0.30375240870138259</c:v>
                </c:pt>
                <c:pt idx="49">
                  <c:v>0.34653298523963311</c:v>
                </c:pt>
                <c:pt idx="50">
                  <c:v>0.38911034920044441</c:v>
                </c:pt>
                <c:pt idx="51">
                  <c:v>0.4310957607556305</c:v>
                </c:pt>
                <c:pt idx="52">
                  <c:v>0.47214110105950752</c:v>
                </c:pt>
                <c:pt idx="53">
                  <c:v>0.51194357001037283</c:v>
                </c:pt>
                <c:pt idx="54">
                  <c:v>0.55024824743658363</c:v>
                </c:pt>
                <c:pt idx="55">
                  <c:v>0.58684873828893591</c:v>
                </c:pt>
                <c:pt idx="56">
                  <c:v>0.62158617892061474</c:v>
                </c:pt>
                <c:pt idx="57">
                  <c:v>0.65434691113661669</c:v>
                </c:pt>
                <c:pt idx="58">
                  <c:v>0.68505913709111188</c:v>
                </c:pt>
                <c:pt idx="59">
                  <c:v>0.71368885589575537</c:v>
                </c:pt>
                <c:pt idx="60">
                  <c:v>0.74023535688709818</c:v>
                </c:pt>
                <c:pt idx="61">
                  <c:v>0.76472650963311162</c:v>
                </c:pt>
                <c:pt idx="62">
                  <c:v>0.78721405116105536</c:v>
                </c:pt>
                <c:pt idx="63">
                  <c:v>0.80776903004950096</c:v>
                </c:pt>
                <c:pt idx="64">
                  <c:v>0.82647752761546722</c:v>
                </c:pt>
                <c:pt idx="65">
                  <c:v>0.84343674031186211</c:v>
                </c:pt>
                <c:pt idx="66">
                  <c:v>0.85875147578470512</c:v>
                </c:pt>
                <c:pt idx="67">
                  <c:v>0.87253108838591631</c:v>
                </c:pt>
                <c:pt idx="68">
                  <c:v>0.8848868584000843</c:v>
                </c:pt>
                <c:pt idx="69">
                  <c:v>0.89592980259786148</c:v>
                </c:pt>
                <c:pt idx="70">
                  <c:v>0.90576889153379092</c:v>
                </c:pt>
                <c:pt idx="71">
                  <c:v>0.9145096406984452</c:v>
                </c:pt>
                <c:pt idx="72">
                  <c:v>0.92225303759807942</c:v>
                </c:pt>
                <c:pt idx="73">
                  <c:v>0.929094764454379</c:v>
                </c:pt>
                <c:pt idx="74">
                  <c:v>0.93512467591302639</c:v>
                </c:pt>
                <c:pt idx="75">
                  <c:v>0.94042649240117082</c:v>
                </c:pt>
                <c:pt idx="76">
                  <c:v>0.94507767212809701</c:v>
                </c:pt>
                <c:pt idx="77">
                  <c:v>0.94914942780087608</c:v>
                </c:pt>
                <c:pt idx="78">
                  <c:v>0.95270685761914087</c:v>
                </c:pt>
                <c:pt idx="79">
                  <c:v>0.95580916377788749</c:v>
                </c:pt>
                <c:pt idx="80">
                  <c:v>0.95850993536064277</c:v>
                </c:pt>
                <c:pt idx="81">
                  <c:v>0.9608574760143237</c:v>
                </c:pt>
                <c:pt idx="82">
                  <c:v>0.96289516007075915</c:v>
                </c:pt>
                <c:pt idx="83">
                  <c:v>0.96466180376156896</c:v>
                </c:pt>
                <c:pt idx="84">
                  <c:v>0.96619204083332966</c:v>
                </c:pt>
                <c:pt idx="85">
                  <c:v>0.96751669419971142</c:v>
                </c:pt>
                <c:pt idx="86">
                  <c:v>0.9686631372727047</c:v>
                </c:pt>
                <c:pt idx="87">
                  <c:v>0.9696556403128388</c:v>
                </c:pt>
                <c:pt idx="88">
                  <c:v>0.97051569855200592</c:v>
                </c:pt>
                <c:pt idx="89">
                  <c:v>0.97126233999966838</c:v>
                </c:pt>
                <c:pt idx="90">
                  <c:v>0.97191241177311205</c:v>
                </c:pt>
                <c:pt idx="91">
                  <c:v>0.97248084452442041</c:v>
                </c:pt>
                <c:pt idx="92">
                  <c:v>0.97298089509929331</c:v>
                </c:pt>
                <c:pt idx="93">
                  <c:v>0.97342436798225529</c:v>
                </c:pt>
                <c:pt idx="94">
                  <c:v>0.9738218163833795</c:v>
                </c:pt>
                <c:pt idx="95">
                  <c:v>0.97418272402508543</c:v>
                </c:pt>
                <c:pt idx="96">
                  <c:v>0.97451566881289886</c:v>
                </c:pt>
                <c:pt idx="97">
                  <c:v>0.974828469637808</c:v>
                </c:pt>
                <c:pt idx="98">
                  <c:v>0.9751283175740918</c:v>
                </c:pt>
                <c:pt idx="99">
                  <c:v>0.97542189271707802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BD-784A-8E0B-E1CD04AAF025}"/>
            </c:ext>
          </c:extLst>
        </c:ser>
        <c:ser>
          <c:idx val="2"/>
          <c:order val="1"/>
          <c:tx>
            <c:strRef>
              <c:f>'Uncertain Vol.'!$P$1</c:f>
              <c:strCache>
                <c:ptCount val="1"/>
                <c:pt idx="0">
                  <c:v>Best Case</c:v>
                </c:pt>
              </c:strCache>
            </c:strRef>
          </c:tx>
          <c:spPr>
            <a:ln w="38100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Vol.'!$P$2:$P$101</c:f>
              <c:numCache>
                <c:formatCode>0.0000</c:formatCode>
                <c:ptCount val="100"/>
                <c:pt idx="0">
                  <c:v>0</c:v>
                </c:pt>
                <c:pt idx="1">
                  <c:v>8.439180566126974E-30</c:v>
                </c:pt>
                <c:pt idx="2">
                  <c:v>9.3311098560869905E-27</c:v>
                </c:pt>
                <c:pt idx="3">
                  <c:v>3.0024145466304735E-24</c:v>
                </c:pt>
                <c:pt idx="4">
                  <c:v>4.429153545729096E-22</c:v>
                </c:pt>
                <c:pt idx="5">
                  <c:v>3.6629299317025716E-20</c:v>
                </c:pt>
                <c:pt idx="6">
                  <c:v>1.9054674509255224E-18</c:v>
                </c:pt>
                <c:pt idx="7">
                  <c:v>6.7226935582013928E-17</c:v>
                </c:pt>
                <c:pt idx="8">
                  <c:v>1.6972132298728506E-15</c:v>
                </c:pt>
                <c:pt idx="9">
                  <c:v>3.1929680220743E-14</c:v>
                </c:pt>
                <c:pt idx="10">
                  <c:v>4.622539551804347E-13</c:v>
                </c:pt>
                <c:pt idx="11">
                  <c:v>5.2879317307629288E-12</c:v>
                </c:pt>
                <c:pt idx="12">
                  <c:v>4.8883259117164865E-11</c:v>
                </c:pt>
                <c:pt idx="13">
                  <c:v>3.72376563596227E-10</c:v>
                </c:pt>
                <c:pt idx="14">
                  <c:v>2.3783147983616754E-9</c:v>
                </c:pt>
                <c:pt idx="15">
                  <c:v>1.2935457939712045E-8</c:v>
                </c:pt>
                <c:pt idx="16">
                  <c:v>6.0766009012966164E-8</c:v>
                </c:pt>
                <c:pt idx="17">
                  <c:v>2.4975711317990884E-7</c:v>
                </c:pt>
                <c:pt idx="18">
                  <c:v>9.088585896044854E-7</c:v>
                </c:pt>
                <c:pt idx="19">
                  <c:v>2.9601375585623226E-6</c:v>
                </c:pt>
                <c:pt idx="20">
                  <c:v>8.7153301929903514E-6</c:v>
                </c:pt>
                <c:pt idx="21">
                  <c:v>2.3407764492898838E-5</c:v>
                </c:pt>
                <c:pt idx="22">
                  <c:v>5.7828154313816793E-5</c:v>
                </c:pt>
                <c:pt idx="23">
                  <c:v>1.3240213521709696E-4</c:v>
                </c:pt>
                <c:pt idx="24">
                  <c:v>2.828761727001285E-4</c:v>
                </c:pt>
                <c:pt idx="25">
                  <c:v>5.6745625939128724E-4</c:v>
                </c:pt>
                <c:pt idx="26">
                  <c:v>1.0748167958096546E-3</c:v>
                </c:pt>
                <c:pt idx="27">
                  <c:v>1.9319636786185596E-3</c:v>
                </c:pt>
                <c:pt idx="28">
                  <c:v>3.3106187739334355E-3</c:v>
                </c:pt>
                <c:pt idx="29">
                  <c:v>5.4306995795183229E-3</c:v>
                </c:pt>
                <c:pt idx="30">
                  <c:v>8.5596529901942765E-3</c:v>
                </c:pt>
                <c:pt idx="31">
                  <c:v>1.300685080539769E-2</c:v>
                </c:pt>
                <c:pt idx="32">
                  <c:v>1.9112887323807226E-2</c:v>
                </c:pt>
                <c:pt idx="33">
                  <c:v>2.7234315543383892E-2</c:v>
                </c:pt>
                <c:pt idx="34">
                  <c:v>3.77249893012684E-2</c:v>
                </c:pt>
                <c:pt idx="35">
                  <c:v>5.0915637341290676E-2</c:v>
                </c:pt>
                <c:pt idx="36">
                  <c:v>6.7093517198530739E-2</c:v>
                </c:pt>
                <c:pt idx="37">
                  <c:v>8.6483966495523368E-2</c:v>
                </c:pt>
                <c:pt idx="38">
                  <c:v>0.10923541538082825</c:v>
                </c:pt>
                <c:pt idx="39">
                  <c:v>0.13540900610310316</c:v>
                </c:pt>
                <c:pt idx="40">
                  <c:v>0.1649734588305041</c:v>
                </c:pt>
                <c:pt idx="41">
                  <c:v>0.19780530164126442</c:v>
                </c:pt>
                <c:pt idx="42">
                  <c:v>0.23369411084780381</c:v>
                </c:pt>
                <c:pt idx="43">
                  <c:v>0.27235203139871839</c:v>
                </c:pt>
                <c:pt idx="44">
                  <c:v>0.31342659174745052</c:v>
                </c:pt>
                <c:pt idx="45">
                  <c:v>0.35651569973481778</c:v>
                </c:pt>
                <c:pt idx="46">
                  <c:v>0.40118369614261995</c:v>
                </c:pt>
                <c:pt idx="47">
                  <c:v>0.4469774296466314</c:v>
                </c:pt>
                <c:pt idx="48">
                  <c:v>0.49344147356508583</c:v>
                </c:pt>
                <c:pt idx="49">
                  <c:v>0.54013180209816047</c:v>
                </c:pt>
                <c:pt idx="50">
                  <c:v>0.58639016383841069</c:v>
                </c:pt>
                <c:pt idx="51">
                  <c:v>0.63133979370546145</c:v>
                </c:pt>
                <c:pt idx="52">
                  <c:v>0.67422208742500656</c:v>
                </c:pt>
                <c:pt idx="53">
                  <c:v>0.71442685310344722</c:v>
                </c:pt>
                <c:pt idx="54">
                  <c:v>0.75150666801725119</c:v>
                </c:pt>
                <c:pt idx="55">
                  <c:v>0.78517713011183032</c:v>
                </c:pt>
                <c:pt idx="56">
                  <c:v>0.81530583411294988</c:v>
                </c:pt>
                <c:pt idx="57">
                  <c:v>0.84189335521493158</c:v>
                </c:pt>
                <c:pt idx="58">
                  <c:v>0.8650495021057536</c:v>
                </c:pt>
                <c:pt idx="59">
                  <c:v>0.88496774192008687</c:v>
                </c:pt>
                <c:pt idx="60">
                  <c:v>0.90190013818387538</c:v>
                </c:pt>
                <c:pt idx="61">
                  <c:v>0.91613449856580942</c:v>
                </c:pt>
                <c:pt idx="62">
                  <c:v>0.92797479664072879</c:v>
                </c:pt>
                <c:pt idx="63">
                  <c:v>0.93772537587361038</c:v>
                </c:pt>
                <c:pt idx="64">
                  <c:v>0.94567900087475043</c:v>
                </c:pt>
                <c:pt idx="65">
                  <c:v>0.95210850242393086</c:v>
                </c:pt>
                <c:pt idx="66">
                  <c:v>0.95726156248515182</c:v>
                </c:pt>
                <c:pt idx="67">
                  <c:v>0.96135808582209947</c:v>
                </c:pt>
                <c:pt idx="68">
                  <c:v>0.96458958302547593</c:v>
                </c:pt>
                <c:pt idx="69">
                  <c:v>0.96712002229387461</c:v>
                </c:pt>
                <c:pt idx="70">
                  <c:v>0.96908767306858312</c:v>
                </c:pt>
                <c:pt idx="71">
                  <c:v>0.97060754647060576</c:v>
                </c:pt>
                <c:pt idx="72">
                  <c:v>0.97177412273191832</c:v>
                </c:pt>
                <c:pt idx="73">
                  <c:v>0.97266413595663981</c:v>
                </c:pt>
                <c:pt idx="74">
                  <c:v>0.97333925663866683</c:v>
                </c:pt>
                <c:pt idx="75">
                  <c:v>0.97384857017798399</c:v>
                </c:pt>
                <c:pt idx="76">
                  <c:v>0.97423079488124431</c:v>
                </c:pt>
                <c:pt idx="77">
                  <c:v>0.97451621652969889</c:v>
                </c:pt>
                <c:pt idx="78">
                  <c:v>0.97472834014183207</c:v>
                </c:pt>
                <c:pt idx="79">
                  <c:v>0.97488527490146204</c:v>
                </c:pt>
                <c:pt idx="80">
                  <c:v>0.97500087720468664</c:v>
                </c:pt>
                <c:pt idx="81">
                  <c:v>0.97508568106656512</c:v>
                </c:pt>
                <c:pt idx="82">
                  <c:v>0.97514764613189819</c:v>
                </c:pt>
                <c:pt idx="83">
                  <c:v>0.97519275238690528</c:v>
                </c:pt>
                <c:pt idx="84">
                  <c:v>0.97522546823708678</c:v>
                </c:pt>
                <c:pt idx="85">
                  <c:v>0.9752491155341767</c:v>
                </c:pt>
                <c:pt idx="86">
                  <c:v>0.97526615184101006</c:v>
                </c:pt>
                <c:pt idx="87">
                  <c:v>0.9752783870037931</c:v>
                </c:pt>
                <c:pt idx="88">
                  <c:v>0.97528714812810535</c:v>
                </c:pt>
                <c:pt idx="89">
                  <c:v>0.97529340441664425</c:v>
                </c:pt>
                <c:pt idx="90">
                  <c:v>0.97529786105519078</c:v>
                </c:pt>
                <c:pt idx="91">
                  <c:v>0.9753010294238954</c:v>
                </c:pt>
                <c:pt idx="92">
                  <c:v>0.97530327933736904</c:v>
                </c:pt>
                <c:pt idx="93">
                  <c:v>0.97530487774163355</c:v>
                </c:pt>
                <c:pt idx="94">
                  <c:v>0.97530601727703858</c:v>
                </c:pt>
                <c:pt idx="95">
                  <c:v>0.97530683731249046</c:v>
                </c:pt>
                <c:pt idx="96">
                  <c:v>0.97530743942949438</c:v>
                </c:pt>
                <c:pt idx="97">
                  <c:v>0.97530789885068137</c:v>
                </c:pt>
                <c:pt idx="98">
                  <c:v>0.97530827293761124</c:v>
                </c:pt>
                <c:pt idx="99">
                  <c:v>0.97530860760239846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BD-784A-8E0B-E1CD04AAF025}"/>
            </c:ext>
          </c:extLst>
        </c:ser>
        <c:ser>
          <c:idx val="3"/>
          <c:order val="2"/>
          <c:tx>
            <c:strRef>
              <c:f>'Uncertain Vol.'!$Q$1</c:f>
              <c:strCache>
                <c:ptCount val="1"/>
                <c:pt idx="0">
                  <c:v>Const Vol+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Vol.'!$Q$2:$Q$101</c:f>
              <c:numCache>
                <c:formatCode>0.0000</c:formatCode>
                <c:ptCount val="100"/>
                <c:pt idx="0">
                  <c:v>0</c:v>
                </c:pt>
                <c:pt idx="1">
                  <c:v>2.8469608456769175E-29</c:v>
                </c:pt>
                <c:pt idx="2">
                  <c:v>2.7984028060444071E-26</c:v>
                </c:pt>
                <c:pt idx="3">
                  <c:v>8.0401872655617652E-24</c:v>
                </c:pt>
                <c:pt idx="4">
                  <c:v>1.0641048017496917E-21</c:v>
                </c:pt>
                <c:pt idx="5">
                  <c:v>7.9348226710877384E-20</c:v>
                </c:pt>
                <c:pt idx="6">
                  <c:v>3.7415897790099209E-18</c:v>
                </c:pt>
                <c:pt idx="7">
                  <c:v>1.2032672821429476E-16</c:v>
                </c:pt>
                <c:pt idx="8">
                  <c:v>2.7851094315051376E-15</c:v>
                </c:pt>
                <c:pt idx="9">
                  <c:v>4.8327823267387782E-14</c:v>
                </c:pt>
                <c:pt idx="10">
                  <c:v>6.4931125475793996E-13</c:v>
                </c:pt>
                <c:pt idx="11">
                  <c:v>6.9364038657813055E-12</c:v>
                </c:pt>
                <c:pt idx="12">
                  <c:v>6.0254777916618596E-11</c:v>
                </c:pt>
                <c:pt idx="13">
                  <c:v>4.3397656631423163E-10</c:v>
                </c:pt>
                <c:pt idx="14">
                  <c:v>2.6363403569271915E-9</c:v>
                </c:pt>
                <c:pt idx="15">
                  <c:v>1.3716645824003039E-8</c:v>
                </c:pt>
                <c:pt idx="16">
                  <c:v>6.1973412317907725E-8</c:v>
                </c:pt>
                <c:pt idx="17">
                  <c:v>2.4621783207207712E-7</c:v>
                </c:pt>
                <c:pt idx="18">
                  <c:v>8.7006064957807724E-7</c:v>
                </c:pt>
                <c:pt idx="19">
                  <c:v>2.7632366059108677E-6</c:v>
                </c:pt>
                <c:pt idx="20">
                  <c:v>7.9624954890120631E-6</c:v>
                </c:pt>
                <c:pt idx="21">
                  <c:v>2.0999067667156451E-5</c:v>
                </c:pt>
                <c:pt idx="22">
                  <c:v>5.1084435161721125E-5</c:v>
                </c:pt>
                <c:pt idx="23">
                  <c:v>1.1545690972022434E-4</c:v>
                </c:pt>
                <c:pt idx="24">
                  <c:v>2.4401169632162238E-4</c:v>
                </c:pt>
                <c:pt idx="25">
                  <c:v>4.8507944256955926E-4</c:v>
                </c:pt>
                <c:pt idx="26">
                  <c:v>9.1187890820879016E-4</c:v>
                </c:pt>
                <c:pt idx="27">
                  <c:v>1.6288250102857696E-3</c:v>
                </c:pt>
                <c:pt idx="28">
                  <c:v>2.7766204118528683E-3</c:v>
                </c:pt>
                <c:pt idx="29">
                  <c:v>4.5349820775147948E-3</c:v>
                </c:pt>
                <c:pt idx="30">
                  <c:v>7.1219992643420495E-3</c:v>
                </c:pt>
                <c:pt idx="31">
                  <c:v>1.0789477026180029E-2</c:v>
                </c:pt>
                <c:pt idx="32">
                  <c:v>1.5814128278877494E-2</c:v>
                </c:pt>
                <c:pt idx="33">
                  <c:v>2.2485042420567886E-2</c:v>
                </c:pt>
                <c:pt idx="34">
                  <c:v>3.1088375330889113E-2</c:v>
                </c:pt>
                <c:pt idx="35">
                  <c:v>4.1890586062971372E-2</c:v>
                </c:pt>
                <c:pt idx="36">
                  <c:v>5.5121734499412808E-2</c:v>
                </c:pt>
                <c:pt idx="37">
                  <c:v>7.0960336278386396E-2</c:v>
                </c:pt>
                <c:pt idx="38">
                  <c:v>8.9521067748659158E-2</c:v>
                </c:pt>
                <c:pt idx="39">
                  <c:v>0.11084627264833334</c:v>
                </c:pt>
                <c:pt idx="40">
                  <c:v>0.13490180529424189</c:v>
                </c:pt>
                <c:pt idx="41">
                  <c:v>0.16157731484810486</c:v>
                </c:pt>
                <c:pt idx="42">
                  <c:v>0.1906906851161384</c:v>
                </c:pt>
                <c:pt idx="43">
                  <c:v>0.22199603260828735</c:v>
                </c:pt>
                <c:pt idx="44">
                  <c:v>0.25519445322199003</c:v>
                </c:pt>
                <c:pt idx="45">
                  <c:v>0.28994659971090919</c:v>
                </c:pt>
                <c:pt idx="46">
                  <c:v>0.32588615981679375</c:v>
                </c:pt>
                <c:pt idx="47">
                  <c:v>0.36263337150031782</c:v>
                </c:pt>
                <c:pt idx="48">
                  <c:v>0.39980783541846537</c:v>
                </c:pt>
                <c:pt idx="49">
                  <c:v>0.43704004304840838</c:v>
                </c:pt>
                <c:pt idx="50">
                  <c:v>0.47398121087612111</c:v>
                </c:pt>
                <c:pt idx="51">
                  <c:v>0.51031117967778172</c:v>
                </c:pt>
                <c:pt idx="52">
                  <c:v>0.54574429038735817</c:v>
                </c:pt>
                <c:pt idx="53">
                  <c:v>0.58003327616356359</c:v>
                </c:pt>
                <c:pt idx="54">
                  <c:v>0.61297130995238414</c:v>
                </c:pt>
                <c:pt idx="55">
                  <c:v>0.64439241737360575</c:v>
                </c:pt>
                <c:pt idx="56">
                  <c:v>0.67417050794410804</c:v>
                </c:pt>
                <c:pt idx="57">
                  <c:v>0.70221729695399615</c:v>
                </c:pt>
                <c:pt idx="58">
                  <c:v>0.72847939010710805</c:v>
                </c:pt>
                <c:pt idx="59">
                  <c:v>0.75293478799002789</c:v>
                </c:pt>
                <c:pt idx="60">
                  <c:v>0.77558904204410084</c:v>
                </c:pt>
                <c:pt idx="61">
                  <c:v>0.79647126201520735</c:v>
                </c:pt>
                <c:pt idx="62">
                  <c:v>0.8156301402372842</c:v>
                </c:pt>
                <c:pt idx="63">
                  <c:v>0.83313012325041835</c:v>
                </c:pt>
                <c:pt idx="64">
                  <c:v>0.84904782814675517</c:v>
                </c:pt>
                <c:pt idx="65">
                  <c:v>0.86346877102414166</c:v>
                </c:pt>
                <c:pt idx="66">
                  <c:v>0.87648444880875931</c:v>
                </c:pt>
                <c:pt idx="67">
                  <c:v>0.88818979384183272</c:v>
                </c:pt>
                <c:pt idx="68">
                  <c:v>0.89868100303110809</c:v>
                </c:pt>
                <c:pt idx="69">
                  <c:v>0.90805372982197941</c:v>
                </c:pt>
                <c:pt idx="70">
                  <c:v>0.91640161736364001</c:v>
                </c:pt>
                <c:pt idx="71">
                  <c:v>0.92381514455974445</c:v>
                </c:pt>
                <c:pt idx="72">
                  <c:v>0.93038075269125875</c:v>
                </c:pt>
                <c:pt idx="73">
                  <c:v>0.93618021847473154</c:v>
                </c:pt>
                <c:pt idx="74">
                  <c:v>0.94129023929565336</c:v>
                </c:pt>
                <c:pt idx="75">
                  <c:v>0.94578219750482473</c:v>
                </c:pt>
                <c:pt idx="76">
                  <c:v>0.94972207271330467</c:v>
                </c:pt>
                <c:pt idx="77">
                  <c:v>0.95317047365585461</c:v>
                </c:pt>
                <c:pt idx="78">
                  <c:v>0.95618276415958947</c:v>
                </c:pt>
                <c:pt idx="79">
                  <c:v>0.95880926085394125</c:v>
                </c:pt>
                <c:pt idx="80">
                  <c:v>0.96109548333865735</c:v>
                </c:pt>
                <c:pt idx="81">
                  <c:v>0.96308244047890024</c:v>
                </c:pt>
                <c:pt idx="82">
                  <c:v>0.96480693924606931</c:v>
                </c:pt>
                <c:pt idx="83">
                  <c:v>0.96630190502364199</c:v>
                </c:pt>
                <c:pt idx="84">
                  <c:v>0.96759670452541435</c:v>
                </c:pt>
                <c:pt idx="85">
                  <c:v>0.9687174644223574</c:v>
                </c:pt>
                <c:pt idx="86">
                  <c:v>0.96968738044973268</c:v>
                </c:pt>
                <c:pt idx="87">
                  <c:v>0.97052701318267587</c:v>
                </c:pt>
                <c:pt idx="88">
                  <c:v>0.97125456784633379</c:v>
                </c:pt>
                <c:pt idx="89">
                  <c:v>0.97188615648925047</c:v>
                </c:pt>
                <c:pt idx="90">
                  <c:v>0.97243604162081776</c:v>
                </c:pt>
                <c:pt idx="91">
                  <c:v>0.97291686102006059</c:v>
                </c:pt>
                <c:pt idx="92">
                  <c:v>0.97333983388769008</c:v>
                </c:pt>
                <c:pt idx="93">
                  <c:v>0.97371494885853638</c:v>
                </c:pt>
                <c:pt idx="94">
                  <c:v>0.97405113463751025</c:v>
                </c:pt>
                <c:pt idx="95">
                  <c:v>0.97435641418732211</c:v>
                </c:pt>
                <c:pt idx="96">
                  <c:v>0.97463804349630645</c:v>
                </c:pt>
                <c:pt idx="97">
                  <c:v>0.97490263600366334</c:v>
                </c:pt>
                <c:pt idx="98">
                  <c:v>0.97515627376903635</c:v>
                </c:pt>
                <c:pt idx="99">
                  <c:v>0.97540460645350413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BD-784A-8E0B-E1CD04AAF025}"/>
            </c:ext>
          </c:extLst>
        </c:ser>
        <c:ser>
          <c:idx val="4"/>
          <c:order val="3"/>
          <c:tx>
            <c:strRef>
              <c:f>'Uncertain Vol.'!$R$1</c:f>
              <c:strCache>
                <c:ptCount val="1"/>
                <c:pt idx="0">
                  <c:v>Const Vol-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Vol.'!$R$2:$R$101</c:f>
              <c:numCache>
                <c:formatCode>0.0000</c:formatCode>
                <c:ptCount val="100"/>
                <c:pt idx="0">
                  <c:v>0</c:v>
                </c:pt>
                <c:pt idx="1">
                  <c:v>9.8333276650028909E-42</c:v>
                </c:pt>
                <c:pt idx="2">
                  <c:v>2.1246789974367519E-38</c:v>
                </c:pt>
                <c:pt idx="3">
                  <c:v>1.5324398589953763E-35</c:v>
                </c:pt>
                <c:pt idx="4">
                  <c:v>5.4325735835289068E-33</c:v>
                </c:pt>
                <c:pt idx="5">
                  <c:v>1.1271049325852272E-30</c:v>
                </c:pt>
                <c:pt idx="6">
                  <c:v>1.5145152638345574E-28</c:v>
                </c:pt>
                <c:pt idx="7">
                  <c:v>1.408908158962121E-26</c:v>
                </c:pt>
                <c:pt idx="8">
                  <c:v>9.5137370760019889E-25</c:v>
                </c:pt>
                <c:pt idx="9">
                  <c:v>4.8314182914656649E-23</c:v>
                </c:pt>
                <c:pt idx="10">
                  <c:v>1.8969000184893488E-21</c:v>
                </c:pt>
                <c:pt idx="11">
                  <c:v>5.8869908796606814E-20</c:v>
                </c:pt>
                <c:pt idx="12">
                  <c:v>1.4708165039226892E-18</c:v>
                </c:pt>
                <c:pt idx="13">
                  <c:v>3.0041581187741855E-17</c:v>
                </c:pt>
                <c:pt idx="14">
                  <c:v>5.083015920614388E-16</c:v>
                </c:pt>
                <c:pt idx="15">
                  <c:v>7.2071218672916961E-15</c:v>
                </c:pt>
                <c:pt idx="16">
                  <c:v>8.6513817452525631E-14</c:v>
                </c:pt>
                <c:pt idx="17">
                  <c:v>8.8734022056785264E-13</c:v>
                </c:pt>
                <c:pt idx="18">
                  <c:v>7.841946130475175E-12</c:v>
                </c:pt>
                <c:pt idx="19">
                  <c:v>6.0180686629940482E-11</c:v>
                </c:pt>
                <c:pt idx="20">
                  <c:v>4.0396142958558704E-10</c:v>
                </c:pt>
                <c:pt idx="21">
                  <c:v>2.3880602475648454E-9</c:v>
                </c:pt>
                <c:pt idx="22">
                  <c:v>1.251421006950886E-8</c:v>
                </c:pt>
                <c:pt idx="23">
                  <c:v>5.8496100111616994E-8</c:v>
                </c:pt>
                <c:pt idx="24">
                  <c:v>2.453741787817257E-7</c:v>
                </c:pt>
                <c:pt idx="25">
                  <c:v>9.2904221520028428E-7</c:v>
                </c:pt>
                <c:pt idx="26">
                  <c:v>3.192959088179189E-6</c:v>
                </c:pt>
                <c:pt idx="27">
                  <c:v>1.0015516625744881E-5</c:v>
                </c:pt>
                <c:pt idx="28">
                  <c:v>2.8825111675702651E-5</c:v>
                </c:pt>
                <c:pt idx="29">
                  <c:v>7.6507706762930655E-5</c:v>
                </c:pt>
                <c:pt idx="30">
                  <c:v>1.8819823694429458E-4</c:v>
                </c:pt>
                <c:pt idx="31">
                  <c:v>4.3108144960674164E-4</c:v>
                </c:pt>
                <c:pt idx="32">
                  <c:v>9.2365192790442089E-4</c:v>
                </c:pt>
                <c:pt idx="33">
                  <c:v>1.8592870663584856E-3</c:v>
                </c:pt>
                <c:pt idx="34">
                  <c:v>3.5307580563708322E-3</c:v>
                </c:pt>
                <c:pt idx="35">
                  <c:v>6.3500471990295066E-3</c:v>
                </c:pt>
                <c:pt idx="36">
                  <c:v>1.0856446367080323E-2</c:v>
                </c:pt>
                <c:pt idx="37">
                  <c:v>1.7706226175402726E-2</c:v>
                </c:pt>
                <c:pt idx="38">
                  <c:v>2.7639590031120615E-2</c:v>
                </c:pt>
                <c:pt idx="39">
                  <c:v>4.1424858482587229E-2</c:v>
                </c:pt>
                <c:pt idx="40">
                  <c:v>5.9784879428052128E-2</c:v>
                </c:pt>
                <c:pt idx="41">
                  <c:v>8.3315166498488816E-2</c:v>
                </c:pt>
                <c:pt idx="42">
                  <c:v>0.11240596079555043</c:v>
                </c:pt>
                <c:pt idx="43">
                  <c:v>0.14718053537649087</c:v>
                </c:pt>
                <c:pt idx="44">
                  <c:v>0.18745959665277701</c:v>
                </c:pt>
                <c:pt idx="45">
                  <c:v>0.23275724858709471</c:v>
                </c:pt>
                <c:pt idx="46">
                  <c:v>0.28230876832116253</c:v>
                </c:pt>
                <c:pt idx="47">
                  <c:v>0.33512556677257627</c:v>
                </c:pt>
                <c:pt idx="48">
                  <c:v>0.39006910978967979</c:v>
                </c:pt>
                <c:pt idx="49">
                  <c:v>0.44593376502940391</c:v>
                </c:pt>
                <c:pt idx="50">
                  <c:v>0.5015285650430773</c:v>
                </c:pt>
                <c:pt idx="51">
                  <c:v>0.55574941093105479</c:v>
                </c:pt>
                <c:pt idx="52">
                  <c:v>0.60763573638663837</c:v>
                </c:pt>
                <c:pt idx="53">
                  <c:v>0.65640850821905172</c:v>
                </c:pt>
                <c:pt idx="54">
                  <c:v>0.70148913479160235</c:v>
                </c:pt>
                <c:pt idx="55">
                  <c:v>0.74250102400598983</c:v>
                </c:pt>
                <c:pt idx="56">
                  <c:v>0.77925699400451787</c:v>
                </c:pt>
                <c:pt idx="57">
                  <c:v>0.81173647045117925</c:v>
                </c:pt>
                <c:pt idx="58">
                  <c:v>0.84005649919718806</c:v>
                </c:pt>
                <c:pt idx="59">
                  <c:v>0.86444022333162129</c:v>
                </c:pt>
                <c:pt idx="60">
                  <c:v>0.88518579971034217</c:v>
                </c:pt>
                <c:pt idx="61">
                  <c:v>0.90263792821495514</c:v>
                </c:pt>
                <c:pt idx="62">
                  <c:v>0.91716336881723348</c:v>
                </c:pt>
                <c:pt idx="63">
                  <c:v>0.92913111647347579</c:v>
                </c:pt>
                <c:pt idx="64">
                  <c:v>0.93889734093035593</c:v>
                </c:pt>
                <c:pt idx="65">
                  <c:v>0.94679479338202444</c:v>
                </c:pt>
                <c:pt idx="66">
                  <c:v>0.95312612645721095</c:v>
                </c:pt>
                <c:pt idx="67">
                  <c:v>0.95816044570960557</c:v>
                </c:pt>
                <c:pt idx="68">
                  <c:v>0.962132380635358</c:v>
                </c:pt>
                <c:pt idx="69">
                  <c:v>0.96524300162118915</c:v>
                </c:pt>
                <c:pt idx="70">
                  <c:v>0.96766198961156136</c:v>
                </c:pt>
                <c:pt idx="71">
                  <c:v>0.96953056617283795</c:v>
                </c:pt>
                <c:pt idx="72">
                  <c:v>0.97096479711012207</c:v>
                </c:pt>
                <c:pt idx="73">
                  <c:v>0.97205898219468623</c:v>
                </c:pt>
                <c:pt idx="74">
                  <c:v>0.9728889306497196</c:v>
                </c:pt>
                <c:pt idx="75">
                  <c:v>0.97351499399391939</c:v>
                </c:pt>
                <c:pt idx="76">
                  <c:v>0.97398478423851376</c:v>
                </c:pt>
                <c:pt idx="77">
                  <c:v>0.97433554738940809</c:v>
                </c:pt>
                <c:pt idx="78">
                  <c:v>0.9745961916770739</c:v>
                </c:pt>
                <c:pt idx="79">
                  <c:v>0.97478898920869983</c:v>
                </c:pt>
                <c:pt idx="80">
                  <c:v>0.97493098108756615</c:v>
                </c:pt>
                <c:pt idx="81">
                  <c:v>0.97503512153912097</c:v>
                </c:pt>
                <c:pt idx="82">
                  <c:v>0.97511119797412971</c:v>
                </c:pt>
                <c:pt idx="83">
                  <c:v>0.97516656261524703</c:v>
                </c:pt>
                <c:pt idx="84">
                  <c:v>0.97520670839378476</c:v>
                </c:pt>
                <c:pt idx="85">
                  <c:v>0.9752357180773531</c:v>
                </c:pt>
                <c:pt idx="86">
                  <c:v>0.97525661156465282</c:v>
                </c:pt>
                <c:pt idx="87">
                  <c:v>0.97527161233930559</c:v>
                </c:pt>
                <c:pt idx="88">
                  <c:v>0.97528235042538669</c:v>
                </c:pt>
                <c:pt idx="89">
                  <c:v>0.97529001594532871</c:v>
                </c:pt>
                <c:pt idx="90">
                  <c:v>0.97529547458740795</c:v>
                </c:pt>
                <c:pt idx="91">
                  <c:v>0.97529935394066525</c:v>
                </c:pt>
                <c:pt idx="92">
                  <c:v>0.97530210771822046</c:v>
                </c:pt>
                <c:pt idx="93">
                  <c:v>0.97530406331970532</c:v>
                </c:pt>
                <c:pt idx="94">
                  <c:v>0.97530545692892701</c:v>
                </c:pt>
                <c:pt idx="95">
                  <c:v>0.97530645935317217</c:v>
                </c:pt>
                <c:pt idx="96">
                  <c:v>0.97530719503871965</c:v>
                </c:pt>
                <c:pt idx="97">
                  <c:v>0.97530775610143772</c:v>
                </c:pt>
                <c:pt idx="98">
                  <c:v>0.97530821275599466</c:v>
                </c:pt>
                <c:pt idx="99">
                  <c:v>0.97530862118227968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BD-784A-8E0B-E1CD04AAF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850736"/>
        <c:axId val="-1002625920"/>
      </c:scatterChart>
      <c:valAx>
        <c:axId val="-9708507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002625920"/>
        <c:crosses val="autoZero"/>
        <c:crossBetween val="midCat"/>
      </c:valAx>
      <c:valAx>
        <c:axId val="-1002625920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0850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28021432554105"/>
          <c:y val="0.42881354116449699"/>
          <c:w val="0.10858319394013601"/>
          <c:h val="0.144067884371596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/>
  <sheetViews>
    <sheetView workbookViewId="0"/>
  </sheetViews>
  <pageMargins left="0.75" right="0.75" top="1" bottom="1" header="0.5" footer="0.5"/>
  <pageSetup paperSize="9" orientation="landscape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tif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91440</xdr:colOff>
      <xdr:row>1</xdr:row>
      <xdr:rowOff>37465</xdr:rowOff>
    </xdr:from>
    <xdr:to>
      <xdr:col>15</xdr:col>
      <xdr:colOff>51435</xdr:colOff>
      <xdr:row>23</xdr:row>
      <xdr:rowOff>27940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102871</xdr:colOff>
      <xdr:row>24</xdr:row>
      <xdr:rowOff>12701</xdr:rowOff>
    </xdr:from>
    <xdr:to>
      <xdr:col>15</xdr:col>
      <xdr:colOff>40641</xdr:colOff>
      <xdr:row>44</xdr:row>
      <xdr:rowOff>20321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477520</xdr:colOff>
      <xdr:row>18</xdr:row>
      <xdr:rowOff>132080</xdr:rowOff>
    </xdr:from>
    <xdr:to>
      <xdr:col>18</xdr:col>
      <xdr:colOff>568960</xdr:colOff>
      <xdr:row>28</xdr:row>
      <xdr:rowOff>152017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095720" y="3459480"/>
          <a:ext cx="2110740" cy="1670937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0.14066</cdr:x>
      <cdr:y>0.11934</cdr:y>
    </cdr:from>
    <cdr:to>
      <cdr:x>0.35759</cdr:x>
      <cdr:y>0.19923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43280" y="470535"/>
          <a:ext cx="1300480" cy="3149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 i="1"/>
            <a:t>CDF</a:t>
          </a:r>
          <a:r>
            <a:rPr lang="en-US" sz="1200" i="1" baseline="0"/>
            <a:t> function, N(d1)</a:t>
          </a:r>
          <a:endParaRPr lang="en-US" sz="1200" i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0.55487</cdr:x>
      <cdr:y>0.12044</cdr:y>
    </cdr:from>
    <cdr:to>
      <cdr:x>0.87198</cdr:x>
      <cdr:y>0.21617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393440" y="396240"/>
          <a:ext cx="1939290" cy="3149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PDF-like </a:t>
          </a:r>
          <a:r>
            <a:rPr lang="en-US" sz="1200" i="1" baseline="0"/>
            <a:t>function, N'(d1)/...</a:t>
          </a:r>
          <a:endParaRPr lang="en-US" sz="1200" i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558800</xdr:colOff>
      <xdr:row>15</xdr:row>
      <xdr:rowOff>81280</xdr:rowOff>
    </xdr:from>
    <xdr:to>
      <xdr:col>17</xdr:col>
      <xdr:colOff>529363</xdr:colOff>
      <xdr:row>33</xdr:row>
      <xdr:rowOff>26915</xdr:rowOff>
    </xdr:to>
    <xdr:graphicFrame macro="">
      <xdr:nvGraphicFramePr>
        <xdr:cNvPr id="2" name="Chart 1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143016</xdr:colOff>
      <xdr:row>15</xdr:row>
      <xdr:rowOff>37912</xdr:rowOff>
    </xdr:from>
    <xdr:to>
      <xdr:col>14</xdr:col>
      <xdr:colOff>587611</xdr:colOff>
      <xdr:row>33</xdr:row>
      <xdr:rowOff>9478</xdr:rowOff>
    </xdr:to>
    <xdr:graphicFrame macro="">
      <xdr:nvGraphicFramePr>
        <xdr:cNvPr id="5177" name="Chart 12">
          <a:extLst>
            <a:ext uri="{FF2B5EF4-FFF2-40B4-BE49-F238E27FC236}">
              <a16:creationId xmlns:a16="http://schemas.microsoft.com/office/drawing/2014/main" id="{00000000-0008-0000-0200-000039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6</xdr:row>
          <xdr:rowOff>63500</xdr:rowOff>
        </xdr:from>
        <xdr:to>
          <xdr:col>8</xdr:col>
          <xdr:colOff>355600</xdr:colOff>
          <xdr:row>8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Resimulate</a:t>
              </a:r>
            </a:p>
          </xdr:txBody>
        </xdr:sp>
        <xdr:clientData/>
      </xdr:twoCellAnchor>
    </mc:Choice>
    <mc:Fallback/>
  </mc:AlternateContent>
  <xdr:twoCellAnchor>
    <xdr:from>
      <xdr:col>16</xdr:col>
      <xdr:colOff>66344</xdr:colOff>
      <xdr:row>15</xdr:row>
      <xdr:rowOff>37910</xdr:rowOff>
    </xdr:from>
    <xdr:to>
      <xdr:col>23</xdr:col>
      <xdr:colOff>93925</xdr:colOff>
      <xdr:row>33</xdr:row>
      <xdr:rowOff>9476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644478</xdr:colOff>
      <xdr:row>15</xdr:row>
      <xdr:rowOff>18957</xdr:rowOff>
    </xdr:from>
    <xdr:to>
      <xdr:col>32</xdr:col>
      <xdr:colOff>27580</xdr:colOff>
      <xdr:row>32</xdr:row>
      <xdr:rowOff>151642</xdr:rowOff>
    </xdr:to>
    <xdr:graphicFrame macro="">
      <xdr:nvGraphicFramePr>
        <xdr:cNvPr id="6" name="Chart 1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32</xdr:col>
      <xdr:colOff>312759</xdr:colOff>
      <xdr:row>2</xdr:row>
      <xdr:rowOff>85298</xdr:rowOff>
    </xdr:from>
    <xdr:to>
      <xdr:col>39</xdr:col>
      <xdr:colOff>510273</xdr:colOff>
      <xdr:row>9</xdr:row>
      <xdr:rowOff>351011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997311" y="407537"/>
          <a:ext cx="4907887" cy="1450414"/>
        </a:xfrm>
        <a:prstGeom prst="rect">
          <a:avLst/>
        </a:prstGeom>
      </xdr:spPr>
    </xdr:pic>
    <xdr:clientData/>
  </xdr:twoCellAnchor>
  <xdr:twoCellAnchor editAs="oneCell">
    <xdr:from>
      <xdr:col>16</xdr:col>
      <xdr:colOff>464402</xdr:colOff>
      <xdr:row>4</xdr:row>
      <xdr:rowOff>113730</xdr:rowOff>
    </xdr:from>
    <xdr:to>
      <xdr:col>20</xdr:col>
      <xdr:colOff>360337</xdr:colOff>
      <xdr:row>7</xdr:row>
      <xdr:rowOff>154120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785298" y="758208"/>
          <a:ext cx="3080412" cy="5427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11</xdr:row>
      <xdr:rowOff>47625</xdr:rowOff>
    </xdr:from>
    <xdr:to>
      <xdr:col>8</xdr:col>
      <xdr:colOff>400050</xdr:colOff>
      <xdr:row>35</xdr:row>
      <xdr:rowOff>76200</xdr:rowOff>
    </xdr:to>
    <xdr:graphicFrame macro="">
      <xdr:nvGraphicFramePr>
        <xdr:cNvPr id="1067" name="Chart 6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01150" cy="55911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113"/>
  <sheetViews>
    <sheetView zoomScale="125" zoomScaleNormal="125" zoomScalePageLayoutView="125" workbookViewId="0">
      <selection activeCell="C14" sqref="C14"/>
    </sheetView>
  </sheetViews>
  <sheetFormatPr baseColWidth="10" defaultColWidth="8.83203125" defaultRowHeight="13"/>
  <cols>
    <col min="1" max="1" width="8.83203125" style="7"/>
    <col min="2" max="2" width="10.6640625" style="7" customWidth="1"/>
    <col min="3" max="6" width="12.5" style="7" bestFit="1" customWidth="1"/>
    <col min="7" max="16384" width="8.83203125" style="7"/>
  </cols>
  <sheetData>
    <row r="2" spans="1:12">
      <c r="B2" s="27" t="s">
        <v>4</v>
      </c>
      <c r="C2" s="28">
        <v>50</v>
      </c>
    </row>
    <row r="3" spans="1:12">
      <c r="B3" s="27" t="s">
        <v>46</v>
      </c>
      <c r="C3" s="44">
        <v>1.4999999999999999E-2</v>
      </c>
    </row>
    <row r="4" spans="1:12">
      <c r="B4" s="27" t="s">
        <v>7</v>
      </c>
      <c r="C4" s="29">
        <v>1</v>
      </c>
    </row>
    <row r="5" spans="1:12">
      <c r="B5" s="27"/>
      <c r="C5" s="39"/>
    </row>
    <row r="6" spans="1:12" ht="16" customHeight="1">
      <c r="B6" s="63" t="s">
        <v>60</v>
      </c>
      <c r="C6" s="63"/>
      <c r="D6" s="63"/>
      <c r="E6" s="63"/>
      <c r="F6" s="63"/>
    </row>
    <row r="7" spans="1:12" ht="16" customHeight="1">
      <c r="B7" s="63"/>
      <c r="C7" s="63"/>
      <c r="D7" s="63"/>
      <c r="E7" s="63"/>
      <c r="F7" s="63"/>
    </row>
    <row r="9" spans="1:12">
      <c r="B9" s="36" t="s">
        <v>56</v>
      </c>
      <c r="C9" s="35"/>
      <c r="D9" s="35"/>
      <c r="E9" s="35"/>
      <c r="F9" s="35"/>
    </row>
    <row r="10" spans="1:12">
      <c r="B10" s="36" t="s">
        <v>57</v>
      </c>
    </row>
    <row r="12" spans="1:12">
      <c r="B12" s="11" t="s">
        <v>58</v>
      </c>
      <c r="C12" s="38">
        <v>0.2</v>
      </c>
      <c r="D12" s="38">
        <v>0.3</v>
      </c>
      <c r="E12" s="37">
        <f>BS_IVLow</f>
        <v>0.2</v>
      </c>
      <c r="F12" s="37">
        <f>BS_IVHigh</f>
        <v>0.3</v>
      </c>
    </row>
    <row r="13" spans="1:12">
      <c r="A13" s="8"/>
      <c r="B13" s="8" t="s">
        <v>23</v>
      </c>
      <c r="C13" s="8" t="s">
        <v>20</v>
      </c>
      <c r="D13" s="8" t="s">
        <v>24</v>
      </c>
      <c r="E13" s="8" t="s">
        <v>25</v>
      </c>
      <c r="F13" s="8" t="s">
        <v>26</v>
      </c>
      <c r="G13" s="8"/>
      <c r="H13" s="8"/>
      <c r="I13" s="8"/>
      <c r="J13" s="8"/>
      <c r="K13" s="8"/>
      <c r="L13" s="8"/>
    </row>
    <row r="14" spans="1:12" ht="14" customHeight="1">
      <c r="A14" s="8"/>
      <c r="B14" s="8">
        <v>1</v>
      </c>
      <c r="C14" s="8">
        <f t="shared" ref="C14:C45" si="0">CallDelta(B14,BS_IVLow,0,BS_r,BS_K,BS_T)</f>
        <v>0</v>
      </c>
      <c r="D14" s="8">
        <f t="shared" ref="D14:D45" si="1">CallDelta(B14,BS_IVHigh,0,BS_r,BS_K,BS_T)</f>
        <v>0</v>
      </c>
      <c r="E14" s="8">
        <f t="shared" ref="E14:E45" si="2">CallGamma(B14,BS_IVLow,0,BS_r,BS_K,BS_T)</f>
        <v>5.0084911673274488E-82</v>
      </c>
      <c r="F14" s="8">
        <f t="shared" ref="F14:F45" si="3">CallGamma(B14,BS_IVHigh,0,BS_r,BS_K,BS_T)</f>
        <v>2.1049947902087335E-36</v>
      </c>
      <c r="G14" s="8"/>
      <c r="H14" s="8"/>
      <c r="I14" s="8"/>
      <c r="J14" s="8"/>
      <c r="K14" s="8"/>
      <c r="L14" s="8"/>
    </row>
    <row r="15" spans="1:12">
      <c r="A15" s="8"/>
      <c r="B15" s="8">
        <v>2</v>
      </c>
      <c r="C15" s="8">
        <f t="shared" si="0"/>
        <v>0</v>
      </c>
      <c r="D15" s="8">
        <f t="shared" si="1"/>
        <v>0</v>
      </c>
      <c r="E15" s="8">
        <f t="shared" si="2"/>
        <v>9.2887274480900552E-56</v>
      </c>
      <c r="F15" s="8">
        <f t="shared" si="3"/>
        <v>5.5868905792686009E-25</v>
      </c>
      <c r="G15" s="8"/>
      <c r="H15" s="8"/>
      <c r="I15" s="8"/>
      <c r="J15" s="8"/>
      <c r="K15" s="8"/>
      <c r="L15" s="8"/>
    </row>
    <row r="16" spans="1:12">
      <c r="A16" s="8"/>
      <c r="B16" s="8">
        <v>3</v>
      </c>
      <c r="C16" s="8">
        <f t="shared" si="0"/>
        <v>0</v>
      </c>
      <c r="D16" s="8">
        <f t="shared" si="1"/>
        <v>0</v>
      </c>
      <c r="E16" s="8">
        <f t="shared" si="2"/>
        <v>8.2356287383920902E-43</v>
      </c>
      <c r="F16" s="8">
        <f t="shared" si="3"/>
        <v>2.2645337680339111E-19</v>
      </c>
      <c r="G16" s="8"/>
      <c r="H16" s="8"/>
      <c r="I16" s="8"/>
      <c r="J16" s="8"/>
      <c r="K16" s="8"/>
      <c r="L16" s="8"/>
    </row>
    <row r="17" spans="1:12">
      <c r="A17" s="8"/>
      <c r="B17" s="8">
        <v>4</v>
      </c>
      <c r="C17" s="8">
        <f t="shared" si="0"/>
        <v>0</v>
      </c>
      <c r="D17" s="8">
        <f t="shared" si="1"/>
        <v>1.1102230246251565E-16</v>
      </c>
      <c r="E17" s="8">
        <f t="shared" si="2"/>
        <v>1.0465336777613854E-34</v>
      </c>
      <c r="F17" s="8">
        <f t="shared" si="3"/>
        <v>7.1230509888636144E-16</v>
      </c>
      <c r="G17" s="8"/>
      <c r="H17" s="8"/>
      <c r="I17" s="8"/>
      <c r="J17" s="8"/>
      <c r="K17" s="8"/>
      <c r="L17" s="8"/>
    </row>
    <row r="18" spans="1:12">
      <c r="A18" s="8"/>
      <c r="B18" s="8">
        <v>5</v>
      </c>
      <c r="C18" s="8">
        <f t="shared" si="0"/>
        <v>0</v>
      </c>
      <c r="D18" s="8">
        <f t="shared" si="1"/>
        <v>3.8857805861880479E-14</v>
      </c>
      <c r="E18" s="8">
        <f t="shared" si="2"/>
        <v>4.8634703532361778E-29</v>
      </c>
      <c r="F18" s="8">
        <f t="shared" si="3"/>
        <v>1.9528108615958928E-13</v>
      </c>
      <c r="G18" s="8"/>
      <c r="H18" s="8"/>
      <c r="I18" s="8"/>
      <c r="J18" s="8"/>
      <c r="K18" s="8"/>
      <c r="L18" s="8"/>
    </row>
    <row r="19" spans="1:12">
      <c r="A19" s="8"/>
      <c r="B19" s="8">
        <v>6</v>
      </c>
      <c r="C19" s="8">
        <f t="shared" si="0"/>
        <v>0</v>
      </c>
      <c r="D19" s="8">
        <f t="shared" si="1"/>
        <v>3.2855940190756883E-12</v>
      </c>
      <c r="E19" s="8">
        <f t="shared" si="2"/>
        <v>8.2426100780573973E-25</v>
      </c>
      <c r="F19" s="8">
        <f t="shared" si="3"/>
        <v>1.2714053216316235E-11</v>
      </c>
      <c r="G19" s="8"/>
      <c r="H19" s="8"/>
      <c r="I19" s="8"/>
      <c r="J19" s="8"/>
      <c r="K19" s="8"/>
      <c r="L19" s="8"/>
    </row>
    <row r="20" spans="1:12">
      <c r="A20" s="8"/>
      <c r="B20" s="8">
        <v>7</v>
      </c>
      <c r="C20" s="8">
        <f t="shared" si="0"/>
        <v>0</v>
      </c>
      <c r="D20" s="8">
        <f t="shared" si="1"/>
        <v>1.055658893633904E-10</v>
      </c>
      <c r="E20" s="8">
        <f t="shared" si="2"/>
        <v>1.6224143689431844E-21</v>
      </c>
      <c r="F20" s="8">
        <f t="shared" si="3"/>
        <v>3.2549037989507448E-10</v>
      </c>
      <c r="G20" s="8"/>
      <c r="H20" s="8"/>
      <c r="I20" s="8"/>
      <c r="J20" s="8"/>
      <c r="K20" s="8"/>
      <c r="L20" s="8"/>
    </row>
    <row r="21" spans="1:12">
      <c r="A21" s="8"/>
      <c r="B21" s="8">
        <v>8</v>
      </c>
      <c r="C21" s="8">
        <f t="shared" si="0"/>
        <v>0</v>
      </c>
      <c r="D21" s="8">
        <f t="shared" si="1"/>
        <v>1.7308836586238385E-9</v>
      </c>
      <c r="E21" s="8">
        <f t="shared" si="2"/>
        <v>7.1630482801383905E-19</v>
      </c>
      <c r="F21" s="8">
        <f t="shared" si="3"/>
        <v>4.3625326244918549E-9</v>
      </c>
      <c r="G21" s="8"/>
      <c r="H21" s="8"/>
      <c r="I21" s="8"/>
      <c r="J21" s="8"/>
      <c r="K21" s="8"/>
      <c r="L21" s="8"/>
    </row>
    <row r="22" spans="1:12">
      <c r="A22" s="8"/>
      <c r="B22" s="8">
        <v>9</v>
      </c>
      <c r="C22" s="8">
        <f t="shared" si="0"/>
        <v>0</v>
      </c>
      <c r="D22" s="8">
        <f t="shared" si="1"/>
        <v>1.7383955719374455E-8</v>
      </c>
      <c r="E22" s="8">
        <f t="shared" si="2"/>
        <v>1.065135275746814E-16</v>
      </c>
      <c r="F22" s="8">
        <f t="shared" si="3"/>
        <v>3.6524250652014322E-8</v>
      </c>
      <c r="G22" s="8"/>
      <c r="H22" s="8"/>
      <c r="I22" s="8"/>
      <c r="J22" s="8"/>
      <c r="K22" s="8"/>
      <c r="L22" s="8"/>
    </row>
    <row r="23" spans="1:12">
      <c r="A23" s="8"/>
      <c r="B23" s="8">
        <v>10</v>
      </c>
      <c r="C23" s="8">
        <f t="shared" si="0"/>
        <v>1.7763568394002505E-15</v>
      </c>
      <c r="D23" s="8">
        <f t="shared" si="1"/>
        <v>1.2057497056350286E-7</v>
      </c>
      <c r="E23" s="8">
        <f t="shared" si="2"/>
        <v>6.965758049653437E-15</v>
      </c>
      <c r="F23" s="8">
        <f t="shared" si="3"/>
        <v>2.1447033771891672E-7</v>
      </c>
      <c r="G23" s="8"/>
      <c r="H23" s="8"/>
      <c r="I23" s="8"/>
      <c r="J23" s="8"/>
      <c r="K23" s="8"/>
      <c r="L23" s="8"/>
    </row>
    <row r="24" spans="1:12">
      <c r="A24" s="8"/>
      <c r="B24" s="8">
        <v>11</v>
      </c>
      <c r="C24" s="8">
        <f t="shared" si="0"/>
        <v>7.0943251273547503E-14</v>
      </c>
      <c r="D24" s="8">
        <f t="shared" si="1"/>
        <v>6.2727009886298646E-7</v>
      </c>
      <c r="E24" s="8">
        <f t="shared" si="2"/>
        <v>2.4072251785235818E-13</v>
      </c>
      <c r="F24" s="8">
        <f t="shared" si="3"/>
        <v>9.564727246342566E-7</v>
      </c>
      <c r="G24" s="8"/>
      <c r="H24" s="8"/>
      <c r="I24" s="8"/>
      <c r="J24" s="8"/>
      <c r="K24" s="8"/>
      <c r="L24" s="8"/>
    </row>
    <row r="25" spans="1:12">
      <c r="A25" s="8"/>
      <c r="B25" s="8">
        <v>12</v>
      </c>
      <c r="C25" s="8">
        <f t="shared" si="0"/>
        <v>1.7051915435217779E-12</v>
      </c>
      <c r="D25" s="8">
        <f t="shared" si="1"/>
        <v>2.5963548941909664E-6</v>
      </c>
      <c r="E25" s="8">
        <f t="shared" si="2"/>
        <v>5.0116465228976473E-12</v>
      </c>
      <c r="F25" s="8">
        <f t="shared" si="3"/>
        <v>3.4289882409020124E-6</v>
      </c>
      <c r="G25" s="8"/>
      <c r="H25" s="8"/>
      <c r="I25" s="8"/>
      <c r="J25" s="8"/>
      <c r="K25" s="8"/>
      <c r="L25" s="8"/>
    </row>
    <row r="26" spans="1:12">
      <c r="A26" s="8"/>
      <c r="B26" s="8">
        <v>13</v>
      </c>
      <c r="C26" s="8">
        <f t="shared" si="0"/>
        <v>2.6974533717805116E-11</v>
      </c>
      <c r="D26" s="8">
        <f t="shared" si="1"/>
        <v>8.9300945940173904E-6</v>
      </c>
      <c r="E26" s="8">
        <f t="shared" si="2"/>
        <v>6.9224540075018397E-11</v>
      </c>
      <c r="F26" s="8">
        <f t="shared" si="3"/>
        <v>1.0303589030426439E-5</v>
      </c>
      <c r="G26" s="8"/>
      <c r="H26" s="8"/>
      <c r="I26" s="8"/>
      <c r="J26" s="8"/>
      <c r="K26" s="8"/>
      <c r="L26" s="8"/>
    </row>
    <row r="27" spans="1:12">
      <c r="A27" s="8"/>
      <c r="B27" s="8">
        <v>14</v>
      </c>
      <c r="C27" s="8">
        <f t="shared" si="0"/>
        <v>3.023733485818525E-10</v>
      </c>
      <c r="D27" s="8">
        <f t="shared" si="1"/>
        <v>2.6374325522215969E-5</v>
      </c>
      <c r="E27" s="8">
        <f t="shared" si="2"/>
        <v>6.8230412732342997E-10</v>
      </c>
      <c r="F27" s="8">
        <f t="shared" si="3"/>
        <v>2.6780603969057632E-5</v>
      </c>
      <c r="G27" s="8"/>
      <c r="H27" s="8"/>
      <c r="I27" s="8"/>
      <c r="J27" s="8"/>
      <c r="K27" s="8"/>
      <c r="L27" s="8"/>
    </row>
    <row r="28" spans="1:12">
      <c r="A28" s="8"/>
      <c r="B28" s="8">
        <v>15</v>
      </c>
      <c r="C28" s="8">
        <f t="shared" si="0"/>
        <v>2.5430513250768172E-9</v>
      </c>
      <c r="D28" s="8">
        <f t="shared" si="1"/>
        <v>6.8601310663440884E-5</v>
      </c>
      <c r="E28" s="8">
        <f t="shared" si="2"/>
        <v>5.0758667977619702E-9</v>
      </c>
      <c r="F28" s="8">
        <f t="shared" si="3"/>
        <v>6.1687712630331936E-5</v>
      </c>
      <c r="G28" s="8"/>
      <c r="H28" s="8"/>
      <c r="I28" s="8"/>
      <c r="J28" s="8"/>
      <c r="K28" s="8"/>
      <c r="L28" s="8"/>
    </row>
    <row r="29" spans="1:12">
      <c r="A29" s="8"/>
      <c r="B29" s="8">
        <v>16</v>
      </c>
      <c r="C29" s="8">
        <f t="shared" si="0"/>
        <v>1.6783817557985969E-8</v>
      </c>
      <c r="D29" s="8">
        <f t="shared" si="1"/>
        <v>1.6030364910302186E-4</v>
      </c>
      <c r="E29" s="8">
        <f t="shared" si="2"/>
        <v>2.9784494191315159E-8</v>
      </c>
      <c r="F29" s="8">
        <f t="shared" si="3"/>
        <v>1.2834769380510469E-4</v>
      </c>
      <c r="G29" s="8"/>
      <c r="H29" s="8"/>
      <c r="I29" s="8"/>
      <c r="J29" s="8"/>
      <c r="K29" s="8"/>
      <c r="L29" s="8"/>
    </row>
    <row r="30" spans="1:12">
      <c r="A30" s="8"/>
      <c r="B30" s="8">
        <v>17</v>
      </c>
      <c r="C30" s="8">
        <f t="shared" si="0"/>
        <v>9.0096980542853089E-8</v>
      </c>
      <c r="D30" s="8">
        <f t="shared" si="1"/>
        <v>3.4190341720030659E-4</v>
      </c>
      <c r="E30" s="8">
        <f t="shared" si="2"/>
        <v>1.4278203918525825E-7</v>
      </c>
      <c r="F30" s="8">
        <f t="shared" si="3"/>
        <v>2.4489122351713965E-4</v>
      </c>
      <c r="G30" s="8"/>
      <c r="H30" s="8"/>
      <c r="I30" s="8"/>
      <c r="J30" s="8"/>
      <c r="K30" s="8"/>
      <c r="L30" s="8"/>
    </row>
    <row r="31" spans="1:12">
      <c r="A31" s="8"/>
      <c r="B31" s="8">
        <v>18</v>
      </c>
      <c r="C31" s="8">
        <f t="shared" si="0"/>
        <v>4.0494857611594881E-7</v>
      </c>
      <c r="D31" s="8">
        <f t="shared" si="1"/>
        <v>6.7419436582238923E-4</v>
      </c>
      <c r="E31" s="8">
        <f t="shared" si="2"/>
        <v>5.7529612809118231E-7</v>
      </c>
      <c r="F31" s="8">
        <f t="shared" si="3"/>
        <v>4.3378309359817633E-4</v>
      </c>
      <c r="G31" s="8"/>
      <c r="H31" s="8"/>
      <c r="I31" s="8"/>
      <c r="J31" s="8"/>
      <c r="K31" s="8"/>
      <c r="L31" s="8"/>
    </row>
    <row r="32" spans="1:12">
      <c r="A32" s="8"/>
      <c r="B32" s="8">
        <v>19</v>
      </c>
      <c r="C32" s="8">
        <f t="shared" si="0"/>
        <v>1.5605032926968576E-6</v>
      </c>
      <c r="D32" s="8">
        <f t="shared" si="1"/>
        <v>1.2420840787992216E-3</v>
      </c>
      <c r="E32" s="8">
        <f t="shared" si="2"/>
        <v>1.994032342016128E-6</v>
      </c>
      <c r="F32" s="8">
        <f t="shared" si="3"/>
        <v>7.2050046038419464E-4</v>
      </c>
      <c r="G32" s="8"/>
      <c r="H32" s="8"/>
      <c r="I32" s="8"/>
      <c r="J32" s="8"/>
      <c r="K32" s="8"/>
      <c r="L32" s="8"/>
    </row>
    <row r="33" spans="1:12">
      <c r="A33" s="8"/>
      <c r="B33" s="8">
        <v>20</v>
      </c>
      <c r="C33" s="8">
        <f t="shared" si="0"/>
        <v>5.2581535181506212E-6</v>
      </c>
      <c r="D33" s="8">
        <f t="shared" si="1"/>
        <v>2.156636855717653E-3</v>
      </c>
      <c r="E33" s="8">
        <f t="shared" si="2"/>
        <v>6.0609148017800238E-6</v>
      </c>
      <c r="F33" s="8">
        <f t="shared" si="3"/>
        <v>1.1314908243522483E-3</v>
      </c>
      <c r="G33" s="8"/>
      <c r="H33" s="8"/>
      <c r="I33" s="8"/>
      <c r="J33" s="8"/>
      <c r="K33" s="8"/>
      <c r="L33" s="8"/>
    </row>
    <row r="34" spans="1:12">
      <c r="A34" s="8"/>
      <c r="B34" s="8">
        <v>21</v>
      </c>
      <c r="C34" s="8">
        <f t="shared" si="0"/>
        <v>1.5748253469505258E-5</v>
      </c>
      <c r="D34" s="8">
        <f t="shared" si="1"/>
        <v>3.5548262182437673E-3</v>
      </c>
      <c r="E34" s="8">
        <f t="shared" si="2"/>
        <v>1.6416264277605462E-5</v>
      </c>
      <c r="F34" s="8">
        <f t="shared" si="3"/>
        <v>1.6916887749530585E-3</v>
      </c>
      <c r="G34" s="8"/>
      <c r="H34" s="8"/>
      <c r="I34" s="8"/>
      <c r="J34" s="8"/>
      <c r="K34" s="8"/>
      <c r="L34" s="8"/>
    </row>
    <row r="35" spans="1:12">
      <c r="B35" s="8">
        <v>22</v>
      </c>
      <c r="C35" s="8">
        <f t="shared" si="0"/>
        <v>4.2507888714959918E-5</v>
      </c>
      <c r="D35" s="8">
        <f t="shared" si="1"/>
        <v>5.5967309987204894E-3</v>
      </c>
      <c r="E35" s="8">
        <f t="shared" si="2"/>
        <v>4.0161131085423058E-5</v>
      </c>
      <c r="F35" s="8">
        <f t="shared" si="3"/>
        <v>2.4219491680991011E-3</v>
      </c>
    </row>
    <row r="36" spans="1:12">
      <c r="B36" s="8">
        <v>23</v>
      </c>
      <c r="C36" s="8">
        <f t="shared" si="0"/>
        <v>1.0462817930068091E-4</v>
      </c>
      <c r="D36" s="8">
        <f t="shared" si="1"/>
        <v>8.4602722786122353E-3</v>
      </c>
      <c r="E36" s="8">
        <f t="shared" si="2"/>
        <v>8.9765786773274479E-5</v>
      </c>
      <c r="F36" s="8">
        <f t="shared" si="3"/>
        <v>3.3367526919931144E-3</v>
      </c>
    </row>
    <row r="37" spans="1:12">
      <c r="B37" s="8">
        <v>24</v>
      </c>
      <c r="C37" s="8">
        <f t="shared" si="0"/>
        <v>2.3721246156616083E-4</v>
      </c>
      <c r="D37" s="8">
        <f t="shared" si="1"/>
        <v>1.2333915364678649E-2</v>
      </c>
      <c r="E37" s="8">
        <f t="shared" si="2"/>
        <v>1.8511592842770743E-4</v>
      </c>
      <c r="F37" s="8">
        <f t="shared" si="3"/>
        <v>4.4424721491793826E-3</v>
      </c>
    </row>
    <row r="38" spans="1:12">
      <c r="B38" s="8">
        <v>25</v>
      </c>
      <c r="C38" s="8">
        <f t="shared" si="0"/>
        <v>4.9968737837191579E-4</v>
      </c>
      <c r="D38" s="8">
        <f t="shared" si="1"/>
        <v>1.7407998105221423E-2</v>
      </c>
      <c r="E38" s="8">
        <f t="shared" si="2"/>
        <v>3.5519350655899962E-4</v>
      </c>
      <c r="F38" s="8">
        <f t="shared" si="3"/>
        <v>5.7363805399154337E-3</v>
      </c>
    </row>
    <row r="39" spans="1:12">
      <c r="B39" s="8">
        <v>26</v>
      </c>
      <c r="C39" s="8">
        <f t="shared" si="0"/>
        <v>9.8535318400039262E-4</v>
      </c>
      <c r="D39" s="8">
        <f t="shared" si="1"/>
        <v>2.3865468695874359E-2</v>
      </c>
      <c r="E39" s="8">
        <f t="shared" si="2"/>
        <v>6.3876636209564354E-4</v>
      </c>
      <c r="F39" s="8">
        <f t="shared" si="3"/>
        <v>7.2064633128603181E-3</v>
      </c>
    </row>
    <row r="40" spans="1:12">
      <c r="B40" s="8">
        <v>27</v>
      </c>
      <c r="C40" s="8">
        <f t="shared" si="0"/>
        <v>1.8308797953699996E-3</v>
      </c>
      <c r="D40" s="8">
        <f t="shared" si="1"/>
        <v>3.1872823267600991E-2</v>
      </c>
      <c r="E40" s="8">
        <f t="shared" si="2"/>
        <v>1.0835050388420489E-3</v>
      </c>
      <c r="F40" s="8">
        <f t="shared" si="3"/>
        <v>8.8319899349429618E-3</v>
      </c>
    </row>
    <row r="41" spans="1:12">
      <c r="B41" s="8">
        <v>28</v>
      </c>
      <c r="C41" s="8">
        <f t="shared" si="0"/>
        <v>3.223974833830523E-3</v>
      </c>
      <c r="D41" s="8">
        <f t="shared" si="1"/>
        <v>4.1571945509283559E-2</v>
      </c>
      <c r="E41" s="8">
        <f t="shared" si="2"/>
        <v>1.7431786325016383E-3</v>
      </c>
      <c r="F41" s="8">
        <f t="shared" si="3"/>
        <v>1.0584718789079526E-2</v>
      </c>
    </row>
    <row r="42" spans="1:12">
      <c r="B42" s="8">
        <v>29</v>
      </c>
      <c r="C42" s="8">
        <f t="shared" si="0"/>
        <v>5.4072817726963374E-3</v>
      </c>
      <c r="D42" s="8">
        <f t="shared" si="1"/>
        <v>5.307339710661052E-2</v>
      </c>
      <c r="E42" s="8">
        <f t="shared" si="2"/>
        <v>2.6729598579908567E-3</v>
      </c>
      <c r="F42" s="8">
        <f t="shared" si="3"/>
        <v>1.243056029836833E-2</v>
      </c>
    </row>
    <row r="43" spans="1:12">
      <c r="B43" s="8">
        <v>30</v>
      </c>
      <c r="C43" s="8">
        <f t="shared" si="0"/>
        <v>8.6768100215708355E-3</v>
      </c>
      <c r="D43" s="8">
        <f t="shared" si="1"/>
        <v>6.6451520980826517E-2</v>
      </c>
      <c r="E43" s="8">
        <f t="shared" si="2"/>
        <v>3.9232954716652219E-3</v>
      </c>
      <c r="F43" s="8">
        <f t="shared" si="3"/>
        <v>1.4331505149343865E-2</v>
      </c>
    </row>
    <row r="44" spans="1:12">
      <c r="B44" s="8">
        <v>31</v>
      </c>
      <c r="C44" s="8">
        <f t="shared" si="0"/>
        <v>1.3373844404928614E-2</v>
      </c>
      <c r="D44" s="8">
        <f t="shared" si="1"/>
        <v>8.1741527900126454E-2</v>
      </c>
      <c r="E44" s="8">
        <f t="shared" si="2"/>
        <v>5.533156513490017E-3</v>
      </c>
      <c r="F44" s="8">
        <f t="shared" si="3"/>
        <v>1.6247632122943275E-2</v>
      </c>
    </row>
    <row r="45" spans="1:12">
      <c r="B45" s="8">
        <v>32</v>
      </c>
      <c r="C45" s="8">
        <f t="shared" si="0"/>
        <v>1.9870211041530972E-2</v>
      </c>
      <c r="D45" s="8">
        <f t="shared" si="1"/>
        <v>9.8938563063660778E-2</v>
      </c>
      <c r="E45" s="8">
        <f t="shared" si="2"/>
        <v>7.5236790529149399E-3</v>
      </c>
      <c r="F45" s="8">
        <f t="shared" si="3"/>
        <v>1.8139035819036722E-2</v>
      </c>
    </row>
    <row r="46" spans="1:12">
      <c r="B46" s="8">
        <v>33</v>
      </c>
      <c r="C46" s="8">
        <f t="shared" ref="C46:C77" si="4">CallDelta(B46,BS_IVLow,0,BS_r,BS_K,BS_T)</f>
        <v>2.8547800039548488E-2</v>
      </c>
      <c r="D46" s="8">
        <f t="shared" ref="D46:D77" si="5">CallDelta(B46,BS_IVHigh,0,BS_r,BS_K,BS_T)</f>
        <v>0.1179986069840071</v>
      </c>
      <c r="E46" s="8">
        <f t="shared" ref="E46:E77" si="6">CallGamma(B46,BS_IVLow,0,BS_r,BS_K,BS_T)</f>
        <v>9.8931942041304809E-3</v>
      </c>
      <c r="F46" s="8">
        <f t="shared" ref="F46:F77" si="7">CallGamma(B46,BS_IVHigh,0,BS_r,BS_K,BS_T)</f>
        <v>1.9967550725160488E-2</v>
      </c>
    </row>
    <row r="47" spans="1:12">
      <c r="B47" s="8">
        <v>34</v>
      </c>
      <c r="C47" s="8">
        <f t="shared" si="4"/>
        <v>3.9774155003621359E-2</v>
      </c>
      <c r="D47" s="8">
        <f t="shared" si="5"/>
        <v>0.1388409613158299</v>
      </c>
      <c r="E47" s="8">
        <f t="shared" si="6"/>
        <v>1.2614436966213801E-2</v>
      </c>
      <c r="F47" s="8">
        <f t="shared" si="7"/>
        <v>2.1698187862371453E-2</v>
      </c>
    </row>
    <row r="48" spans="1:12">
      <c r="B48" s="8">
        <v>35</v>
      </c>
      <c r="C48" s="8">
        <f t="shared" si="4"/>
        <v>5.3876563103812392E-2</v>
      </c>
      <c r="D48" s="8">
        <f t="shared" si="5"/>
        <v>0.16135200606804967</v>
      </c>
      <c r="E48" s="8">
        <f t="shared" si="6"/>
        <v>1.563437453225024E-2</v>
      </c>
      <c r="F48" s="8">
        <f t="shared" si="7"/>
        <v>2.3300238466598282E-2</v>
      </c>
    </row>
    <row r="49" spans="2:6">
      <c r="B49" s="8">
        <v>36</v>
      </c>
      <c r="C49" s="8">
        <f t="shared" si="4"/>
        <v>7.1117317743735864E-2</v>
      </c>
      <c r="D49" s="8">
        <f t="shared" si="5"/>
        <v>0.18538988644935173</v>
      </c>
      <c r="E49" s="8">
        <f t="shared" si="6"/>
        <v>1.8876688756397735E-2</v>
      </c>
      <c r="F49" s="8">
        <f t="shared" si="7"/>
        <v>2.4748032402144446E-2</v>
      </c>
    </row>
    <row r="50" spans="2:6">
      <c r="B50" s="8">
        <v>37</v>
      </c>
      <c r="C50" s="8">
        <f t="shared" si="4"/>
        <v>9.1672664336472587E-2</v>
      </c>
      <c r="D50" s="8">
        <f t="shared" si="5"/>
        <v>0.21078978936497972</v>
      </c>
      <c r="E50" s="8">
        <f t="shared" si="6"/>
        <v>2.2246567988949247E-2</v>
      </c>
      <c r="F50" s="8">
        <f t="shared" si="7"/>
        <v>2.6021365414559964E-2</v>
      </c>
    </row>
    <row r="51" spans="2:6">
      <c r="B51" s="8">
        <v>38</v>
      </c>
      <c r="C51" s="8">
        <f t="shared" si="4"/>
        <v>0.11561743985783657</v>
      </c>
      <c r="D51" s="8">
        <f t="shared" si="5"/>
        <v>0.23736949406621743</v>
      </c>
      <c r="E51" s="8">
        <f t="shared" si="6"/>
        <v>2.563717556258361E-2</v>
      </c>
      <c r="F51" s="8">
        <f t="shared" si="7"/>
        <v>2.7105628349424322E-2</v>
      </c>
    </row>
    <row r="52" spans="2:6">
      <c r="B52" s="8">
        <v>39</v>
      </c>
      <c r="C52" s="8">
        <f t="shared" si="4"/>
        <v>0.14291669145439878</v>
      </c>
      <c r="D52" s="8">
        <f t="shared" si="5"/>
        <v>0.26493492134162133</v>
      </c>
      <c r="E52" s="8">
        <f t="shared" si="6"/>
        <v>2.8937001985425342E-2</v>
      </c>
      <c r="F52" s="8">
        <f t="shared" si="7"/>
        <v>2.7991683441833011E-2</v>
      </c>
    </row>
    <row r="53" spans="2:6">
      <c r="B53" s="8">
        <v>40</v>
      </c>
      <c r="C53" s="8">
        <f t="shared" si="4"/>
        <v>0.17342474197829993</v>
      </c>
      <c r="D53" s="8">
        <f t="shared" si="5"/>
        <v>0.29328545429089004</v>
      </c>
      <c r="E53" s="8">
        <f t="shared" si="6"/>
        <v>3.2037281254222796E-2</v>
      </c>
      <c r="F53" s="8">
        <f t="shared" si="7"/>
        <v>2.8675538638672005E-2</v>
      </c>
    </row>
    <row r="54" spans="2:6">
      <c r="B54" s="8">
        <v>41</v>
      </c>
      <c r="C54" s="8">
        <f t="shared" si="4"/>
        <v>0.20689138715976574</v>
      </c>
      <c r="D54" s="8">
        <f t="shared" si="5"/>
        <v>0.32221885559192176</v>
      </c>
      <c r="E54" s="8">
        <f t="shared" si="6"/>
        <v>3.4838739892415434E-2</v>
      </c>
      <c r="F54" s="8">
        <f t="shared" si="7"/>
        <v>2.9157871855842326E-2</v>
      </c>
    </row>
    <row r="55" spans="2:6">
      <c r="B55" s="8">
        <v>42</v>
      </c>
      <c r="C55" s="8">
        <f t="shared" si="4"/>
        <v>0.24297425892854385</v>
      </c>
      <c r="D55" s="8">
        <f t="shared" si="5"/>
        <v>0.3515356569761835</v>
      </c>
      <c r="E55" s="8">
        <f t="shared" si="6"/>
        <v>3.7257116259317685E-2</v>
      </c>
      <c r="F55" s="8">
        <f t="shared" si="7"/>
        <v>2.9443454367821725E-2</v>
      </c>
    </row>
    <row r="56" spans="2:6">
      <c r="B56" s="8">
        <v>43</v>
      </c>
      <c r="C56" s="8">
        <f t="shared" si="4"/>
        <v>0.28125593297578677</v>
      </c>
      <c r="D56" s="8">
        <f t="shared" si="5"/>
        <v>0.38104294333641653</v>
      </c>
      <c r="E56" s="8">
        <f t="shared" si="6"/>
        <v>3.9227097812904552E-2</v>
      </c>
      <c r="F56" s="8">
        <f t="shared" si="7"/>
        <v>2.9540517373126074E-2</v>
      </c>
    </row>
    <row r="57" spans="2:6">
      <c r="B57" s="8">
        <v>44</v>
      </c>
      <c r="C57" s="8">
        <f t="shared" si="4"/>
        <v>0.32126411780956554</v>
      </c>
      <c r="D57" s="8">
        <f t="shared" si="5"/>
        <v>0.41055749459972135</v>
      </c>
      <c r="E57" s="8">
        <f t="shared" si="6"/>
        <v>4.0704538488218693E-2</v>
      </c>
      <c r="F57" s="8">
        <f t="shared" si="7"/>
        <v>2.9460099210310241E-2</v>
      </c>
    </row>
    <row r="58" spans="2:6">
      <c r="B58" s="8">
        <v>45</v>
      </c>
      <c r="C58" s="8">
        <f t="shared" si="4"/>
        <v>0.36249322583732646</v>
      </c>
      <c r="D58" s="8">
        <f t="shared" si="5"/>
        <v>0.43990828224324918</v>
      </c>
      <c r="E58" s="8">
        <f t="shared" si="6"/>
        <v>4.1667008388513518E-2</v>
      </c>
      <c r="F58" s="8">
        <f t="shared" si="7"/>
        <v>2.9215403548493515E-2</v>
      </c>
    </row>
    <row r="59" spans="2:6">
      <c r="B59" s="8">
        <v>46</v>
      </c>
      <c r="C59" s="8">
        <f t="shared" si="4"/>
        <v>0.40442575930731917</v>
      </c>
      <c r="D59" s="8">
        <f t="shared" si="5"/>
        <v>0.46893834387547484</v>
      </c>
      <c r="E59" s="8">
        <f t="shared" si="6"/>
        <v>4.2112875244039207E-2</v>
      </c>
      <c r="F59" s="8">
        <f t="shared" si="7"/>
        <v>2.8821191771089182E-2</v>
      </c>
    </row>
    <row r="60" spans="2:6">
      <c r="B60" s="8">
        <v>47</v>
      </c>
      <c r="C60" s="8">
        <f t="shared" si="4"/>
        <v>0.44655219723075135</v>
      </c>
      <c r="D60" s="8">
        <f t="shared" si="5"/>
        <v>0.49750607894908017</v>
      </c>
      <c r="E60" s="8">
        <f t="shared" si="6"/>
        <v>4.205921361966606E-2</v>
      </c>
      <c r="F60" s="8">
        <f t="shared" si="7"/>
        <v>2.8293226147726089E-2</v>
      </c>
    </row>
    <row r="61" spans="2:6">
      <c r="B61" s="8">
        <v>48</v>
      </c>
      <c r="C61" s="8">
        <f t="shared" si="4"/>
        <v>0.48838839242555199</v>
      </c>
      <c r="D61" s="8">
        <f t="shared" si="5"/>
        <v>0.52548576474819098</v>
      </c>
      <c r="E61" s="8">
        <f t="shared" si="6"/>
        <v>4.1538884339160621E-2</v>
      </c>
      <c r="F61" s="8">
        <f t="shared" si="7"/>
        <v>2.7647774519859444E-2</v>
      </c>
    </row>
    <row r="62" spans="2:6">
      <c r="B62" s="8">
        <v>49</v>
      </c>
      <c r="C62" s="8">
        <f t="shared" si="4"/>
        <v>0.52948948772755444</v>
      </c>
      <c r="D62" s="8">
        <f t="shared" si="5"/>
        <v>0.55276795922856981</v>
      </c>
      <c r="E62" s="8">
        <f t="shared" si="6"/>
        <v>4.0597129829167196E-2</v>
      </c>
      <c r="F62" s="8">
        <f t="shared" si="7"/>
        <v>2.6901182251041794E-2</v>
      </c>
    </row>
    <row r="63" spans="2:6">
      <c r="B63" s="40">
        <v>50</v>
      </c>
      <c r="C63" s="40">
        <f t="shared" si="4"/>
        <v>0.5694601777375784</v>
      </c>
      <c r="D63" s="40">
        <f t="shared" si="5"/>
        <v>0.57925968418588936</v>
      </c>
      <c r="E63" s="40">
        <f t="shared" si="6"/>
        <v>3.9288001279828448E-2</v>
      </c>
      <c r="F63" s="40">
        <f t="shared" si="7"/>
        <v>2.6069513154046032E-2</v>
      </c>
    </row>
    <row r="64" spans="2:6">
      <c r="B64" s="8">
        <v>51</v>
      </c>
      <c r="C64" s="8">
        <f t="shared" si="4"/>
        <v>0.60796267377573388</v>
      </c>
      <c r="D64" s="8">
        <f t="shared" si="5"/>
        <v>0.60488370713870776</v>
      </c>
      <c r="E64" s="8">
        <f t="shared" si="6"/>
        <v>3.7670881971642839E-2</v>
      </c>
      <c r="F64" s="8">
        <f t="shared" si="7"/>
        <v>2.5168257973773599E-2</v>
      </c>
    </row>
    <row r="65" spans="2:6">
      <c r="B65" s="8">
        <v>52</v>
      </c>
      <c r="C65" s="8">
        <f t="shared" si="4"/>
        <v>0.64471974415599365</v>
      </c>
      <c r="D65" s="8">
        <f t="shared" si="5"/>
        <v>0.62957787014960431</v>
      </c>
      <c r="E65" s="8">
        <f t="shared" si="6"/>
        <v>3.5807308474253681E-2</v>
      </c>
      <c r="F65" s="8">
        <f t="shared" si="7"/>
        <v>2.4212106700534339E-2</v>
      </c>
    </row>
    <row r="66" spans="2:6">
      <c r="B66" s="8">
        <v>53</v>
      </c>
      <c r="C66" s="8">
        <f t="shared" si="4"/>
        <v>0.67951553458600267</v>
      </c>
      <c r="D66" s="8">
        <f t="shared" si="5"/>
        <v>0.65329421776055885</v>
      </c>
      <c r="E66" s="8">
        <f t="shared" si="6"/>
        <v>3.3758226572263079E-2</v>
      </c>
      <c r="F66" s="8">
        <f t="shared" si="7"/>
        <v>2.3214779409627313E-2</v>
      </c>
    </row>
    <row r="67" spans="2:6">
      <c r="B67" s="8">
        <v>54</v>
      </c>
      <c r="C67" s="8">
        <f t="shared" si="4"/>
        <v>0.71219387801908485</v>
      </c>
      <c r="D67" s="8">
        <f t="shared" si="5"/>
        <v>0.67599797440917719</v>
      </c>
      <c r="E67" s="8">
        <f t="shared" si="6"/>
        <v>3.1581758334776756E-2</v>
      </c>
      <c r="F67" s="8">
        <f t="shared" si="7"/>
        <v>2.2188909355409958E-2</v>
      </c>
    </row>
    <row r="68" spans="2:6">
      <c r="B68" s="8">
        <v>55</v>
      </c>
      <c r="C68" s="8">
        <f t="shared" si="4"/>
        <v>0.74265459972125114</v>
      </c>
      <c r="D68" s="8">
        <f t="shared" si="5"/>
        <v>0.69766642335182638</v>
      </c>
      <c r="E68" s="8">
        <f t="shared" si="6"/>
        <v>2.933150500522556E-2</v>
      </c>
      <c r="F68" s="8">
        <f t="shared" si="7"/>
        <v>2.1145971575717421E-2</v>
      </c>
    </row>
    <row r="69" spans="2:6">
      <c r="B69" s="8">
        <v>56</v>
      </c>
      <c r="C69" s="8">
        <f t="shared" si="4"/>
        <v>0.77084836923665034</v>
      </c>
      <c r="D69" s="8">
        <f t="shared" si="5"/>
        <v>0.71828773121410616</v>
      </c>
      <c r="E69" s="8">
        <f t="shared" si="6"/>
        <v>2.7055369542696904E-2</v>
      </c>
      <c r="F69" s="8">
        <f t="shared" si="7"/>
        <v>2.0096250176641534E-2</v>
      </c>
    </row>
    <row r="70" spans="2:6">
      <c r="B70" s="8">
        <v>57</v>
      </c>
      <c r="C70" s="8">
        <f t="shared" si="4"/>
        <v>0.79677060951779122</v>
      </c>
      <c r="D70" s="8">
        <f t="shared" si="5"/>
        <v>0.73785975480038324</v>
      </c>
      <c r="E70" s="8">
        <f t="shared" si="6"/>
        <v>2.4794853213882643E-2</v>
      </c>
      <c r="F70" s="8">
        <f t="shared" si="7"/>
        <v>1.9048837670345431E-2</v>
      </c>
    </row>
    <row r="71" spans="2:6">
      <c r="B71" s="8">
        <v>58</v>
      </c>
      <c r="C71" s="8">
        <f t="shared" si="4"/>
        <v>0.82045491193554676</v>
      </c>
      <c r="D71" s="8">
        <f t="shared" si="5"/>
        <v>0.75638885986171234</v>
      </c>
      <c r="E71" s="8">
        <f t="shared" si="6"/>
        <v>2.2584761924138205E-2</v>
      </c>
      <c r="F71" s="8">
        <f t="shared" si="7"/>
        <v>1.8011660145076283E-2</v>
      </c>
    </row>
    <row r="72" spans="2:6">
      <c r="B72" s="8">
        <v>59</v>
      </c>
      <c r="C72" s="8">
        <f t="shared" si="4"/>
        <v>0.84196633288257072</v>
      </c>
      <c r="D72" s="8">
        <f t="shared" si="5"/>
        <v>0.77388877523708854</v>
      </c>
      <c r="E72" s="8">
        <f t="shared" si="6"/>
        <v>2.0453248533361779E-2</v>
      </c>
      <c r="F72" s="8">
        <f t="shared" si="7"/>
        <v>1.6991522586093426E-2</v>
      </c>
    </row>
    <row r="73" spans="2:6">
      <c r="B73" s="8">
        <v>60</v>
      </c>
      <c r="C73" s="8">
        <f t="shared" si="4"/>
        <v>0.8613948706635034</v>
      </c>
      <c r="D73" s="8">
        <f t="shared" si="5"/>
        <v>0.79037950019639835</v>
      </c>
      <c r="E73" s="8">
        <f t="shared" si="6"/>
        <v>1.8422115393202303E-2</v>
      </c>
      <c r="F73" s="8">
        <f t="shared" si="7"/>
        <v>1.5994169281665242E-2</v>
      </c>
    </row>
    <row r="74" spans="2:6">
      <c r="B74" s="8">
        <v>61</v>
      </c>
      <c r="C74" s="8">
        <f t="shared" si="4"/>
        <v>0.878849346168592</v>
      </c>
      <c r="D74" s="8">
        <f t="shared" si="5"/>
        <v>0.80588627793943846</v>
      </c>
      <c r="E74" s="8">
        <f t="shared" si="6"/>
        <v>1.6507304845899923E-2</v>
      </c>
      <c r="F74" s="8">
        <f t="shared" si="7"/>
        <v>1.5024354894916148E-2</v>
      </c>
    </row>
    <row r="75" spans="2:6">
      <c r="B75" s="8">
        <v>62</v>
      </c>
      <c r="C75" s="8">
        <f t="shared" si="4"/>
        <v>0.89445184164363079</v>
      </c>
      <c r="D75" s="8">
        <f t="shared" si="5"/>
        <v>0.8204386440311543</v>
      </c>
      <c r="E75" s="8">
        <f t="shared" si="6"/>
        <v>1.4719512639483826E-2</v>
      </c>
      <c r="F75" s="8">
        <f t="shared" si="7"/>
        <v>1.4085922426483965E-2</v>
      </c>
    </row>
    <row r="76" spans="2:6">
      <c r="B76" s="8">
        <v>63</v>
      </c>
      <c r="C76" s="8">
        <f t="shared" si="4"/>
        <v>0.90833279135367839</v>
      </c>
      <c r="D76" s="8">
        <f t="shared" si="5"/>
        <v>0.83406955504535951</v>
      </c>
      <c r="E76" s="8">
        <f t="shared" si="6"/>
        <v>1.3064868579177239E-2</v>
      </c>
      <c r="F76" s="8">
        <f t="shared" si="7"/>
        <v>1.3181884910482453E-2</v>
      </c>
    </row>
    <row r="77" spans="2:6">
      <c r="B77" s="8">
        <v>64</v>
      </c>
      <c r="C77" s="8">
        <f t="shared" si="4"/>
        <v>0.9206267674380274</v>
      </c>
      <c r="D77" s="8">
        <f t="shared" si="5"/>
        <v>0.84681459979984319</v>
      </c>
      <c r="E77" s="8">
        <f t="shared" si="6"/>
        <v>1.154563899221649E-2</v>
      </c>
      <c r="F77" s="8">
        <f t="shared" si="7"/>
        <v>1.2314508260778428E-2</v>
      </c>
    </row>
    <row r="78" spans="2:6">
      <c r="B78" s="8">
        <v>65</v>
      </c>
      <c r="C78" s="8">
        <f t="shared" ref="C78:C109" si="8">CallDelta(B78,BS_IVLow,0,BS_r,BS_K,BS_T)</f>
        <v>0.93146896408188373</v>
      </c>
      <c r="D78" s="8">
        <f t="shared" ref="D78:D113" si="9">CallDelta(B78,BS_IVHigh,0,BS_r,BS_K,BS_T)</f>
        <v>0.85871129323812656</v>
      </c>
      <c r="E78" s="8">
        <f t="shared" ref="E78:E113" si="10">CallGamma(B78,BS_IVLow,0,BS_r,BS_K,BS_T)</f>
        <v>1.01609157866172E-2</v>
      </c>
      <c r="F78" s="8">
        <f t="shared" ref="F78:F113" si="11">CallGamma(B78,BS_IVHigh,0,BS_r,BS_K,BS_T)</f>
        <v>1.1485393206015179E-2</v>
      </c>
    </row>
    <row r="79" spans="2:6">
      <c r="B79" s="8">
        <v>66</v>
      </c>
      <c r="C79" s="8">
        <f t="shared" si="8"/>
        <v>0.94099235284194527</v>
      </c>
      <c r="D79" s="8">
        <f t="shared" si="9"/>
        <v>0.86979845118568444</v>
      </c>
      <c r="E79" s="8">
        <f t="shared" si="10"/>
        <v>8.9072663781394629E-3</v>
      </c>
      <c r="F79" s="8">
        <f t="shared" si="11"/>
        <v>1.0695554714988668E-2</v>
      </c>
    </row>
    <row r="80" spans="2:6">
      <c r="B80" s="8">
        <v>67</v>
      </c>
      <c r="C80" s="8">
        <f t="shared" si="8"/>
        <v>0.94932546061190171</v>
      </c>
      <c r="D80" s="8">
        <f t="shared" si="9"/>
        <v>0.88011564281846366</v>
      </c>
      <c r="E80" s="8">
        <f t="shared" si="10"/>
        <v>7.7793271386688446E-3</v>
      </c>
      <c r="F80" s="8">
        <f t="shared" si="11"/>
        <v>9.9454977174777363E-3</v>
      </c>
    </row>
    <row r="81" spans="2:6">
      <c r="B81" s="8">
        <v>68</v>
      </c>
      <c r="C81" s="8">
        <f t="shared" si="8"/>
        <v>0.95659070806614588</v>
      </c>
      <c r="D81" s="8">
        <f t="shared" si="9"/>
        <v>0.88970271666757361</v>
      </c>
      <c r="E81" s="8">
        <f t="shared" si="10"/>
        <v>6.7703300802239141E-3</v>
      </c>
      <c r="F81" s="8">
        <f t="shared" si="11"/>
        <v>9.2352882707186293E-3</v>
      </c>
    </row>
    <row r="82" spans="2:6">
      <c r="B82" s="8">
        <v>69</v>
      </c>
      <c r="C82" s="8">
        <f t="shared" si="8"/>
        <v>0.96290323912519016</v>
      </c>
      <c r="D82" s="8">
        <f t="shared" si="9"/>
        <v>0.89859939528780586</v>
      </c>
      <c r="E82" s="8">
        <f t="shared" si="10"/>
        <v>5.8725581812406015E-3</v>
      </c>
      <c r="F82" s="8">
        <f t="shared" si="11"/>
        <v>8.5646196115461565E-3</v>
      </c>
    </row>
    <row r="83" spans="2:6">
      <c r="B83" s="8">
        <v>70</v>
      </c>
      <c r="C83" s="8">
        <f t="shared" si="8"/>
        <v>0.96837016970267209</v>
      </c>
      <c r="D83" s="8">
        <f t="shared" si="9"/>
        <v>0.90684493328530058</v>
      </c>
      <c r="E83" s="8">
        <f t="shared" si="10"/>
        <v>5.0777291424090798E-3</v>
      </c>
      <c r="F83" s="8">
        <f t="shared" si="11"/>
        <v>7.9328727731510142E-3</v>
      </c>
    </row>
    <row r="84" spans="2:6">
      <c r="B84" s="8">
        <v>71</v>
      </c>
      <c r="C84" s="8">
        <f t="shared" si="8"/>
        <v>0.97309018547362747</v>
      </c>
      <c r="D84" s="8">
        <f t="shared" si="9"/>
        <v>0.91447783318237097</v>
      </c>
      <c r="E84" s="8">
        <f t="shared" si="10"/>
        <v>4.3773105535196335E-3</v>
      </c>
      <c r="F84" s="8">
        <f t="shared" si="11"/>
        <v>7.3391716384648351E-3</v>
      </c>
    </row>
    <row r="85" spans="2:6">
      <c r="B85" s="8">
        <v>72</v>
      </c>
      <c r="C85" s="8">
        <f t="shared" si="8"/>
        <v>0.97715342254464865</v>
      </c>
      <c r="D85" s="8">
        <f t="shared" si="9"/>
        <v>0.9215356135519176</v>
      </c>
      <c r="E85" s="8">
        <f t="shared" si="10"/>
        <v>3.7627716234435327E-3</v>
      </c>
      <c r="F85" s="8">
        <f t="shared" si="11"/>
        <v>6.7824324547056903E-3</v>
      </c>
    </row>
    <row r="86" spans="2:6">
      <c r="B86" s="8">
        <v>73</v>
      </c>
      <c r="C86" s="8">
        <f t="shared" si="8"/>
        <v>0.98064157077676761</v>
      </c>
      <c r="D86" s="8">
        <f t="shared" si="9"/>
        <v>0.92805462394207927</v>
      </c>
      <c r="E86" s="8">
        <f t="shared" si="10"/>
        <v>3.2257779495648087E-3</v>
      </c>
      <c r="F86" s="8">
        <f t="shared" si="11"/>
        <v>6.261407950925597E-3</v>
      </c>
    </row>
    <row r="87" spans="2:6">
      <c r="B87" s="8">
        <v>74</v>
      </c>
      <c r="C87" s="8">
        <f t="shared" si="8"/>
        <v>0.98362814635531548</v>
      </c>
      <c r="D87" s="8">
        <f t="shared" si="9"/>
        <v>0.93406990130124701</v>
      </c>
      <c r="E87" s="8">
        <f t="shared" si="10"/>
        <v>2.7583364551895823E-3</v>
      </c>
      <c r="F87" s="8">
        <f t="shared" si="11"/>
        <v>5.7747262876173631E-3</v>
      </c>
    </row>
    <row r="88" spans="2:6">
      <c r="B88" s="8">
        <v>75</v>
      </c>
      <c r="C88" s="8">
        <f t="shared" si="8"/>
        <v>0.98617888742905679</v>
      </c>
      <c r="D88" s="8">
        <f t="shared" si="9"/>
        <v>0.93961506287670304</v>
      </c>
      <c r="E88" s="8">
        <f t="shared" si="10"/>
        <v>2.3528977648414238E-3</v>
      </c>
      <c r="F88" s="8">
        <f t="shared" si="11"/>
        <v>5.3209251293448168E-3</v>
      </c>
    </row>
    <row r="89" spans="2:6">
      <c r="B89" s="8">
        <v>76</v>
      </c>
      <c r="C89" s="8">
        <f t="shared" si="8"/>
        <v>0.9883522338160714</v>
      </c>
      <c r="D89" s="8">
        <f t="shared" si="9"/>
        <v>0.94472223087395357</v>
      </c>
      <c r="E89" s="8">
        <f t="shared" si="10"/>
        <v>2.0024230594804411E-3</v>
      </c>
      <c r="F89" s="8">
        <f t="shared" si="11"/>
        <v>4.8984811723197077E-3</v>
      </c>
    </row>
    <row r="90" spans="2:6">
      <c r="B90" s="8">
        <v>77</v>
      </c>
      <c r="C90" s="8">
        <f t="shared" si="8"/>
        <v>0.99019985858867154</v>
      </c>
      <c r="D90" s="8">
        <f t="shared" si="9"/>
        <v>0.94942198450944681</v>
      </c>
      <c r="E90" s="8">
        <f t="shared" si="10"/>
        <v>1.7004219758287615E-3</v>
      </c>
      <c r="F90" s="8">
        <f t="shared" si="11"/>
        <v>4.5058354827609811E-3</v>
      </c>
    </row>
    <row r="91" spans="2:6">
      <c r="B91" s="8">
        <v>78</v>
      </c>
      <c r="C91" s="8">
        <f t="shared" si="8"/>
        <v>0.99176722560426755</v>
      </c>
      <c r="D91" s="8">
        <f t="shared" si="9"/>
        <v>0.95374333545157941</v>
      </c>
      <c r="E91" s="8">
        <f t="shared" si="10"/>
        <v>1.4409674828225996E-3</v>
      </c>
      <c r="F91" s="8">
        <f t="shared" si="11"/>
        <v>4.1414150121673226E-3</v>
      </c>
    </row>
    <row r="92" spans="2:6">
      <c r="B92" s="8">
        <v>79</v>
      </c>
      <c r="C92" s="8">
        <f t="shared" si="8"/>
        <v>0.99309415262942236</v>
      </c>
      <c r="D92" s="8">
        <f t="shared" si="9"/>
        <v>0.95771372301168167</v>
      </c>
      <c r="E92" s="8">
        <f t="shared" si="10"/>
        <v>1.2186929591767579E-3</v>
      </c>
      <c r="F92" s="8">
        <f t="shared" si="11"/>
        <v>3.8036506552792432E-3</v>
      </c>
    </row>
    <row r="93" spans="2:6">
      <c r="B93" s="8">
        <v>80</v>
      </c>
      <c r="C93" s="8">
        <f t="shared" si="8"/>
        <v>0.99421536456192738</v>
      </c>
      <c r="D93" s="8">
        <f t="shared" si="9"/>
        <v>0.96135902580874</v>
      </c>
      <c r="E93" s="8">
        <f t="shared" si="10"/>
        <v>1.0287759656336323E-3</v>
      </c>
      <c r="F93" s="8">
        <f t="shared" si="11"/>
        <v>3.4909922080341451E-3</v>
      </c>
    </row>
    <row r="94" spans="2:6">
      <c r="B94" s="8">
        <v>81</v>
      </c>
      <c r="C94" s="8">
        <f t="shared" si="8"/>
        <v>0.99516102539035345</v>
      </c>
      <c r="D94" s="8">
        <f t="shared" si="9"/>
        <v>0.96470358698197745</v>
      </c>
      <c r="E94" s="8">
        <f t="shared" si="10"/>
        <v>8.6691249398593241E-4</v>
      </c>
      <c r="F94" s="8">
        <f t="shared" si="11"/>
        <v>3.2019205683557761E-3</v>
      </c>
    </row>
    <row r="95" spans="2:6">
      <c r="B95" s="8">
        <v>82</v>
      </c>
      <c r="C95" s="8">
        <f t="shared" si="8"/>
        <v>0.99595724097533522</v>
      </c>
      <c r="D95" s="8">
        <f t="shared" si="9"/>
        <v>0.9677702503590363</v>
      </c>
      <c r="E95" s="8">
        <f t="shared" si="10"/>
        <v>7.2928480940597906E-4</v>
      </c>
      <c r="F95" s="8">
        <f t="shared" si="11"/>
        <v>2.9349575039334208E-3</v>
      </c>
    </row>
    <row r="96" spans="2:6">
      <c r="B96" s="8">
        <v>83</v>
      </c>
      <c r="C96" s="8">
        <f t="shared" si="8"/>
        <v>0.99662652754656567</v>
      </c>
      <c r="D96" s="8">
        <f t="shared" si="9"/>
        <v>0.97058040530092526</v>
      </c>
      <c r="E96" s="8">
        <f t="shared" si="10"/>
        <v>6.1252539940318961E-4</v>
      </c>
      <c r="F96" s="8">
        <f t="shared" si="11"/>
        <v>2.6886732896791708E-3</v>
      </c>
    </row>
    <row r="97" spans="2:6">
      <c r="B97" s="8">
        <v>84</v>
      </c>
      <c r="C97" s="8">
        <f t="shared" si="8"/>
        <v>0.9971882430510477</v>
      </c>
      <c r="D97" s="8">
        <f t="shared" si="9"/>
        <v>0.97315403823595403</v>
      </c>
      <c r="E97" s="8">
        <f t="shared" si="10"/>
        <v>5.1367901018025655E-4</v>
      </c>
      <c r="F97" s="8">
        <f t="shared" si="11"/>
        <v>2.4616924944637032E-3</v>
      </c>
    </row>
    <row r="98" spans="2:6">
      <c r="B98" s="8">
        <v>85</v>
      </c>
      <c r="C98" s="8">
        <f t="shared" si="8"/>
        <v>0.99765898023370114</v>
      </c>
      <c r="D98" s="8">
        <f t="shared" si="9"/>
        <v>0.97550978916243924</v>
      </c>
      <c r="E98" s="8">
        <f t="shared" si="10"/>
        <v>4.3016429161391744E-4</v>
      </c>
      <c r="F98" s="8">
        <f t="shared" si="11"/>
        <v>2.2526981729397147E-3</v>
      </c>
    </row>
    <row r="99" spans="2:6">
      <c r="B99" s="8">
        <v>86</v>
      </c>
      <c r="C99" s="8">
        <f t="shared" si="8"/>
        <v>0.99805292165328097</v>
      </c>
      <c r="D99" s="8">
        <f t="shared" si="9"/>
        <v>0.97766501164370723</v>
      </c>
      <c r="E99" s="8">
        <f t="shared" si="10"/>
        <v>3.5973618370293528E-4</v>
      </c>
      <c r="F99" s="8">
        <f t="shared" si="11"/>
        <v>2.0604346944779238E-3</v>
      </c>
    </row>
    <row r="100" spans="2:6">
      <c r="B100" s="8">
        <v>87</v>
      </c>
      <c r="C100" s="8">
        <f t="shared" si="8"/>
        <v>0.9983821578037001</v>
      </c>
      <c r="D100" s="8">
        <f t="shared" si="9"/>
        <v>0.97963583503912999</v>
      </c>
      <c r="E100" s="8">
        <f t="shared" si="10"/>
        <v>3.0044985549615351E-4</v>
      </c>
      <c r="F100" s="8">
        <f t="shared" si="11"/>
        <v>1.8837094179992343E-3</v>
      </c>
    </row>
    <row r="101" spans="2:6">
      <c r="B101" s="8">
        <v>88</v>
      </c>
      <c r="C101" s="8">
        <f t="shared" si="8"/>
        <v>0.99865697018678878</v>
      </c>
      <c r="D101" s="8">
        <f t="shared" si="9"/>
        <v>0.98143722791235843</v>
      </c>
      <c r="E101" s="8">
        <f t="shared" si="10"/>
        <v>2.5062674598046674E-4</v>
      </c>
      <c r="F101" s="8">
        <f t="shared" si="11"/>
        <v>1.7213933991809039E-3</v>
      </c>
    </row>
    <row r="102" spans="2:6">
      <c r="B102" s="8">
        <v>89</v>
      </c>
      <c r="C102" s="8">
        <f t="shared" si="8"/>
        <v>0.99888608162405645</v>
      </c>
      <c r="D102" s="8">
        <f t="shared" si="9"/>
        <v>0.9830830617336499</v>
      </c>
      <c r="E102" s="8">
        <f t="shared" si="10"/>
        <v>2.0882304810264558E-4</v>
      </c>
      <c r="F102" s="8">
        <f t="shared" si="11"/>
        <v>1.5724212954178059E-3</v>
      </c>
    </row>
    <row r="103" spans="2:6">
      <c r="B103" s="8">
        <v>90</v>
      </c>
      <c r="C103" s="8">
        <f t="shared" si="8"/>
        <v>0.99907687635173803</v>
      </c>
      <c r="D103" s="8">
        <f t="shared" si="9"/>
        <v>0.98458617414852001</v>
      </c>
      <c r="E103" s="8">
        <f t="shared" si="10"/>
        <v>1.7380081474370853E-4</v>
      </c>
      <c r="F103" s="8">
        <f t="shared" si="11"/>
        <v>1.4357906142104184E-3</v>
      </c>
    </row>
    <row r="104" spans="2:6">
      <c r="B104" s="8">
        <v>91</v>
      </c>
      <c r="C104" s="8">
        <f t="shared" si="8"/>
        <v>0.99923559255770567</v>
      </c>
      <c r="D104" s="8">
        <f t="shared" si="9"/>
        <v>0.98595843122133209</v>
      </c>
      <c r="E104" s="8">
        <f t="shared" si="10"/>
        <v>1.445017419939534E-4</v>
      </c>
      <c r="F104" s="8">
        <f t="shared" si="11"/>
        <v>1.3105604324315722E-3</v>
      </c>
    </row>
    <row r="105" spans="2:6">
      <c r="B105" s="8">
        <v>92</v>
      </c>
      <c r="C105" s="8">
        <f t="shared" si="8"/>
        <v>0.99936749002627057</v>
      </c>
      <c r="D105" s="8">
        <f t="shared" si="9"/>
        <v>0.98721078818137398</v>
      </c>
      <c r="E105" s="8">
        <f t="shared" si="10"/>
        <v>1.2002359390473972E-4</v>
      </c>
      <c r="F105" s="8">
        <f t="shared" si="11"/>
        <v>1.195849697236484E-3</v>
      </c>
    </row>
    <row r="106" spans="2:6">
      <c r="B106" s="8">
        <v>93</v>
      </c>
      <c r="C106" s="8">
        <f t="shared" si="8"/>
        <v>0.99947699548675673</v>
      </c>
      <c r="D106" s="8">
        <f t="shared" si="9"/>
        <v>0.98835334830200838</v>
      </c>
      <c r="E106" s="8">
        <f t="shared" si="10"/>
        <v>9.9599168069981102E-5</v>
      </c>
      <c r="F106" s="8">
        <f t="shared" si="11"/>
        <v>1.0908352042227529E-3</v>
      </c>
    </row>
    <row r="107" spans="2:6">
      <c r="B107" s="8">
        <v>94</v>
      </c>
      <c r="C107" s="8">
        <f t="shared" si="8"/>
        <v>0.99956782813769129</v>
      </c>
      <c r="D107" s="8">
        <f t="shared" si="9"/>
        <v>0.98939541963211264</v>
      </c>
      <c r="E107" s="8">
        <f t="shared" si="10"/>
        <v>8.2577657675860744E-5</v>
      </c>
      <c r="F107" s="8">
        <f t="shared" si="11"/>
        <v>9.9474933478141056E-4</v>
      </c>
    </row>
    <row r="108" spans="2:6">
      <c r="B108" s="8">
        <v>95</v>
      </c>
      <c r="C108" s="8">
        <f t="shared" si="8"/>
        <v>0.99964310765931486</v>
      </c>
      <c r="D108" s="8">
        <f t="shared" si="9"/>
        <v>0.99034556937472329</v>
      </c>
      <c r="E108" s="8">
        <f t="shared" si="10"/>
        <v>6.8408238534677294E-5</v>
      </c>
      <c r="F108" s="8">
        <f t="shared" si="11"/>
        <v>9.0687762234530447E-4</v>
      </c>
    </row>
    <row r="109" spans="2:6">
      <c r="B109" s="8">
        <v>96</v>
      </c>
      <c r="C109" s="8">
        <f t="shared" si="8"/>
        <v>0.9997054468475165</v>
      </c>
      <c r="D109" s="8">
        <f t="shared" si="9"/>
        <v>0.99121167577195213</v>
      </c>
      <c r="E109" s="8">
        <f t="shared" si="10"/>
        <v>5.6625695268417235E-5</v>
      </c>
      <c r="F109" s="8">
        <f t="shared" si="11"/>
        <v>8.2655620635819344E-4</v>
      </c>
    </row>
    <row r="110" spans="2:6">
      <c r="B110" s="8">
        <v>97</v>
      </c>
      <c r="C110" s="8">
        <f>CallDelta(B110,BS_IVLow,0,BS_r,BS_K,BS_T)</f>
        <v>0.99975703081337397</v>
      </c>
      <c r="D110" s="8">
        <f t="shared" si="9"/>
        <v>0.9920009774091525</v>
      </c>
      <c r="E110" s="8">
        <f t="shared" si="10"/>
        <v>4.6837896056140886E-5</v>
      </c>
      <c r="F110" s="8">
        <f t="shared" si="11"/>
        <v>7.5316922316741677E-4</v>
      </c>
    </row>
    <row r="111" spans="2:6">
      <c r="B111" s="8">
        <v>98</v>
      </c>
      <c r="C111" s="8">
        <f>CallDelta(B111,BS_IVLow,0,BS_r,BS_K,BS_T)</f>
        <v>0.99979968450249335</v>
      </c>
      <c r="D111" s="8">
        <f t="shared" si="9"/>
        <v>0.99272011989620179</v>
      </c>
      <c r="E111" s="8">
        <f t="shared" si="10"/>
        <v>3.8714927613947964E-5</v>
      </c>
      <c r="F111" s="8">
        <f t="shared" si="11"/>
        <v>6.8614617458907323E-4</v>
      </c>
    </row>
    <row r="112" spans="2:6">
      <c r="B112" s="8">
        <v>99</v>
      </c>
      <c r="C112" s="8">
        <f>CallDelta(B112,BS_IVLow,0,BS_r,BS_K,BS_T)</f>
        <v>0.9998349301032301</v>
      </c>
      <c r="D112" s="8">
        <f t="shared" si="9"/>
        <v>0.99337519992074341</v>
      </c>
      <c r="E112" s="8">
        <f t="shared" si="10"/>
        <v>3.1979709254048464E-5</v>
      </c>
      <c r="F112" s="8">
        <f t="shared" si="11"/>
        <v>6.2495930750941303E-4</v>
      </c>
    </row>
    <row r="113" spans="2:6">
      <c r="B113" s="8">
        <v>100</v>
      </c>
      <c r="C113" s="8">
        <f>CallDelta(B113,BS_IVLow,0,BS_r,BS_K,BS_T)</f>
        <v>0.99986403573669724</v>
      </c>
      <c r="D113" s="8">
        <f t="shared" si="9"/>
        <v>0.99397180669831686</v>
      </c>
      <c r="E113" s="8">
        <f t="shared" si="10"/>
        <v>2.6399915325170486E-5</v>
      </c>
      <c r="F113" s="8">
        <f t="shared" si="11"/>
        <v>5.6912103147197998E-4</v>
      </c>
    </row>
  </sheetData>
  <mergeCells count="1">
    <mergeCell ref="B6:F7"/>
  </mergeCells>
  <pageMargins left="0.75" right="0.75" top="1" bottom="1" header="0.5" footer="0.5"/>
  <headerFooter alignWithMargins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12"/>
  <sheetViews>
    <sheetView zoomScale="125" zoomScaleNormal="125" zoomScalePageLayoutView="125" workbookViewId="0">
      <selection activeCell="K10" sqref="K10"/>
    </sheetView>
  </sheetViews>
  <sheetFormatPr baseColWidth="10" defaultColWidth="8.83203125" defaultRowHeight="13"/>
  <cols>
    <col min="1" max="1" width="10.33203125" style="7" bestFit="1" customWidth="1"/>
    <col min="2" max="2" width="10.5" style="7" customWidth="1"/>
    <col min="3" max="3" width="9" style="7" customWidth="1"/>
    <col min="4" max="4" width="13.5" style="7" customWidth="1"/>
    <col min="5" max="5" width="12.33203125" style="7" bestFit="1" customWidth="1"/>
    <col min="6" max="6" width="12" style="7" customWidth="1"/>
    <col min="7" max="7" width="10" style="7" customWidth="1"/>
    <col min="8" max="16384" width="8.83203125" style="7"/>
  </cols>
  <sheetData>
    <row r="1" spans="1:15">
      <c r="A1" s="27" t="s">
        <v>3</v>
      </c>
      <c r="B1" s="28">
        <v>100</v>
      </c>
      <c r="E1" s="27" t="s">
        <v>59</v>
      </c>
      <c r="F1" s="33">
        <f ca="1">F112</f>
        <v>10.194030280051503</v>
      </c>
      <c r="H1" s="7" t="s">
        <v>76</v>
      </c>
    </row>
    <row r="2" spans="1:15">
      <c r="A2" s="27" t="s">
        <v>4</v>
      </c>
      <c r="B2" s="28">
        <v>100</v>
      </c>
    </row>
    <row r="3" spans="1:15">
      <c r="A3" s="27" t="s">
        <v>46</v>
      </c>
      <c r="B3" s="44">
        <v>0.05</v>
      </c>
      <c r="E3" s="27" t="s">
        <v>22</v>
      </c>
      <c r="F3" s="32">
        <f ca="1">($F$1-IF(DH_PriceT&gt;DH_Strike,1,0)*DH_Strike)*EXP(-DH_Rate*DH_Term)</f>
        <v>9.6968615566362448</v>
      </c>
      <c r="H3" s="56" t="s">
        <v>79</v>
      </c>
    </row>
    <row r="4" spans="1:15">
      <c r="A4" s="27" t="s">
        <v>47</v>
      </c>
      <c r="B4" s="31">
        <v>0.2</v>
      </c>
      <c r="C4" s="7" t="s">
        <v>80</v>
      </c>
      <c r="E4" s="27" t="s">
        <v>18</v>
      </c>
      <c r="F4" s="32">
        <f>CallOption(B1,B4,0,B3,B2,B6)</f>
        <v>10.450575666859251</v>
      </c>
      <c r="H4" s="7" t="s">
        <v>81</v>
      </c>
    </row>
    <row r="5" spans="1:15">
      <c r="A5" s="27" t="s">
        <v>7</v>
      </c>
      <c r="B5" s="29">
        <v>1</v>
      </c>
      <c r="C5" s="10" t="s">
        <v>88</v>
      </c>
      <c r="D5" s="7">
        <v>0.01</v>
      </c>
    </row>
    <row r="6" spans="1:15" ht="30" customHeight="1">
      <c r="A6" s="27" t="s">
        <v>19</v>
      </c>
      <c r="B6" s="28">
        <v>1</v>
      </c>
    </row>
    <row r="7" spans="1:15">
      <c r="A7" s="27"/>
      <c r="B7" s="30"/>
    </row>
    <row r="8" spans="1:15" ht="16">
      <c r="A8" s="41" t="s">
        <v>84</v>
      </c>
      <c r="B8" s="30"/>
      <c r="K8" s="41" t="s">
        <v>89</v>
      </c>
    </row>
    <row r="9" spans="1:15">
      <c r="K9" s="47" t="s">
        <v>90</v>
      </c>
    </row>
    <row r="10" spans="1:15">
      <c r="D10" s="8" t="s">
        <v>48</v>
      </c>
      <c r="E10" s="8" t="s">
        <v>50</v>
      </c>
      <c r="F10" s="7" t="s">
        <v>51</v>
      </c>
      <c r="G10" s="58" t="s">
        <v>87</v>
      </c>
    </row>
    <row r="11" spans="1:15" ht="14" thickBot="1">
      <c r="A11" s="34" t="s">
        <v>21</v>
      </c>
      <c r="B11" s="34" t="s">
        <v>3</v>
      </c>
      <c r="C11" s="34" t="s">
        <v>45</v>
      </c>
      <c r="D11" s="34" t="s">
        <v>52</v>
      </c>
      <c r="E11" s="34" t="s">
        <v>85</v>
      </c>
      <c r="F11" s="34" t="s">
        <v>78</v>
      </c>
      <c r="G11" s="34" t="s">
        <v>49</v>
      </c>
      <c r="H11" s="8"/>
      <c r="I11" s="34" t="s">
        <v>77</v>
      </c>
      <c r="J11" s="8"/>
      <c r="K11" s="57" t="s">
        <v>86</v>
      </c>
      <c r="L11" s="8"/>
      <c r="M11" s="8"/>
      <c r="N11" s="8"/>
      <c r="O11" s="8"/>
    </row>
    <row r="12" spans="1:15" ht="14" customHeight="1">
      <c r="A12" s="8">
        <v>0</v>
      </c>
      <c r="B12" s="48">
        <v>100</v>
      </c>
      <c r="C12" s="45">
        <f t="shared" ref="C12:C17" si="0">CallDelta(B12,$B$4,0,$B$3,$B$2,$B$5-A12)</f>
        <v>0.63683058735763587</v>
      </c>
      <c r="D12" s="53">
        <f>(C12-0)*$B$6</f>
        <v>0.63683058735763587</v>
      </c>
      <c r="E12" s="54">
        <f>D12*B12</f>
        <v>63.683058735763588</v>
      </c>
      <c r="F12" s="54">
        <f>E12</f>
        <v>63.683058735763588</v>
      </c>
      <c r="G12" s="53">
        <f t="shared" ref="G12:G43" si="1">F12*(EXP(DH_Rate*DH_dt)-1)</f>
        <v>3.1849491077114489E-2</v>
      </c>
      <c r="H12" s="8"/>
      <c r="I12" s="45">
        <f t="shared" ref="I12:I43" si="2">CallGamma(B12,$B$4,0,$B$3,$B$2,$B$5-A12)</f>
        <v>1.8762017505869651E-2</v>
      </c>
      <c r="J12" s="8"/>
      <c r="K12" s="47" t="s">
        <v>83</v>
      </c>
      <c r="L12" s="8"/>
      <c r="M12" s="8"/>
      <c r="N12" s="8"/>
      <c r="O12" s="8"/>
    </row>
    <row r="13" spans="1:15">
      <c r="A13" s="8">
        <v>0.01</v>
      </c>
      <c r="B13" s="48">
        <f t="shared" ref="B13:B44" ca="1" si="3">B12*EXP(($B$3-0.5*$B$4^2)*$A$13+$B$4*NORMSINV(RAND())*SQRT($A$13))</f>
        <v>99.636295996407256</v>
      </c>
      <c r="C13" s="45">
        <f t="shared" ca="1" si="0"/>
        <v>0.62927557275385915</v>
      </c>
      <c r="D13" s="53">
        <f ca="1">(C13-C12)*$B$6</f>
        <v>-7.5550146037767218E-3</v>
      </c>
      <c r="E13" s="54">
        <f t="shared" ref="E13:E76" ca="1" si="4">D13*B13</f>
        <v>-0.75275367131907689</v>
      </c>
      <c r="F13" s="54">
        <f ca="1">F12+G12+E13</f>
        <v>62.962154555521629</v>
      </c>
      <c r="G13" s="53">
        <f t="shared" ca="1" si="1"/>
        <v>3.1488948858950323E-2</v>
      </c>
      <c r="I13" s="45">
        <f t="shared" ca="1" si="2"/>
        <v>1.9054906188677192E-2</v>
      </c>
      <c r="J13" s="8"/>
      <c r="K13" s="8"/>
      <c r="L13" s="8"/>
      <c r="M13" s="8"/>
      <c r="N13" s="8"/>
      <c r="O13" s="8"/>
    </row>
    <row r="14" spans="1:15">
      <c r="A14" s="8">
        <v>0.02</v>
      </c>
      <c r="B14" s="48">
        <f t="shared" ca="1" si="3"/>
        <v>96.414001020142479</v>
      </c>
      <c r="C14" s="45">
        <f t="shared" ca="1" si="0"/>
        <v>0.56436076139086544</v>
      </c>
      <c r="D14" s="53">
        <f t="shared" ref="D14:D77" ca="1" si="5">(C14-C13)*$B$6</f>
        <v>-6.4914811362993707E-2</v>
      </c>
      <c r="E14" s="54">
        <f ca="1">D14*B14</f>
        <v>-6.2586966889740321</v>
      </c>
      <c r="F14" s="54">
        <f t="shared" ref="F14:F77" ca="1" si="6">F13+G13+E14</f>
        <v>56.734946815406545</v>
      </c>
      <c r="G14" s="53">
        <f t="shared" ca="1" si="1"/>
        <v>2.8374566458176095E-2</v>
      </c>
      <c r="H14" s="8"/>
      <c r="I14" s="45">
        <f t="shared" ca="1" si="2"/>
        <v>2.062650625944536E-2</v>
      </c>
      <c r="J14" s="8"/>
      <c r="K14" s="47" t="s">
        <v>82</v>
      </c>
      <c r="L14" s="8"/>
      <c r="M14" s="8"/>
      <c r="O14" s="8"/>
    </row>
    <row r="15" spans="1:15">
      <c r="A15" s="8">
        <v>0.03</v>
      </c>
      <c r="B15" s="48">
        <f t="shared" ca="1" si="3"/>
        <v>94.522401156911897</v>
      </c>
      <c r="C15" s="45">
        <f t="shared" ca="1" si="0"/>
        <v>0.52341284779992003</v>
      </c>
      <c r="D15" s="53">
        <f t="shared" ca="1" si="5"/>
        <v>-4.0947913590945406E-2</v>
      </c>
      <c r="E15" s="54">
        <f ca="1">D15*B15</f>
        <v>-3.8704951149819062</v>
      </c>
      <c r="F15" s="54">
        <f ca="1">F14+G14+E15</f>
        <v>52.892826266882814</v>
      </c>
      <c r="G15" s="53">
        <f t="shared" ca="1" si="1"/>
        <v>2.6453025838791812E-2</v>
      </c>
      <c r="I15" s="45">
        <f t="shared" ca="1" si="2"/>
        <v>2.138999618179771E-2</v>
      </c>
      <c r="J15" s="8"/>
      <c r="K15" s="8"/>
      <c r="L15" s="8"/>
      <c r="M15" s="8"/>
      <c r="O15" s="8"/>
    </row>
    <row r="16" spans="1:15">
      <c r="A16" s="8">
        <v>0.04</v>
      </c>
      <c r="B16" s="48">
        <f t="shared" ca="1" si="3"/>
        <v>92.747079191054524</v>
      </c>
      <c r="C16" s="45">
        <f t="shared" ca="1" si="0"/>
        <v>0.48352655343353368</v>
      </c>
      <c r="D16" s="53">
        <f ca="1">(C16-C15)*$B$6</f>
        <v>-3.9886294366386355E-2</v>
      </c>
      <c r="E16" s="54">
        <f ca="1">D16*B16</f>
        <v>-3.6993373022369473</v>
      </c>
      <c r="F16" s="54">
        <f ca="1">F15+G15+E16</f>
        <v>49.219941990484656</v>
      </c>
      <c r="G16" s="53">
        <f t="shared" ca="1" si="1"/>
        <v>2.4616124513530516E-2</v>
      </c>
      <c r="H16" s="8"/>
      <c r="I16" s="45">
        <f t="shared" ca="1" si="2"/>
        <v>2.193177344288897E-2</v>
      </c>
      <c r="J16" s="8"/>
      <c r="K16" s="8"/>
      <c r="L16" s="8"/>
      <c r="M16" s="8"/>
      <c r="O16" s="8"/>
    </row>
    <row r="17" spans="1:15">
      <c r="A17" s="8">
        <v>0.05</v>
      </c>
      <c r="B17" s="48">
        <f t="shared" ca="1" si="3"/>
        <v>93.973216843301785</v>
      </c>
      <c r="C17" s="45">
        <f t="shared" ca="1" si="0"/>
        <v>0.50888048946107567</v>
      </c>
      <c r="D17" s="53">
        <f t="shared" ca="1" si="5"/>
        <v>2.535393602754199E-2</v>
      </c>
      <c r="E17" s="54">
        <f t="shared" ca="1" si="4"/>
        <v>2.3825909281474047</v>
      </c>
      <c r="F17" s="54">
        <f ca="1">F16+G16+E17</f>
        <v>51.627149043145593</v>
      </c>
      <c r="G17" s="53">
        <f t="shared" ca="1" si="1"/>
        <v>2.5820028990898775E-2</v>
      </c>
      <c r="H17" s="8"/>
      <c r="I17" s="45">
        <f t="shared" ca="1" si="2"/>
        <v>2.1772412898530574E-2</v>
      </c>
      <c r="J17" s="8"/>
      <c r="K17" s="8"/>
      <c r="L17" s="8"/>
      <c r="M17" s="8"/>
      <c r="N17" s="8"/>
      <c r="O17" s="8"/>
    </row>
    <row r="18" spans="1:15">
      <c r="A18" s="8">
        <v>0.06</v>
      </c>
      <c r="B18" s="48">
        <f t="shared" ca="1" si="3"/>
        <v>92.623131392088595</v>
      </c>
      <c r="C18" s="45">
        <f t="shared" ref="C18:C77" ca="1" si="7">CallDelta(B18,$B$4,0,$B$3,$B$2,$B$5-A18)</f>
        <v>0.4777273816524773</v>
      </c>
      <c r="D18" s="53">
        <f t="shared" ca="1" si="5"/>
        <v>-3.1153107808598368E-2</v>
      </c>
      <c r="E18" s="54">
        <f t="shared" ca="1" si="4"/>
        <v>-2.8854983978277078</v>
      </c>
      <c r="F18" s="54">
        <f ca="1">F17+G17+E18</f>
        <v>48.767470674308782</v>
      </c>
      <c r="G18" s="53">
        <f t="shared" ca="1" si="1"/>
        <v>2.438983228710043E-2</v>
      </c>
      <c r="H18" s="8"/>
      <c r="I18" s="45">
        <f t="shared" ca="1" si="2"/>
        <v>2.2177835707153676E-2</v>
      </c>
      <c r="J18" s="8"/>
      <c r="K18" s="8"/>
      <c r="L18" s="8"/>
      <c r="M18" s="8"/>
      <c r="N18" s="8"/>
      <c r="O18" s="8"/>
    </row>
    <row r="19" spans="1:15">
      <c r="A19" s="8">
        <v>7.0000000000000007E-2</v>
      </c>
      <c r="B19" s="48">
        <f t="shared" ca="1" si="3"/>
        <v>90.934115824282443</v>
      </c>
      <c r="C19" s="45">
        <f t="shared" ca="1" si="7"/>
        <v>0.43832966342776158</v>
      </c>
      <c r="D19" s="53">
        <f t="shared" ca="1" si="5"/>
        <v>-3.9397718224715716E-2</v>
      </c>
      <c r="E19" s="54">
        <f t="shared" ca="1" si="4"/>
        <v>-3.5825966722587421</v>
      </c>
      <c r="F19" s="54">
        <f ca="1">F18+G18+E19</f>
        <v>45.209263834337136</v>
      </c>
      <c r="G19" s="53">
        <f t="shared" ca="1" si="1"/>
        <v>2.2610284017121344E-2</v>
      </c>
      <c r="H19" s="8"/>
      <c r="I19" s="45">
        <f t="shared" ca="1" si="2"/>
        <v>2.2474029644276115E-2</v>
      </c>
      <c r="J19" s="8"/>
      <c r="K19" s="8"/>
      <c r="L19" s="8"/>
      <c r="M19" s="8"/>
      <c r="N19" s="8"/>
      <c r="O19" s="8"/>
    </row>
    <row r="20" spans="1:15">
      <c r="A20" s="8">
        <v>0.08</v>
      </c>
      <c r="B20" s="48">
        <f t="shared" ca="1" si="3"/>
        <v>92.1215254539147</v>
      </c>
      <c r="C20" s="45">
        <f t="shared" ca="1" si="7"/>
        <v>0.46332226364063145</v>
      </c>
      <c r="D20" s="53">
        <f t="shared" ca="1" si="5"/>
        <v>2.4992600212869864E-2</v>
      </c>
      <c r="E20" s="54">
        <f t="shared" ca="1" si="4"/>
        <v>2.302356456669405</v>
      </c>
      <c r="F20" s="54">
        <f t="shared" ca="1" si="6"/>
        <v>47.534230575023663</v>
      </c>
      <c r="G20" s="53">
        <f t="shared" ca="1" si="1"/>
        <v>2.3773058056749855E-2</v>
      </c>
      <c r="H20" s="8"/>
      <c r="I20" s="45">
        <f t="shared" ca="1" si="2"/>
        <v>2.2479384663960589E-2</v>
      </c>
      <c r="J20" s="8"/>
      <c r="K20" s="8"/>
      <c r="L20" s="8"/>
      <c r="M20" s="8"/>
      <c r="N20" s="8"/>
      <c r="O20" s="8"/>
    </row>
    <row r="21" spans="1:15">
      <c r="A21" s="8">
        <v>0.09</v>
      </c>
      <c r="B21" s="48">
        <f t="shared" ca="1" si="3"/>
        <v>89.785806789779301</v>
      </c>
      <c r="C21" s="45">
        <f t="shared" ca="1" si="7"/>
        <v>0.40871590905029997</v>
      </c>
      <c r="D21" s="53">
        <f t="shared" ca="1" si="5"/>
        <v>-5.4606354590331474E-2</v>
      </c>
      <c r="E21" s="54">
        <f t="shared" ca="1" si="4"/>
        <v>-4.9028756027416796</v>
      </c>
      <c r="F21" s="54">
        <f t="shared" ca="1" si="6"/>
        <v>42.65512803033873</v>
      </c>
      <c r="G21" s="53">
        <f t="shared" ca="1" si="1"/>
        <v>2.1332896794929047E-2</v>
      </c>
      <c r="H21" s="8"/>
      <c r="I21" s="45">
        <f t="shared" ca="1" si="2"/>
        <v>2.2676686093258801E-2</v>
      </c>
      <c r="J21" s="8"/>
      <c r="K21" s="8"/>
      <c r="L21" s="8"/>
      <c r="M21" s="8"/>
      <c r="N21" s="8"/>
      <c r="O21" s="8"/>
    </row>
    <row r="22" spans="1:15">
      <c r="A22" s="8">
        <v>0.1</v>
      </c>
      <c r="B22" s="48">
        <f t="shared" ca="1" si="3"/>
        <v>90.968152935844756</v>
      </c>
      <c r="C22" s="45">
        <f t="shared" ca="1" si="7"/>
        <v>0.43373751142029504</v>
      </c>
      <c r="D22" s="53">
        <f t="shared" ca="1" si="5"/>
        <v>2.5021602369995066E-2</v>
      </c>
      <c r="E22" s="54">
        <f t="shared" ca="1" si="4"/>
        <v>2.2761689510936067</v>
      </c>
      <c r="F22" s="54">
        <f t="shared" ca="1" si="6"/>
        <v>44.95262987822727</v>
      </c>
      <c r="G22" s="53">
        <f t="shared" ca="1" si="1"/>
        <v>2.248193495447471E-2</v>
      </c>
      <c r="H22" s="8"/>
      <c r="I22" s="45">
        <f t="shared" ca="1" si="2"/>
        <v>2.2794133915016918E-2</v>
      </c>
      <c r="J22" s="8"/>
      <c r="K22" s="8"/>
      <c r="L22" s="8"/>
      <c r="M22" s="8"/>
      <c r="N22" s="8"/>
      <c r="O22" s="8"/>
    </row>
    <row r="23" spans="1:15">
      <c r="A23" s="8">
        <v>0.11</v>
      </c>
      <c r="B23" s="48">
        <f t="shared" ca="1" si="3"/>
        <v>90.129700010538528</v>
      </c>
      <c r="C23" s="45">
        <f t="shared" ca="1" si="7"/>
        <v>0.4127067007613755</v>
      </c>
      <c r="D23" s="53">
        <f t="shared" ca="1" si="5"/>
        <v>-2.1030810658919541E-2</v>
      </c>
      <c r="E23" s="54">
        <f t="shared" ca="1" si="4"/>
        <v>-1.8955006556668543</v>
      </c>
      <c r="F23" s="54">
        <f t="shared" ca="1" si="6"/>
        <v>43.07961115751489</v>
      </c>
      <c r="G23" s="53">
        <f t="shared" ca="1" si="1"/>
        <v>2.1545191427752491E-2</v>
      </c>
      <c r="H23" s="8"/>
      <c r="I23" s="45">
        <f t="shared" ca="1" si="2"/>
        <v>2.2895544304692907E-2</v>
      </c>
      <c r="J23" s="8"/>
      <c r="K23" s="8"/>
      <c r="L23" s="8"/>
      <c r="M23" s="8"/>
      <c r="N23" s="8"/>
      <c r="O23" s="8"/>
    </row>
    <row r="24" spans="1:15">
      <c r="A24" s="8">
        <v>0.12</v>
      </c>
      <c r="B24" s="48">
        <f t="shared" ca="1" si="3"/>
        <v>90.951392220807733</v>
      </c>
      <c r="C24" s="45">
        <f t="shared" ca="1" si="7"/>
        <v>0.42967710639126488</v>
      </c>
      <c r="D24" s="53">
        <f t="shared" ca="1" si="5"/>
        <v>1.6970405629889385E-2</v>
      </c>
      <c r="E24" s="54">
        <f t="shared" ca="1" si="4"/>
        <v>1.5434820185902731</v>
      </c>
      <c r="F24" s="54">
        <f t="shared" ca="1" si="6"/>
        <v>44.64463836753292</v>
      </c>
      <c r="G24" s="53">
        <f t="shared" ca="1" si="1"/>
        <v>2.2327900693771434E-2</v>
      </c>
      <c r="H24" s="8"/>
      <c r="I24" s="45">
        <f t="shared" ca="1" si="2"/>
        <v>2.3015016056287453E-2</v>
      </c>
      <c r="J24" s="8"/>
      <c r="K24" s="8"/>
      <c r="L24" s="8"/>
      <c r="M24" s="8"/>
      <c r="N24" s="8"/>
      <c r="O24" s="8"/>
    </row>
    <row r="25" spans="1:15">
      <c r="A25" s="8">
        <v>0.13</v>
      </c>
      <c r="B25" s="48">
        <f t="shared" ca="1" si="3"/>
        <v>90.922952728128436</v>
      </c>
      <c r="C25" s="45">
        <f t="shared" ca="1" si="7"/>
        <v>0.42714771426842058</v>
      </c>
      <c r="D25" s="53">
        <f t="shared" ca="1" si="5"/>
        <v>-2.5293921228443095E-3</v>
      </c>
      <c r="E25" s="54">
        <f t="shared" ca="1" si="4"/>
        <v>-0.22997980041627358</v>
      </c>
      <c r="F25" s="54">
        <f t="shared" ca="1" si="6"/>
        <v>44.436986467810421</v>
      </c>
      <c r="G25" s="53">
        <f t="shared" ca="1" si="1"/>
        <v>2.2224048783096115E-2</v>
      </c>
      <c r="H25" s="8"/>
      <c r="I25" s="45">
        <f t="shared" ca="1" si="2"/>
        <v>2.3127243367422595E-2</v>
      </c>
      <c r="J25" s="8"/>
      <c r="K25" s="8"/>
      <c r="L25" s="8"/>
      <c r="M25" s="8"/>
      <c r="N25" s="8"/>
      <c r="O25" s="8"/>
    </row>
    <row r="26" spans="1:15">
      <c r="A26" s="8">
        <v>0.14000000000000001</v>
      </c>
      <c r="B26" s="48">
        <f t="shared" ca="1" si="3"/>
        <v>93.643282939637388</v>
      </c>
      <c r="C26" s="45">
        <f t="shared" ca="1" si="7"/>
        <v>0.48821985293363057</v>
      </c>
      <c r="D26" s="53">
        <f t="shared" ca="1" si="5"/>
        <v>6.1072138665209996E-2</v>
      </c>
      <c r="E26" s="54">
        <f t="shared" ca="1" si="4"/>
        <v>5.7189955607550278</v>
      </c>
      <c r="F26" s="54">
        <f t="shared" ca="1" si="6"/>
        <v>50.178206077348541</v>
      </c>
      <c r="G26" s="53">
        <f t="shared" ca="1" si="1"/>
        <v>2.5095376359939563E-2</v>
      </c>
      <c r="H26" s="8"/>
      <c r="I26" s="45">
        <f t="shared" ca="1" si="2"/>
        <v>2.2959626930568106E-2</v>
      </c>
      <c r="J26" s="8"/>
      <c r="K26" s="8"/>
      <c r="L26" s="8"/>
      <c r="M26" s="8"/>
      <c r="N26" s="8"/>
      <c r="O26" s="8"/>
    </row>
    <row r="27" spans="1:15">
      <c r="A27" s="8">
        <v>0.15</v>
      </c>
      <c r="B27" s="48">
        <f t="shared" ca="1" si="3"/>
        <v>92.829665317351967</v>
      </c>
      <c r="C27" s="45">
        <f t="shared" ca="1" si="7"/>
        <v>0.46778934668089711</v>
      </c>
      <c r="D27" s="53">
        <f t="shared" ca="1" si="5"/>
        <v>-2.043050625273346E-2</v>
      </c>
      <c r="E27" s="54">
        <f t="shared" ca="1" si="4"/>
        <v>-1.8965570577053137</v>
      </c>
      <c r="F27" s="54">
        <f t="shared" ca="1" si="6"/>
        <v>48.306744396003168</v>
      </c>
      <c r="G27" s="53">
        <f t="shared" ca="1" si="1"/>
        <v>2.4159411547563212E-2</v>
      </c>
      <c r="H27" s="8"/>
      <c r="I27" s="45">
        <f t="shared" ca="1" si="2"/>
        <v>2.3230853767273438E-2</v>
      </c>
      <c r="J27" s="8"/>
      <c r="K27" s="8"/>
      <c r="L27" s="8"/>
      <c r="M27" s="8"/>
      <c r="N27" s="8"/>
      <c r="O27" s="8"/>
    </row>
    <row r="28" spans="1:15">
      <c r="A28" s="8">
        <v>0.16</v>
      </c>
      <c r="B28" s="48">
        <f t="shared" ca="1" si="3"/>
        <v>94.454101403241012</v>
      </c>
      <c r="C28" s="45">
        <f t="shared" ca="1" si="7"/>
        <v>0.50379524976377932</v>
      </c>
      <c r="D28" s="53">
        <f t="shared" ca="1" si="5"/>
        <v>3.6005903082882207E-2</v>
      </c>
      <c r="E28" s="54">
        <f t="shared" ca="1" si="4"/>
        <v>3.4009052209058241</v>
      </c>
      <c r="F28" s="54">
        <f t="shared" ca="1" si="6"/>
        <v>51.73180902845656</v>
      </c>
      <c r="G28" s="53">
        <f t="shared" ca="1" si="1"/>
        <v>2.5872372068233101E-2</v>
      </c>
      <c r="H28" s="8"/>
      <c r="I28" s="45">
        <f t="shared" ca="1" si="2"/>
        <v>2.3040927499101159E-2</v>
      </c>
      <c r="J28" s="8"/>
      <c r="K28" s="8"/>
      <c r="L28" s="8"/>
      <c r="M28" s="8"/>
      <c r="N28" s="8"/>
      <c r="O28" s="8"/>
    </row>
    <row r="29" spans="1:15">
      <c r="A29" s="8">
        <v>0.17</v>
      </c>
      <c r="B29" s="48">
        <f t="shared" ca="1" si="3"/>
        <v>93.330393576556091</v>
      </c>
      <c r="C29" s="45">
        <f t="shared" ca="1" si="7"/>
        <v>0.47609556495216632</v>
      </c>
      <c r="D29" s="53">
        <f t="shared" ca="1" si="5"/>
        <v>-2.7699684811613001E-2</v>
      </c>
      <c r="E29" s="54">
        <f t="shared" ca="1" si="4"/>
        <v>-2.5852224854143944</v>
      </c>
      <c r="F29" s="54">
        <f t="shared" ca="1" si="6"/>
        <v>49.172458915110404</v>
      </c>
      <c r="G29" s="53">
        <f t="shared" ca="1" si="1"/>
        <v>2.4592377039469617E-2</v>
      </c>
      <c r="H29" s="8"/>
      <c r="I29" s="45">
        <f t="shared" ca="1" si="2"/>
        <v>2.3417329431346185E-2</v>
      </c>
      <c r="J29" s="8"/>
      <c r="K29" s="8"/>
      <c r="L29" s="8"/>
      <c r="M29" s="8"/>
      <c r="N29" s="8"/>
      <c r="O29" s="8"/>
    </row>
    <row r="30" spans="1:15">
      <c r="A30" s="8">
        <v>0.18</v>
      </c>
      <c r="B30" s="48">
        <f t="shared" ca="1" si="3"/>
        <v>91.307161364201576</v>
      </c>
      <c r="C30" s="45">
        <f t="shared" ca="1" si="7"/>
        <v>0.42653649423470807</v>
      </c>
      <c r="D30" s="53">
        <f t="shared" ca="1" si="5"/>
        <v>-4.9559070717458242E-2</v>
      </c>
      <c r="E30" s="54">
        <f t="shared" ca="1" si="4"/>
        <v>-4.5250980670588365</v>
      </c>
      <c r="F30" s="54">
        <f t="shared" ca="1" si="6"/>
        <v>44.671953225091038</v>
      </c>
      <c r="G30" s="53">
        <f t="shared" ca="1" si="1"/>
        <v>2.2341561537476816E-2</v>
      </c>
      <c r="H30" s="8"/>
      <c r="I30" s="45">
        <f t="shared" ca="1" si="2"/>
        <v>2.3714853476540093E-2</v>
      </c>
      <c r="J30" s="8"/>
      <c r="K30" s="8"/>
      <c r="L30" s="8"/>
      <c r="M30" s="8"/>
      <c r="N30" s="8"/>
      <c r="O30" s="8"/>
    </row>
    <row r="31" spans="1:15">
      <c r="A31" s="8">
        <v>0.19</v>
      </c>
      <c r="B31" s="48">
        <f t="shared" ca="1" si="3"/>
        <v>92.562390212839063</v>
      </c>
      <c r="C31" s="45">
        <f t="shared" ca="1" si="7"/>
        <v>0.4544707044953209</v>
      </c>
      <c r="D31" s="53">
        <f t="shared" ca="1" si="5"/>
        <v>2.7934210260612824E-2</v>
      </c>
      <c r="E31" s="54">
        <f t="shared" ca="1" si="4"/>
        <v>2.5856572704303371</v>
      </c>
      <c r="F31" s="54">
        <f t="shared" ca="1" si="6"/>
        <v>47.27995205705885</v>
      </c>
      <c r="G31" s="53">
        <f t="shared" ca="1" si="1"/>
        <v>2.3645887007654593E-2</v>
      </c>
      <c r="H31" s="8"/>
      <c r="I31" s="45">
        <f t="shared" ca="1" si="2"/>
        <v>2.3788246065814866E-2</v>
      </c>
      <c r="J31" s="8"/>
      <c r="K31" s="8"/>
      <c r="L31" s="8"/>
      <c r="M31" s="8"/>
      <c r="N31" s="8"/>
      <c r="O31" s="8"/>
    </row>
    <row r="32" spans="1:15">
      <c r="A32" s="8">
        <v>0.2</v>
      </c>
      <c r="B32" s="48">
        <f t="shared" ca="1" si="3"/>
        <v>95.83242338780839</v>
      </c>
      <c r="C32" s="45">
        <f t="shared" ca="1" si="7"/>
        <v>0.52992491734143354</v>
      </c>
      <c r="D32" s="53">
        <f t="shared" ca="1" si="5"/>
        <v>7.5454212846112645E-2</v>
      </c>
      <c r="E32" s="54">
        <f t="shared" ca="1" si="4"/>
        <v>7.2309600718624774</v>
      </c>
      <c r="F32" s="54">
        <f t="shared" ca="1" si="6"/>
        <v>54.53455801592898</v>
      </c>
      <c r="G32" s="53">
        <f t="shared" ca="1" si="1"/>
        <v>2.7274096963990406E-2</v>
      </c>
      <c r="H32" s="8"/>
      <c r="I32" s="45">
        <f t="shared" ca="1" si="2"/>
        <v>2.3205905429831964E-2</v>
      </c>
      <c r="J32" s="8"/>
      <c r="K32" s="8"/>
      <c r="L32" s="8"/>
      <c r="M32" s="8"/>
      <c r="N32" s="8"/>
      <c r="O32" s="8"/>
    </row>
    <row r="33" spans="1:9">
      <c r="A33" s="8">
        <v>0.21</v>
      </c>
      <c r="B33" s="48">
        <f t="shared" ca="1" si="3"/>
        <v>96.492409080687835</v>
      </c>
      <c r="C33" s="45">
        <f t="shared" ca="1" si="7"/>
        <v>0.54388487544760367</v>
      </c>
      <c r="D33" s="53">
        <f t="shared" ca="1" si="5"/>
        <v>1.3959958106170123E-2</v>
      </c>
      <c r="E33" s="54">
        <f t="shared" ca="1" si="4"/>
        <v>1.3470299883298318</v>
      </c>
      <c r="F33" s="54">
        <f t="shared" ca="1" si="6"/>
        <v>55.908862101222802</v>
      </c>
      <c r="G33" s="53">
        <f t="shared" ca="1" si="1"/>
        <v>2.7961420823282773E-2</v>
      </c>
      <c r="I33" s="45">
        <f t="shared" ca="1" si="2"/>
        <v>2.3117193159151526E-2</v>
      </c>
    </row>
    <row r="34" spans="1:9">
      <c r="A34" s="8">
        <v>0.22</v>
      </c>
      <c r="B34" s="48">
        <f t="shared" ca="1" si="3"/>
        <v>97.38966120273858</v>
      </c>
      <c r="C34" s="45">
        <f t="shared" ca="1" si="7"/>
        <v>0.56331024325653123</v>
      </c>
      <c r="D34" s="53">
        <f t="shared" ca="1" si="5"/>
        <v>1.9425367808927563E-2</v>
      </c>
      <c r="E34" s="54">
        <f t="shared" ca="1" si="4"/>
        <v>1.8918299896500397</v>
      </c>
      <c r="F34" s="54">
        <f t="shared" ca="1" si="6"/>
        <v>57.828653511696125</v>
      </c>
      <c r="G34" s="53">
        <f t="shared" ca="1" si="1"/>
        <v>2.8921556542446231E-2</v>
      </c>
      <c r="I34" s="45">
        <f t="shared" ca="1" si="2"/>
        <v>2.289838369042118E-2</v>
      </c>
    </row>
    <row r="35" spans="1:9">
      <c r="A35" s="8">
        <v>0.23</v>
      </c>
      <c r="B35" s="48">
        <f t="shared" ca="1" si="3"/>
        <v>96.646695102920177</v>
      </c>
      <c r="C35" s="45">
        <f t="shared" ca="1" si="7"/>
        <v>0.54489533400952195</v>
      </c>
      <c r="D35" s="53">
        <f t="shared" ca="1" si="5"/>
        <v>-1.8414909247009281E-2</v>
      </c>
      <c r="E35" s="54">
        <f t="shared" ca="1" si="4"/>
        <v>-1.7797401193436513</v>
      </c>
      <c r="F35" s="54">
        <f t="shared" ca="1" si="6"/>
        <v>56.077834948894917</v>
      </c>
      <c r="G35" s="53">
        <f t="shared" ca="1" si="1"/>
        <v>2.8045928372245482E-2</v>
      </c>
      <c r="I35" s="45">
        <f t="shared" ca="1" si="2"/>
        <v>2.3371469049112952E-2</v>
      </c>
    </row>
    <row r="36" spans="1:9">
      <c r="A36" s="8">
        <v>0.24</v>
      </c>
      <c r="B36" s="48">
        <f t="shared" ca="1" si="3"/>
        <v>93.313145783661639</v>
      </c>
      <c r="C36" s="45">
        <f t="shared" ca="1" si="7"/>
        <v>0.46342086363855894</v>
      </c>
      <c r="D36" s="53">
        <f t="shared" ca="1" si="5"/>
        <v>-8.1474470370963004E-2</v>
      </c>
      <c r="E36" s="54">
        <f t="shared" ca="1" si="4"/>
        <v>-7.6026391313722916</v>
      </c>
      <c r="F36" s="54">
        <f t="shared" ca="1" si="6"/>
        <v>48.503241745894869</v>
      </c>
      <c r="G36" s="53">
        <f t="shared" ca="1" si="1"/>
        <v>2.4257684788771987E-2</v>
      </c>
      <c r="I36" s="45">
        <f t="shared" ca="1" si="2"/>
        <v>2.4417417975505167E-2</v>
      </c>
    </row>
    <row r="37" spans="1:9">
      <c r="A37" s="8">
        <v>0.25</v>
      </c>
      <c r="B37" s="48">
        <f t="shared" ca="1" si="3"/>
        <v>96.52176947875266</v>
      </c>
      <c r="C37" s="45">
        <f t="shared" ca="1" si="7"/>
        <v>0.53931880283879097</v>
      </c>
      <c r="D37" s="53">
        <f t="shared" ca="1" si="5"/>
        <v>7.5897939200232023E-2</v>
      </c>
      <c r="E37" s="54">
        <f t="shared" ca="1" si="4"/>
        <v>7.3258033913971801</v>
      </c>
      <c r="F37" s="54">
        <f t="shared" ca="1" si="6"/>
        <v>55.853302822080821</v>
      </c>
      <c r="G37" s="53">
        <f t="shared" ca="1" si="1"/>
        <v>2.7933634237644264E-2</v>
      </c>
      <c r="I37" s="45">
        <f t="shared" ca="1" si="2"/>
        <v>2.3746960628784741E-2</v>
      </c>
    </row>
    <row r="38" spans="1:9">
      <c r="A38" s="8">
        <v>0.26</v>
      </c>
      <c r="B38" s="48">
        <f t="shared" ca="1" si="3"/>
        <v>99.450749260211438</v>
      </c>
      <c r="C38" s="45">
        <f t="shared" ca="1" si="7"/>
        <v>0.60606158344081362</v>
      </c>
      <c r="D38" s="53">
        <f t="shared" ca="1" si="5"/>
        <v>6.6742780602022656E-2</v>
      </c>
      <c r="E38" s="54">
        <f t="shared" ca="1" si="4"/>
        <v>6.6376195385810588</v>
      </c>
      <c r="F38" s="54">
        <f t="shared" ca="1" si="6"/>
        <v>62.518855994899518</v>
      </c>
      <c r="G38" s="53">
        <f t="shared" ca="1" si="1"/>
        <v>3.1267244157082687E-2</v>
      </c>
      <c r="I38" s="45">
        <f t="shared" ca="1" si="2"/>
        <v>2.248718640674335E-2</v>
      </c>
    </row>
    <row r="39" spans="1:9">
      <c r="A39" s="8">
        <v>0.27</v>
      </c>
      <c r="B39" s="48">
        <f t="shared" ca="1" si="3"/>
        <v>99.098440663720041</v>
      </c>
      <c r="C39" s="45">
        <f t="shared" ca="1" si="7"/>
        <v>0.59717473543426047</v>
      </c>
      <c r="D39" s="53">
        <f t="shared" ca="1" si="5"/>
        <v>-8.8868480065531497E-3</v>
      </c>
      <c r="E39" s="54">
        <f t="shared" ca="1" si="4"/>
        <v>-0.880672779864906</v>
      </c>
      <c r="F39" s="54">
        <f t="shared" ca="1" si="6"/>
        <v>61.669450459191694</v>
      </c>
      <c r="G39" s="53">
        <f t="shared" ca="1" si="1"/>
        <v>3.0842435195838725E-2</v>
      </c>
      <c r="I39" s="45">
        <f t="shared" ca="1" si="2"/>
        <v>2.2856332751474032E-2</v>
      </c>
    </row>
    <row r="40" spans="1:9">
      <c r="A40" s="8">
        <v>0.28000000000000003</v>
      </c>
      <c r="B40" s="48">
        <f t="shared" ca="1" si="3"/>
        <v>98.363006828547071</v>
      </c>
      <c r="C40" s="45">
        <f t="shared" ca="1" si="7"/>
        <v>0.57915247668296721</v>
      </c>
      <c r="D40" s="53">
        <f t="shared" ca="1" si="5"/>
        <v>-1.8022258751293263E-2</v>
      </c>
      <c r="E40" s="54">
        <f t="shared" ca="1" si="4"/>
        <v>-1.7727235606193015</v>
      </c>
      <c r="F40" s="54">
        <f t="shared" ca="1" si="6"/>
        <v>59.927569333768226</v>
      </c>
      <c r="G40" s="53">
        <f t="shared" ca="1" si="1"/>
        <v>2.9971276861692736E-2</v>
      </c>
      <c r="I40" s="45">
        <f t="shared" ca="1" si="2"/>
        <v>2.3427175773479029E-2</v>
      </c>
    </row>
    <row r="41" spans="1:9">
      <c r="A41" s="8">
        <v>0.28999999999999998</v>
      </c>
      <c r="B41" s="48">
        <f t="shared" ca="1" si="3"/>
        <v>95.332610108503644</v>
      </c>
      <c r="C41" s="45">
        <f t="shared" ca="1" si="7"/>
        <v>0.50450191360939878</v>
      </c>
      <c r="D41" s="53">
        <f t="shared" ca="1" si="5"/>
        <v>-7.4650563073568432E-2</v>
      </c>
      <c r="E41" s="54">
        <f t="shared" ca="1" si="4"/>
        <v>-7.1166330238727591</v>
      </c>
      <c r="F41" s="54">
        <f t="shared" ca="1" si="6"/>
        <v>52.840907586757162</v>
      </c>
      <c r="G41" s="53">
        <f t="shared" ca="1" si="1"/>
        <v>2.6427060007812201E-2</v>
      </c>
      <c r="I41" s="45">
        <f t="shared" ca="1" si="2"/>
        <v>2.4830288337202713E-2</v>
      </c>
    </row>
    <row r="42" spans="1:9">
      <c r="A42" s="8">
        <v>0.3</v>
      </c>
      <c r="B42" s="48">
        <f t="shared" ca="1" si="3"/>
        <v>96.199050968101616</v>
      </c>
      <c r="C42" s="45">
        <f t="shared" ca="1" si="7"/>
        <v>0.52442053779856013</v>
      </c>
      <c r="D42" s="53">
        <f t="shared" ca="1" si="5"/>
        <v>1.9918624189161349E-2</v>
      </c>
      <c r="E42" s="54">
        <f t="shared" ca="1" si="4"/>
        <v>1.9161527435875945</v>
      </c>
      <c r="F42" s="54">
        <f t="shared" ca="1" si="6"/>
        <v>54.783487390352569</v>
      </c>
      <c r="G42" s="53">
        <f t="shared" ca="1" si="1"/>
        <v>2.7398592772560657E-2</v>
      </c>
      <c r="I42" s="45">
        <f t="shared" ca="1" si="2"/>
        <v>2.47369180118352E-2</v>
      </c>
    </row>
    <row r="43" spans="1:9">
      <c r="A43" s="8">
        <v>0.31</v>
      </c>
      <c r="B43" s="48">
        <f t="shared" ca="1" si="3"/>
        <v>94.066112309264199</v>
      </c>
      <c r="C43" s="45">
        <f t="shared" ca="1" si="7"/>
        <v>0.46911986574180597</v>
      </c>
      <c r="D43" s="53">
        <f t="shared" ca="1" si="5"/>
        <v>-5.5300672056754152E-2</v>
      </c>
      <c r="E43" s="54">
        <f t="shared" ca="1" si="4"/>
        <v>-5.2019192284684248</v>
      </c>
      <c r="F43" s="54">
        <f t="shared" ca="1" si="6"/>
        <v>49.608966754656706</v>
      </c>
      <c r="G43" s="53">
        <f t="shared" ca="1" si="1"/>
        <v>2.4810685531817724E-2</v>
      </c>
      <c r="I43" s="45">
        <f t="shared" ca="1" si="2"/>
        <v>2.545181089764393E-2</v>
      </c>
    </row>
    <row r="44" spans="1:9">
      <c r="A44" s="8">
        <v>0.32</v>
      </c>
      <c r="B44" s="48">
        <f t="shared" ca="1" si="3"/>
        <v>93.624217577464862</v>
      </c>
      <c r="C44" s="45">
        <f t="shared" ca="1" si="7"/>
        <v>0.45586940091443262</v>
      </c>
      <c r="D44" s="53">
        <f t="shared" ca="1" si="5"/>
        <v>-1.3250464827373354E-2</v>
      </c>
      <c r="E44" s="54">
        <f t="shared" ca="1" si="4"/>
        <v>-1.2405644020005482</v>
      </c>
      <c r="F44" s="54">
        <f t="shared" ca="1" si="6"/>
        <v>48.393213038187973</v>
      </c>
      <c r="G44" s="53">
        <f t="shared" ref="G44:G75" ca="1" si="8">F44*(EXP(DH_Rate*DH_dt)-1)</f>
        <v>2.4202656679037534E-2</v>
      </c>
      <c r="I44" s="45">
        <f t="shared" ref="I44:I75" ca="1" si="9">CallGamma(B44,$B$4,0,$B$3,$B$2,$B$5-A44)</f>
        <v>2.5678484559700628E-2</v>
      </c>
    </row>
    <row r="45" spans="1:9">
      <c r="A45" s="8">
        <v>0.33</v>
      </c>
      <c r="B45" s="48">
        <f t="shared" ref="B45:B76" ca="1" si="10">B44*EXP(($B$3-0.5*$B$4^2)*$A$13+$B$4*NORMSINV(RAND())*SQRT($A$13))</f>
        <v>94.509504169086384</v>
      </c>
      <c r="C45" s="45">
        <f t="shared" ca="1" si="7"/>
        <v>0.47669233740546357</v>
      </c>
      <c r="D45" s="53">
        <f t="shared" ca="1" si="5"/>
        <v>2.0822936491030952E-2</v>
      </c>
      <c r="E45" s="54">
        <f t="shared" ca="1" si="4"/>
        <v>1.9679654031117109</v>
      </c>
      <c r="F45" s="54">
        <f t="shared" ca="1" si="6"/>
        <v>50.385381097978723</v>
      </c>
      <c r="G45" s="53">
        <f t="shared" ca="1" si="8"/>
        <v>2.5198989771448899E-2</v>
      </c>
      <c r="I45" s="45">
        <f t="shared" ca="1" si="9"/>
        <v>2.5740984549991366E-2</v>
      </c>
    </row>
    <row r="46" spans="1:9">
      <c r="A46" s="8">
        <v>0.34</v>
      </c>
      <c r="B46" s="48">
        <f t="shared" ca="1" si="10"/>
        <v>93.476428163024238</v>
      </c>
      <c r="C46" s="45">
        <f t="shared" ca="1" si="7"/>
        <v>0.44794627478733828</v>
      </c>
      <c r="D46" s="53">
        <f t="shared" ca="1" si="5"/>
        <v>-2.874606261812529E-2</v>
      </c>
      <c r="E46" s="54">
        <f t="shared" ca="1" si="4"/>
        <v>-2.6870792572929849</v>
      </c>
      <c r="F46" s="54">
        <f t="shared" ca="1" si="6"/>
        <v>47.723500830457183</v>
      </c>
      <c r="G46" s="53">
        <f t="shared" ca="1" si="8"/>
        <v>2.386771684719215E-2</v>
      </c>
      <c r="I46" s="45">
        <f t="shared" ca="1" si="9"/>
        <v>2.6042817336694807E-2</v>
      </c>
    </row>
    <row r="47" spans="1:9">
      <c r="A47" s="8">
        <v>0.35</v>
      </c>
      <c r="B47" s="48">
        <f t="shared" ca="1" si="10"/>
        <v>94.261905451614339</v>
      </c>
      <c r="C47" s="45">
        <f t="shared" ca="1" si="7"/>
        <v>0.46640868802045665</v>
      </c>
      <c r="D47" s="53">
        <f t="shared" ca="1" si="5"/>
        <v>1.8462413233118369E-2</v>
      </c>
      <c r="E47" s="54">
        <f t="shared" ca="1" si="4"/>
        <v>1.740302250588837</v>
      </c>
      <c r="F47" s="54">
        <f t="shared" ca="1" si="6"/>
        <v>49.487670797893216</v>
      </c>
      <c r="G47" s="53">
        <f t="shared" ca="1" si="8"/>
        <v>2.4750022388914078E-2</v>
      </c>
      <c r="I47" s="45">
        <f t="shared" ca="1" si="9"/>
        <v>2.6154354588421132E-2</v>
      </c>
    </row>
    <row r="48" spans="1:9">
      <c r="A48" s="8">
        <v>0.36</v>
      </c>
      <c r="B48" s="48">
        <f t="shared" ca="1" si="10"/>
        <v>94.092821479455921</v>
      </c>
      <c r="C48" s="45">
        <f t="shared" ca="1" si="7"/>
        <v>0.45995272740441673</v>
      </c>
      <c r="D48" s="53">
        <f t="shared" ca="1" si="5"/>
        <v>-6.4559606160399241E-3</v>
      </c>
      <c r="E48" s="54">
        <f t="shared" ca="1" si="4"/>
        <v>-0.60745954972344285</v>
      </c>
      <c r="F48" s="54">
        <f t="shared" ca="1" si="6"/>
        <v>48.904961270558687</v>
      </c>
      <c r="G48" s="53">
        <f t="shared" ca="1" si="8"/>
        <v>2.4458594774414647E-2</v>
      </c>
      <c r="I48" s="45">
        <f t="shared" ca="1" si="9"/>
        <v>2.636562398796596E-2</v>
      </c>
    </row>
    <row r="49" spans="1:9">
      <c r="A49" s="8">
        <v>0.37</v>
      </c>
      <c r="B49" s="48">
        <f t="shared" ca="1" si="10"/>
        <v>93.377087651091017</v>
      </c>
      <c r="C49" s="45">
        <f t="shared" ca="1" si="7"/>
        <v>0.43886087560048892</v>
      </c>
      <c r="D49" s="53">
        <f t="shared" ca="1" si="5"/>
        <v>-2.1091851803927808E-2</v>
      </c>
      <c r="E49" s="54">
        <f t="shared" ca="1" si="4"/>
        <v>-1.9694956946191891</v>
      </c>
      <c r="F49" s="54">
        <f t="shared" ca="1" si="6"/>
        <v>46.959924170713911</v>
      </c>
      <c r="G49" s="53">
        <f t="shared" ca="1" si="8"/>
        <v>2.3485833054328276E-2</v>
      </c>
      <c r="I49" s="45">
        <f t="shared" ca="1" si="9"/>
        <v>2.6596782991717551E-2</v>
      </c>
    </row>
    <row r="50" spans="1:9">
      <c r="A50" s="8">
        <v>0.38</v>
      </c>
      <c r="B50" s="48">
        <f t="shared" ca="1" si="10"/>
        <v>93.619733441827449</v>
      </c>
      <c r="C50" s="45">
        <f t="shared" ca="1" si="7"/>
        <v>0.44312166141683051</v>
      </c>
      <c r="D50" s="53">
        <f t="shared" ca="1" si="5"/>
        <v>4.2607858163415946E-3</v>
      </c>
      <c r="E50" s="54">
        <f t="shared" ca="1" si="4"/>
        <v>0.39889363237861925</v>
      </c>
      <c r="F50" s="54">
        <f t="shared" ca="1" si="6"/>
        <v>47.382303636146858</v>
      </c>
      <c r="G50" s="53">
        <f t="shared" ca="1" si="8"/>
        <v>2.3697075593278563E-2</v>
      </c>
      <c r="I50" s="45">
        <f t="shared" ca="1" si="9"/>
        <v>2.6783831422289173E-2</v>
      </c>
    </row>
    <row r="51" spans="1:9">
      <c r="A51" s="8">
        <v>0.39</v>
      </c>
      <c r="B51" s="48">
        <f t="shared" ca="1" si="10"/>
        <v>94.168886073778879</v>
      </c>
      <c r="C51" s="45">
        <f t="shared" ca="1" si="7"/>
        <v>0.45570253196072141</v>
      </c>
      <c r="D51" s="53">
        <f t="shared" ca="1" si="5"/>
        <v>1.2580870543890899E-2</v>
      </c>
      <c r="E51" s="54">
        <f t="shared" ca="1" si="4"/>
        <v>1.1847265649566225</v>
      </c>
      <c r="F51" s="54">
        <f t="shared" ca="1" si="6"/>
        <v>48.590727276696754</v>
      </c>
      <c r="G51" s="53">
        <f t="shared" ca="1" si="8"/>
        <v>2.4301438491687116E-2</v>
      </c>
      <c r="I51" s="45">
        <f t="shared" ca="1" si="9"/>
        <v>2.6953762544523002E-2</v>
      </c>
    </row>
    <row r="52" spans="1:9">
      <c r="A52" s="8">
        <v>0.4</v>
      </c>
      <c r="B52" s="48">
        <f t="shared" ca="1" si="10"/>
        <v>96.483316379825411</v>
      </c>
      <c r="C52" s="45">
        <f t="shared" ca="1" si="7"/>
        <v>0.5159615925230655</v>
      </c>
      <c r="D52" s="53">
        <f t="shared" ca="1" si="5"/>
        <v>6.0259060562344091E-2</v>
      </c>
      <c r="E52" s="54">
        <f t="shared" ca="1" si="4"/>
        <v>5.8139940049877055</v>
      </c>
      <c r="F52" s="54">
        <f t="shared" ca="1" si="6"/>
        <v>54.42902272017615</v>
      </c>
      <c r="G52" s="53">
        <f t="shared" ca="1" si="8"/>
        <v>2.7221316122003104E-2</v>
      </c>
      <c r="I52" s="45">
        <f t="shared" ca="1" si="9"/>
        <v>2.6668859123954631E-2</v>
      </c>
    </row>
    <row r="53" spans="1:9">
      <c r="A53" s="8">
        <v>0.41</v>
      </c>
      <c r="B53" s="48">
        <f t="shared" ca="1" si="10"/>
        <v>93.628177176440417</v>
      </c>
      <c r="C53" s="45">
        <f t="shared" ca="1" si="7"/>
        <v>0.43654528306730722</v>
      </c>
      <c r="D53" s="53">
        <f t="shared" ca="1" si="5"/>
        <v>-7.9416309455758283E-2</v>
      </c>
      <c r="E53" s="54">
        <f t="shared" ca="1" si="4"/>
        <v>-7.4356042924227568</v>
      </c>
      <c r="F53" s="54">
        <f t="shared" ca="1" si="6"/>
        <v>47.020639743875392</v>
      </c>
      <c r="G53" s="53">
        <f t="shared" ca="1" si="8"/>
        <v>2.3516198431620724E-2</v>
      </c>
      <c r="I53" s="45">
        <f t="shared" ca="1" si="9"/>
        <v>2.7384637441523637E-2</v>
      </c>
    </row>
    <row r="54" spans="1:9">
      <c r="A54" s="8">
        <v>0.42</v>
      </c>
      <c r="B54" s="48">
        <f t="shared" ca="1" si="10"/>
        <v>92.236330131781287</v>
      </c>
      <c r="C54" s="45">
        <f t="shared" ca="1" si="7"/>
        <v>0.39587784027704354</v>
      </c>
      <c r="D54" s="53">
        <f t="shared" ca="1" si="5"/>
        <v>-4.0667442790263686E-2</v>
      </c>
      <c r="E54" s="54">
        <f t="shared" ca="1" si="4"/>
        <v>-3.7510156788180899</v>
      </c>
      <c r="F54" s="54">
        <f t="shared" ca="1" si="6"/>
        <v>43.293140263488922</v>
      </c>
      <c r="G54" s="53">
        <f t="shared" ca="1" si="8"/>
        <v>2.1651982676326818E-2</v>
      </c>
      <c r="I54" s="45">
        <f t="shared" ca="1" si="9"/>
        <v>2.742370593553178E-2</v>
      </c>
    </row>
    <row r="55" spans="1:9">
      <c r="A55" s="8">
        <v>0.43</v>
      </c>
      <c r="B55" s="48">
        <f t="shared" ca="1" si="10"/>
        <v>91.697054811638068</v>
      </c>
      <c r="C55" s="45">
        <f t="shared" ca="1" si="7"/>
        <v>0.37835369589285139</v>
      </c>
      <c r="D55" s="53">
        <f t="shared" ca="1" si="5"/>
        <v>-1.7524144384192142E-2</v>
      </c>
      <c r="E55" s="54">
        <f t="shared" ca="1" si="4"/>
        <v>-1.6069124281243263</v>
      </c>
      <c r="F55" s="54">
        <f t="shared" ca="1" si="6"/>
        <v>41.707879818040922</v>
      </c>
      <c r="G55" s="53">
        <f t="shared" ca="1" si="8"/>
        <v>2.0859154263016884E-2</v>
      </c>
      <c r="I55" s="45">
        <f t="shared" ca="1" si="9"/>
        <v>2.746283081604017E-2</v>
      </c>
    </row>
    <row r="56" spans="1:9">
      <c r="A56" s="8">
        <v>0.44</v>
      </c>
      <c r="B56" s="48">
        <f t="shared" ca="1" si="10"/>
        <v>91.573810911574853</v>
      </c>
      <c r="C56" s="45">
        <f t="shared" ca="1" si="7"/>
        <v>0.37212719444326714</v>
      </c>
      <c r="D56" s="53">
        <f t="shared" ca="1" si="5"/>
        <v>-6.2265014495842541E-3</v>
      </c>
      <c r="E56" s="54">
        <f t="shared" ca="1" si="4"/>
        <v>-0.57018446638487519</v>
      </c>
      <c r="F56" s="54">
        <f t="shared" ca="1" si="6"/>
        <v>41.158554505919064</v>
      </c>
      <c r="G56" s="53">
        <f t="shared" ca="1" si="8"/>
        <v>2.0584422929846281E-2</v>
      </c>
      <c r="I56" s="45">
        <f t="shared" ca="1" si="9"/>
        <v>2.75997653194315E-2</v>
      </c>
    </row>
    <row r="57" spans="1:9">
      <c r="A57" s="8">
        <v>0.45</v>
      </c>
      <c r="B57" s="48">
        <f t="shared" ca="1" si="10"/>
        <v>92.73342430944848</v>
      </c>
      <c r="C57" s="45">
        <f t="shared" ca="1" si="7"/>
        <v>0.401658161860458</v>
      </c>
      <c r="D57" s="53">
        <f t="shared" ca="1" si="5"/>
        <v>2.9530967417190856E-2</v>
      </c>
      <c r="E57" s="54">
        <f t="shared" ca="1" si="4"/>
        <v>2.7385077317668576</v>
      </c>
      <c r="F57" s="54">
        <f t="shared" ca="1" si="6"/>
        <v>43.917646660615766</v>
      </c>
      <c r="G57" s="53">
        <f t="shared" ca="1" si="8"/>
        <v>2.1964313951202002E-2</v>
      </c>
      <c r="I57" s="45">
        <f t="shared" ca="1" si="9"/>
        <v>2.8118545687181036E-2</v>
      </c>
    </row>
    <row r="58" spans="1:9">
      <c r="A58" s="8">
        <v>0.46</v>
      </c>
      <c r="B58" s="48">
        <f t="shared" ca="1" si="10"/>
        <v>92.371808994691861</v>
      </c>
      <c r="C58" s="45">
        <f t="shared" ca="1" si="7"/>
        <v>0.38870319578766532</v>
      </c>
      <c r="D58" s="53">
        <f t="shared" ca="1" si="5"/>
        <v>-1.2954966072792673E-2</v>
      </c>
      <c r="E58" s="54">
        <f t="shared" ca="1" si="4"/>
        <v>-1.1966736516087182</v>
      </c>
      <c r="F58" s="54">
        <f t="shared" ca="1" si="6"/>
        <v>42.742937322958248</v>
      </c>
      <c r="G58" s="53">
        <f t="shared" ca="1" si="8"/>
        <v>2.1376812419229965E-2</v>
      </c>
      <c r="I58" s="45">
        <f t="shared" ca="1" si="9"/>
        <v>2.8235104728124693E-2</v>
      </c>
    </row>
    <row r="59" spans="1:9">
      <c r="A59" s="8">
        <v>0.47</v>
      </c>
      <c r="B59" s="48">
        <f t="shared" ca="1" si="10"/>
        <v>94.363524048854401</v>
      </c>
      <c r="C59" s="45">
        <f t="shared" ca="1" si="7"/>
        <v>0.44288886851668652</v>
      </c>
      <c r="D59" s="53">
        <f t="shared" ca="1" si="5"/>
        <v>5.4185672729021195E-2</v>
      </c>
      <c r="E59" s="54">
        <f t="shared" ca="1" si="4"/>
        <v>5.1131510316683455</v>
      </c>
      <c r="F59" s="54">
        <f t="shared" ca="1" si="6"/>
        <v>47.87746516704582</v>
      </c>
      <c r="G59" s="53">
        <f t="shared" ca="1" si="8"/>
        <v>2.3944718264236518E-2</v>
      </c>
      <c r="I59" s="45">
        <f t="shared" ca="1" si="9"/>
        <v>2.8738040817755169E-2</v>
      </c>
    </row>
    <row r="60" spans="1:9">
      <c r="A60" s="8">
        <v>0.48</v>
      </c>
      <c r="B60" s="48">
        <f t="shared" ca="1" si="10"/>
        <v>95.409931663657602</v>
      </c>
      <c r="C60" s="45">
        <f t="shared" ca="1" si="7"/>
        <v>0.47073940421059646</v>
      </c>
      <c r="D60" s="53">
        <f t="shared" ca="1" si="5"/>
        <v>2.7850535693909939E-2</v>
      </c>
      <c r="E60" s="54">
        <f t="shared" ca="1" si="4"/>
        <v>2.6572177073522041</v>
      </c>
      <c r="F60" s="54">
        <f t="shared" ca="1" si="6"/>
        <v>50.558627592662262</v>
      </c>
      <c r="G60" s="53">
        <f t="shared" ca="1" si="8"/>
        <v>2.5285634678212245E-2</v>
      </c>
      <c r="I60" s="45">
        <f t="shared" ca="1" si="9"/>
        <v>2.8914425505368092E-2</v>
      </c>
    </row>
    <row r="61" spans="1:9">
      <c r="A61" s="8">
        <v>0.49</v>
      </c>
      <c r="B61" s="48">
        <f t="shared" ca="1" si="10"/>
        <v>92.866501965540735</v>
      </c>
      <c r="C61" s="45">
        <f t="shared" ca="1" si="7"/>
        <v>0.39427122718350127</v>
      </c>
      <c r="D61" s="53">
        <f t="shared" ca="1" si="5"/>
        <v>-7.6468177027095185E-2</v>
      </c>
      <c r="E61" s="54">
        <f t="shared" ca="1" si="4"/>
        <v>-7.1013321121880519</v>
      </c>
      <c r="F61" s="54">
        <f t="shared" ca="1" si="6"/>
        <v>43.482581115152421</v>
      </c>
      <c r="G61" s="53">
        <f t="shared" ca="1" si="8"/>
        <v>2.1746726786212183E-2</v>
      </c>
      <c r="I61" s="45">
        <f t="shared" ca="1" si="9"/>
        <v>2.9014545225539569E-2</v>
      </c>
    </row>
    <row r="62" spans="1:9">
      <c r="A62" s="8">
        <v>0.5</v>
      </c>
      <c r="B62" s="48">
        <f t="shared" ca="1" si="10"/>
        <v>90.77242803575119</v>
      </c>
      <c r="C62" s="45">
        <f t="shared" ca="1" si="7"/>
        <v>0.33102116744286603</v>
      </c>
      <c r="D62" s="53">
        <f t="shared" ca="1" si="5"/>
        <v>-6.3250059740635245E-2</v>
      </c>
      <c r="E62" s="54">
        <f t="shared" ca="1" si="4"/>
        <v>-5.7413614960637762</v>
      </c>
      <c r="F62" s="54">
        <f t="shared" ca="1" si="6"/>
        <v>37.762966345874858</v>
      </c>
      <c r="G62" s="53">
        <f t="shared" ca="1" si="8"/>
        <v>1.8886204330554202E-2</v>
      </c>
      <c r="I62" s="45">
        <f t="shared" ca="1" si="9"/>
        <v>2.8245850066556159E-2</v>
      </c>
    </row>
    <row r="63" spans="1:9">
      <c r="A63" s="8">
        <v>0.51</v>
      </c>
      <c r="B63" s="48">
        <f t="shared" ca="1" si="10"/>
        <v>89.841583356507812</v>
      </c>
      <c r="C63" s="45">
        <f t="shared" ca="1" si="7"/>
        <v>0.30147638595327886</v>
      </c>
      <c r="D63" s="53">
        <f t="shared" ca="1" si="5"/>
        <v>-2.9544781489587169E-2</v>
      </c>
      <c r="E63" s="54">
        <f t="shared" ca="1" si="4"/>
        <v>-2.6543499489465545</v>
      </c>
      <c r="F63" s="54">
        <f t="shared" ca="1" si="6"/>
        <v>35.127502601258861</v>
      </c>
      <c r="G63" s="53">
        <f t="shared" ca="1" si="8"/>
        <v>1.7568142970365998E-2</v>
      </c>
      <c r="I63" s="45">
        <f t="shared" ca="1" si="9"/>
        <v>2.7704615255792982E-2</v>
      </c>
    </row>
    <row r="64" spans="1:9">
      <c r="A64" s="8">
        <v>0.52</v>
      </c>
      <c r="B64" s="48">
        <f t="shared" ca="1" si="10"/>
        <v>88.140545372670999</v>
      </c>
      <c r="C64" s="45">
        <f t="shared" ca="1" si="7"/>
        <v>0.25188999098032971</v>
      </c>
      <c r="D64" s="53">
        <f t="shared" ca="1" si="5"/>
        <v>-4.9586394972949144E-2</v>
      </c>
      <c r="E64" s="54">
        <f t="shared" ca="1" si="4"/>
        <v>-4.370571895980409</v>
      </c>
      <c r="F64" s="54">
        <f t="shared" ca="1" si="6"/>
        <v>30.774498848248822</v>
      </c>
      <c r="G64" s="53">
        <f t="shared" ca="1" si="8"/>
        <v>1.5391096877693314E-2</v>
      </c>
      <c r="I64" s="45">
        <f t="shared" ca="1" si="9"/>
        <v>2.6123217580699902E-2</v>
      </c>
    </row>
    <row r="65" spans="1:9">
      <c r="A65" s="8">
        <v>0.53</v>
      </c>
      <c r="B65" s="48">
        <f t="shared" ca="1" si="10"/>
        <v>91.341903432231348</v>
      </c>
      <c r="C65" s="45">
        <f t="shared" ca="1" si="7"/>
        <v>0.33704820957999837</v>
      </c>
      <c r="D65" s="53">
        <f t="shared" ca="1" si="5"/>
        <v>8.5158218599668656E-2</v>
      </c>
      <c r="E65" s="54">
        <f t="shared" ca="1" si="4"/>
        <v>7.7785137797917816</v>
      </c>
      <c r="F65" s="54">
        <f t="shared" ca="1" si="6"/>
        <v>38.568403724918298</v>
      </c>
      <c r="G65" s="53">
        <f t="shared" ca="1" si="8"/>
        <v>1.9289023716530275E-2</v>
      </c>
      <c r="I65" s="45">
        <f t="shared" ca="1" si="9"/>
        <v>2.9158090876873922E-2</v>
      </c>
    </row>
    <row r="66" spans="1:9">
      <c r="A66" s="8">
        <v>0.54</v>
      </c>
      <c r="B66" s="48">
        <f t="shared" ca="1" si="10"/>
        <v>92.480853641756639</v>
      </c>
      <c r="C66" s="45">
        <f t="shared" ca="1" si="7"/>
        <v>0.36734837983766633</v>
      </c>
      <c r="D66" s="53">
        <f t="shared" ca="1" si="5"/>
        <v>3.0300170257667958E-2</v>
      </c>
      <c r="E66" s="54">
        <f t="shared" ca="1" si="4"/>
        <v>2.8021856109196981</v>
      </c>
      <c r="F66" s="54">
        <f t="shared" ca="1" si="6"/>
        <v>41.38987835955453</v>
      </c>
      <c r="G66" s="53">
        <f t="shared" ca="1" si="8"/>
        <v>2.0700113776965547E-2</v>
      </c>
      <c r="I66" s="45">
        <f t="shared" ca="1" si="9"/>
        <v>3.0026971351050882E-2</v>
      </c>
    </row>
    <row r="67" spans="1:9">
      <c r="A67" s="8">
        <v>0.55000000000000004</v>
      </c>
      <c r="B67" s="48">
        <f t="shared" ca="1" si="10"/>
        <v>91.849106753478637</v>
      </c>
      <c r="C67" s="45">
        <f t="shared" ca="1" si="7"/>
        <v>0.34496962890686278</v>
      </c>
      <c r="D67" s="53">
        <f t="shared" ca="1" si="5"/>
        <v>-2.2378750930803548E-2</v>
      </c>
      <c r="E67" s="54">
        <f t="shared" ca="1" si="4"/>
        <v>-2.0554682832528846</v>
      </c>
      <c r="F67" s="54">
        <f t="shared" ca="1" si="6"/>
        <v>39.355110190078612</v>
      </c>
      <c r="G67" s="53">
        <f t="shared" ca="1" si="8"/>
        <v>1.9682475303810277E-2</v>
      </c>
      <c r="I67" s="45">
        <f t="shared" ca="1" si="9"/>
        <v>2.9897827305330731E-2</v>
      </c>
    </row>
    <row r="68" spans="1:9">
      <c r="A68" s="8">
        <v>0.56000000000000005</v>
      </c>
      <c r="B68" s="48">
        <f t="shared" ca="1" si="10"/>
        <v>92.410926883834591</v>
      </c>
      <c r="C68" s="45">
        <f t="shared" ca="1" si="7"/>
        <v>0.35839382148783683</v>
      </c>
      <c r="D68" s="53">
        <f t="shared" ca="1" si="5"/>
        <v>1.3424192580974048E-2</v>
      </c>
      <c r="E68" s="54">
        <f t="shared" ca="1" si="4"/>
        <v>1.2405420790749075</v>
      </c>
      <c r="F68" s="54">
        <f t="shared" ca="1" si="6"/>
        <v>40.615334744457328</v>
      </c>
      <c r="G68" s="53">
        <f t="shared" ca="1" si="8"/>
        <v>2.0312745135326785E-2</v>
      </c>
      <c r="I68" s="45">
        <f t="shared" ca="1" si="9"/>
        <v>3.046882199688572E-2</v>
      </c>
    </row>
    <row r="69" spans="1:9">
      <c r="A69" s="8">
        <v>0.56999999999999995</v>
      </c>
      <c r="B69" s="48">
        <f t="shared" ca="1" si="10"/>
        <v>92.8022629652841</v>
      </c>
      <c r="C69" s="45">
        <f t="shared" ca="1" si="7"/>
        <v>0.36690369866506856</v>
      </c>
      <c r="D69" s="53">
        <f t="shared" ca="1" si="5"/>
        <v>8.5098771772317283E-3</v>
      </c>
      <c r="E69" s="54">
        <f t="shared" ca="1" si="4"/>
        <v>0.78973585960372839</v>
      </c>
      <c r="F69" s="54">
        <f t="shared" ca="1" si="6"/>
        <v>41.425383349196387</v>
      </c>
      <c r="G69" s="53">
        <f t="shared" ca="1" si="8"/>
        <v>2.0717870710649958E-2</v>
      </c>
      <c r="I69" s="45">
        <f t="shared" ca="1" si="9"/>
        <v>3.0936800614564917E-2</v>
      </c>
    </row>
    <row r="70" spans="1:9">
      <c r="A70" s="8">
        <v>0.57999999999999996</v>
      </c>
      <c r="B70" s="48">
        <f t="shared" ca="1" si="10"/>
        <v>90.987864614112993</v>
      </c>
      <c r="C70" s="45">
        <f t="shared" ca="1" si="7"/>
        <v>0.30789506317924908</v>
      </c>
      <c r="D70" s="53">
        <f t="shared" ca="1" si="5"/>
        <v>-5.9008635485819472E-2</v>
      </c>
      <c r="E70" s="54">
        <f t="shared" ca="1" si="4"/>
        <v>-5.3690697366472859</v>
      </c>
      <c r="F70" s="54">
        <f t="shared" ca="1" si="6"/>
        <v>36.077031483259752</v>
      </c>
      <c r="G70" s="53">
        <f t="shared" ca="1" si="8"/>
        <v>1.8043026122260934E-2</v>
      </c>
      <c r="I70" s="45">
        <f t="shared" ca="1" si="9"/>
        <v>2.9825516758638152E-2</v>
      </c>
    </row>
    <row r="71" spans="1:9">
      <c r="A71" s="8">
        <v>0.59</v>
      </c>
      <c r="B71" s="48">
        <f t="shared" ca="1" si="10"/>
        <v>88.955791422464941</v>
      </c>
      <c r="C71" s="45">
        <f t="shared" ca="1" si="7"/>
        <v>0.24517670191436791</v>
      </c>
      <c r="D71" s="53">
        <f t="shared" ca="1" si="5"/>
        <v>-6.2718361264881173E-2</v>
      </c>
      <c r="E71" s="54">
        <f t="shared" ca="1" si="4"/>
        <v>-5.5791614630375737</v>
      </c>
      <c r="F71" s="54">
        <f t="shared" ca="1" si="6"/>
        <v>30.515913046344444</v>
      </c>
      <c r="G71" s="53">
        <f t="shared" ca="1" si="8"/>
        <v>1.5261771648128033E-2</v>
      </c>
      <c r="I71" s="45">
        <f t="shared" ca="1" si="9"/>
        <v>2.7606162030617137E-2</v>
      </c>
    </row>
    <row r="72" spans="1:9">
      <c r="A72" s="8">
        <v>0.6</v>
      </c>
      <c r="B72" s="48">
        <f t="shared" ca="1" si="10"/>
        <v>89.144278506926852</v>
      </c>
      <c r="C72" s="45">
        <f t="shared" ca="1" si="7"/>
        <v>0.24600484743212248</v>
      </c>
      <c r="D72" s="53">
        <f t="shared" ca="1" si="5"/>
        <v>8.281455177545638E-4</v>
      </c>
      <c r="E72" s="54">
        <f t="shared" ca="1" si="4"/>
        <v>7.3824434678975967E-2</v>
      </c>
      <c r="F72" s="54">
        <f t="shared" ca="1" si="6"/>
        <v>30.604999252671547</v>
      </c>
      <c r="G72" s="53">
        <f t="shared" ca="1" si="8"/>
        <v>1.5306325888923561E-2</v>
      </c>
      <c r="I72" s="45">
        <f t="shared" ca="1" si="9"/>
        <v>2.79405738704856E-2</v>
      </c>
    </row>
    <row r="73" spans="1:9">
      <c r="A73" s="8">
        <v>0.61</v>
      </c>
      <c r="B73" s="48">
        <f t="shared" ca="1" si="10"/>
        <v>90.992192598463831</v>
      </c>
      <c r="C73" s="45">
        <f t="shared" ca="1" si="7"/>
        <v>0.2955641031805335</v>
      </c>
      <c r="D73" s="53">
        <f t="shared" ca="1" si="5"/>
        <v>4.9559255748411024E-2</v>
      </c>
      <c r="E73" s="54">
        <f t="shared" ca="1" si="4"/>
        <v>4.5095053440959418</v>
      </c>
      <c r="F73" s="54">
        <f t="shared" ca="1" si="6"/>
        <v>35.129810922656411</v>
      </c>
      <c r="G73" s="53">
        <f t="shared" ca="1" si="8"/>
        <v>1.7569297419653043E-2</v>
      </c>
      <c r="I73" s="45">
        <f t="shared" ca="1" si="9"/>
        <v>3.0386315590793075E-2</v>
      </c>
    </row>
    <row r="74" spans="1:9">
      <c r="A74" s="8">
        <v>0.62</v>
      </c>
      <c r="B74" s="48">
        <f t="shared" ca="1" si="10"/>
        <v>88.491559542999795</v>
      </c>
      <c r="C74" s="45">
        <f t="shared" ca="1" si="7"/>
        <v>0.21889524516355019</v>
      </c>
      <c r="D74" s="53">
        <f t="shared" ca="1" si="5"/>
        <v>-7.666885801698331E-2</v>
      </c>
      <c r="E74" s="54">
        <f t="shared" ca="1" si="4"/>
        <v>-6.7845468143036758</v>
      </c>
      <c r="F74" s="54">
        <f t="shared" ca="1" si="6"/>
        <v>28.362833405772392</v>
      </c>
      <c r="G74" s="53">
        <f t="shared" ca="1" si="8"/>
        <v>1.4184962648025688E-2</v>
      </c>
      <c r="I74" s="45">
        <f t="shared" ca="1" si="9"/>
        <v>2.7061342313170863E-2</v>
      </c>
    </row>
    <row r="75" spans="1:9">
      <c r="A75" s="8">
        <v>0.63</v>
      </c>
      <c r="B75" s="48">
        <f t="shared" ca="1" si="10"/>
        <v>87.750734159299526</v>
      </c>
      <c r="C75" s="45">
        <f t="shared" ca="1" si="7"/>
        <v>0.19456287341188949</v>
      </c>
      <c r="D75" s="53">
        <f t="shared" ca="1" si="5"/>
        <v>-2.4332371751660697E-2</v>
      </c>
      <c r="E75" s="54">
        <f t="shared" ca="1" si="4"/>
        <v>-2.1351834850452271</v>
      </c>
      <c r="F75" s="54">
        <f t="shared" ca="1" si="6"/>
        <v>26.241834883375191</v>
      </c>
      <c r="G75" s="53">
        <f t="shared" ca="1" si="8"/>
        <v>1.3124198217818978E-2</v>
      </c>
      <c r="I75" s="45">
        <f t="shared" ca="1" si="9"/>
        <v>2.5791490992854094E-2</v>
      </c>
    </row>
    <row r="76" spans="1:9">
      <c r="A76" s="8">
        <v>0.64</v>
      </c>
      <c r="B76" s="48">
        <f t="shared" ca="1" si="10"/>
        <v>86.962238669205249</v>
      </c>
      <c r="C76" s="45">
        <f t="shared" ca="1" si="7"/>
        <v>0.17000764494466036</v>
      </c>
      <c r="D76" s="53">
        <f t="shared" ca="1" si="5"/>
        <v>-2.4555228467229129E-2</v>
      </c>
      <c r="E76" s="54">
        <f t="shared" ca="1" si="4"/>
        <v>-2.1353776385440426</v>
      </c>
      <c r="F76" s="54">
        <f t="shared" ca="1" si="6"/>
        <v>24.119581443048968</v>
      </c>
      <c r="G76" s="53">
        <f t="shared" ref="G76:G107" ca="1" si="11">F76*(EXP(DH_Rate*DH_dt)-1)</f>
        <v>1.206280617175687E-2</v>
      </c>
      <c r="I76" s="45">
        <f t="shared" ref="I76:I111" ca="1" si="12">CallGamma(B76,$B$4,0,$B$3,$B$2,$B$5-A76)</f>
        <v>2.4250070061553379E-2</v>
      </c>
    </row>
    <row r="77" spans="1:9">
      <c r="A77" s="8">
        <v>0.65</v>
      </c>
      <c r="B77" s="48">
        <f t="shared" ref="B77:B112" ca="1" si="13">B76*EXP(($B$3-0.5*$B$4^2)*$A$13+$B$4*NORMSINV(RAND())*SQRT($A$13))</f>
        <v>86.090189844582596</v>
      </c>
      <c r="C77" s="45">
        <f t="shared" ca="1" si="7"/>
        <v>0.14485352200378032</v>
      </c>
      <c r="D77" s="53">
        <f t="shared" ca="1" si="5"/>
        <v>-2.5154122940880042E-2</v>
      </c>
      <c r="E77" s="54">
        <f t="shared" ref="E77:E112" ca="1" si="14">D77*B77</f>
        <v>-2.1655232193543332</v>
      </c>
      <c r="F77" s="54">
        <f t="shared" ca="1" si="6"/>
        <v>21.96612102986639</v>
      </c>
      <c r="G77" s="53">
        <f t="shared" ca="1" si="11"/>
        <v>1.0985806737744753E-2</v>
      </c>
      <c r="I77" s="45">
        <f t="shared" ca="1" si="12"/>
        <v>2.2360119555472662E-2</v>
      </c>
    </row>
    <row r="78" spans="1:9">
      <c r="A78" s="8">
        <v>0.66</v>
      </c>
      <c r="B78" s="48">
        <f t="shared" ca="1" si="13"/>
        <v>85.232032571941986</v>
      </c>
      <c r="C78" s="45">
        <f t="shared" ref="C78:C111" ca="1" si="15">CallDelta(B78,$B$4,0,$B$3,$B$2,$B$5-A78)</f>
        <v>0.12178118365921509</v>
      </c>
      <c r="D78" s="53">
        <f t="shared" ref="D78:D111" ca="1" si="16">(C78-C77)*$B$6</f>
        <v>-2.3072338344565235E-2</v>
      </c>
      <c r="E78" s="54">
        <f t="shared" ca="1" si="14"/>
        <v>-1.9665022932948502</v>
      </c>
      <c r="F78" s="54">
        <f t="shared" ref="F78:F112" ca="1" si="17">F77+G77+E78</f>
        <v>20.010604543309281</v>
      </c>
      <c r="G78" s="53">
        <f t="shared" ca="1" si="11"/>
        <v>1.0007804014160529E-2</v>
      </c>
      <c r="I78" s="45">
        <f t="shared" ca="1" si="12"/>
        <v>2.0335205126002731E-2</v>
      </c>
    </row>
    <row r="79" spans="1:9">
      <c r="A79" s="8">
        <v>0.67</v>
      </c>
      <c r="B79" s="48">
        <f t="shared" ca="1" si="13"/>
        <v>84.193010279914432</v>
      </c>
      <c r="C79" s="45">
        <f t="shared" ca="1" si="15"/>
        <v>9.7399050654601971E-2</v>
      </c>
      <c r="D79" s="53">
        <f t="shared" ca="1" si="16"/>
        <v>-2.4382133004613116E-2</v>
      </c>
      <c r="E79" s="54">
        <f t="shared" ca="1" si="14"/>
        <v>-2.0528051747036331</v>
      </c>
      <c r="F79" s="54">
        <f t="shared" ca="1" si="17"/>
        <v>17.967807172619811</v>
      </c>
      <c r="G79" s="53">
        <f t="shared" ca="1" si="11"/>
        <v>8.9861499365810355E-3</v>
      </c>
      <c r="I79" s="45">
        <f t="shared" ca="1" si="12"/>
        <v>1.7796431370280943E-2</v>
      </c>
    </row>
    <row r="80" spans="1:9">
      <c r="A80" s="8">
        <v>0.68</v>
      </c>
      <c r="B80" s="48">
        <f t="shared" ca="1" si="13"/>
        <v>84.569847613283258</v>
      </c>
      <c r="C80" s="45">
        <f t="shared" ca="1" si="15"/>
        <v>9.9688032836443008E-2</v>
      </c>
      <c r="D80" s="53">
        <f t="shared" ca="1" si="16"/>
        <v>2.2889821818410372E-3</v>
      </c>
      <c r="E80" s="54">
        <f t="shared" ca="1" si="14"/>
        <v>0.19357887430781714</v>
      </c>
      <c r="F80" s="54">
        <f t="shared" ca="1" si="17"/>
        <v>18.170372196864211</v>
      </c>
      <c r="G80" s="53">
        <f t="shared" ca="1" si="11"/>
        <v>9.0874577735518807E-3</v>
      </c>
      <c r="I80" s="45">
        <f t="shared" ca="1" si="12"/>
        <v>1.8300420608543418E-2</v>
      </c>
    </row>
    <row r="81" spans="1:9">
      <c r="A81" s="8">
        <v>0.69</v>
      </c>
      <c r="B81" s="48">
        <f t="shared" ca="1" si="13"/>
        <v>84.489415993355507</v>
      </c>
      <c r="C81" s="45">
        <f t="shared" ca="1" si="15"/>
        <v>9.363523321959244E-2</v>
      </c>
      <c r="D81" s="53">
        <f t="shared" ca="1" si="16"/>
        <v>-6.0527996168505682E-3</v>
      </c>
      <c r="E81" s="54">
        <f t="shared" ca="1" si="14"/>
        <v>-0.51139750475251045</v>
      </c>
      <c r="F81" s="54">
        <f t="shared" ca="1" si="17"/>
        <v>17.668062149885255</v>
      </c>
      <c r="G81" s="53">
        <f t="shared" ca="1" si="11"/>
        <v>8.8362399508404733E-3</v>
      </c>
      <c r="I81" s="45">
        <f t="shared" ca="1" si="12"/>
        <v>1.7774034075553662E-2</v>
      </c>
    </row>
    <row r="82" spans="1:9">
      <c r="A82" s="8">
        <v>0.7</v>
      </c>
      <c r="B82" s="48">
        <f t="shared" ca="1" si="13"/>
        <v>83.292523307123361</v>
      </c>
      <c r="C82" s="45">
        <f t="shared" ca="1" si="15"/>
        <v>6.9820537645565506E-2</v>
      </c>
      <c r="D82" s="53">
        <f t="shared" ca="1" si="16"/>
        <v>-2.3814695574026934E-2</v>
      </c>
      <c r="E82" s="54">
        <f t="shared" ca="1" si="14"/>
        <v>-1.9835860861516859</v>
      </c>
      <c r="F82" s="54">
        <f t="shared" ca="1" si="17"/>
        <v>15.693312303684412</v>
      </c>
      <c r="G82" s="53">
        <f t="shared" ca="1" si="11"/>
        <v>7.8486181428636826E-3</v>
      </c>
      <c r="I82" s="45">
        <f t="shared" ca="1" si="12"/>
        <v>1.4686474049706893E-2</v>
      </c>
    </row>
    <row r="83" spans="1:9">
      <c r="A83" s="8">
        <v>0.71</v>
      </c>
      <c r="B83" s="48">
        <f t="shared" ca="1" si="13"/>
        <v>82.009218416600973</v>
      </c>
      <c r="C83" s="45">
        <f t="shared" ca="1" si="15"/>
        <v>4.91607122035983E-2</v>
      </c>
      <c r="D83" s="53">
        <f t="shared" ca="1" si="16"/>
        <v>-2.0659825441967206E-2</v>
      </c>
      <c r="E83" s="54">
        <f t="shared" ca="1" si="14"/>
        <v>-1.6942961371191383</v>
      </c>
      <c r="F83" s="54">
        <f t="shared" ca="1" si="17"/>
        <v>14.006864784708137</v>
      </c>
      <c r="G83" s="53">
        <f t="shared" ca="1" si="11"/>
        <v>7.0051835422971038E-3</v>
      </c>
      <c r="I83" s="45">
        <f t="shared" ca="1" si="12"/>
        <v>1.1519938312337191E-2</v>
      </c>
    </row>
    <row r="84" spans="1:9">
      <c r="A84" s="8">
        <v>0.72</v>
      </c>
      <c r="B84" s="48">
        <f t="shared" ca="1" si="13"/>
        <v>83.109586277351724</v>
      </c>
      <c r="C84" s="45">
        <f t="shared" ca="1" si="15"/>
        <v>5.9028795562015679E-2</v>
      </c>
      <c r="D84" s="53">
        <f t="shared" ca="1" si="16"/>
        <v>9.8680833584173788E-3</v>
      </c>
      <c r="E84" s="54">
        <f t="shared" ca="1" si="14"/>
        <v>0.82013232526848789</v>
      </c>
      <c r="F84" s="54">
        <f t="shared" ca="1" si="17"/>
        <v>14.834002293518923</v>
      </c>
      <c r="G84" s="53">
        <f t="shared" ca="1" si="11"/>
        <v>7.4188557061252124E-3</v>
      </c>
      <c r="I84" s="45">
        <f t="shared" ca="1" si="12"/>
        <v>1.3371506016708249E-2</v>
      </c>
    </row>
    <row r="85" spans="1:9">
      <c r="A85" s="8">
        <v>0.73</v>
      </c>
      <c r="B85" s="48">
        <f t="shared" ca="1" si="13"/>
        <v>83.177038173192614</v>
      </c>
      <c r="C85" s="45">
        <f t="shared" ca="1" si="15"/>
        <v>5.5851049641640338E-2</v>
      </c>
      <c r="D85" s="53">
        <f t="shared" ca="1" si="16"/>
        <v>-3.1777459203753411E-3</v>
      </c>
      <c r="E85" s="54">
        <f t="shared" ca="1" si="14"/>
        <v>-0.26431549372376684</v>
      </c>
      <c r="F85" s="54">
        <f t="shared" ca="1" si="17"/>
        <v>14.577105655501281</v>
      </c>
      <c r="G85" s="53">
        <f t="shared" ca="1" si="11"/>
        <v>7.2903752696839791E-3</v>
      </c>
      <c r="I85" s="45">
        <f t="shared" ca="1" si="12"/>
        <v>1.3026207451784825E-2</v>
      </c>
    </row>
    <row r="86" spans="1:9">
      <c r="A86" s="8">
        <v>0.74</v>
      </c>
      <c r="B86" s="48">
        <f t="shared" ca="1" si="13"/>
        <v>82.299681224577029</v>
      </c>
      <c r="C86" s="45">
        <f t="shared" ca="1" si="15"/>
        <v>4.1660391233569127E-2</v>
      </c>
      <c r="D86" s="53">
        <f t="shared" ca="1" si="16"/>
        <v>-1.4190658408071211E-2</v>
      </c>
      <c r="E86" s="54">
        <f t="shared" ca="1" si="14"/>
        <v>-1.1678866633511245</v>
      </c>
      <c r="F86" s="54">
        <f t="shared" ca="1" si="17"/>
        <v>13.41650936741984</v>
      </c>
      <c r="G86" s="53">
        <f t="shared" ca="1" si="11"/>
        <v>6.7099320269252373E-3</v>
      </c>
      <c r="I86" s="45">
        <f t="shared" ca="1" si="12"/>
        <v>1.061185966120926E-2</v>
      </c>
    </row>
    <row r="87" spans="1:9">
      <c r="A87" s="8">
        <v>0.75</v>
      </c>
      <c r="B87" s="48">
        <f t="shared" ca="1" si="13"/>
        <v>84.333838967493492</v>
      </c>
      <c r="C87" s="45">
        <f t="shared" ca="1" si="15"/>
        <v>6.314836904548371E-2</v>
      </c>
      <c r="D87" s="53">
        <f t="shared" ca="1" si="16"/>
        <v>2.1487977811914583E-2</v>
      </c>
      <c r="E87" s="54">
        <f t="shared" ca="1" si="14"/>
        <v>1.8121636605270774</v>
      </c>
      <c r="F87" s="54">
        <f t="shared" ca="1" si="17"/>
        <v>15.235382959973844</v>
      </c>
      <c r="G87" s="53">
        <f t="shared" ca="1" si="11"/>
        <v>7.6195962202990873E-3</v>
      </c>
      <c r="I87" s="45">
        <f t="shared" ca="1" si="12"/>
        <v>1.4700728666147118E-2</v>
      </c>
    </row>
    <row r="88" spans="1:9">
      <c r="A88" s="8">
        <v>0.76</v>
      </c>
      <c r="B88" s="48">
        <f t="shared" ca="1" si="13"/>
        <v>86.187141663116407</v>
      </c>
      <c r="C88" s="45">
        <f t="shared" ca="1" si="15"/>
        <v>8.9202908303298689E-2</v>
      </c>
      <c r="D88" s="53">
        <f t="shared" ca="1" si="16"/>
        <v>2.6054539257814979E-2</v>
      </c>
      <c r="E88" s="54">
        <f t="shared" ca="1" si="14"/>
        <v>2.2455662659805276</v>
      </c>
      <c r="F88" s="54">
        <f t="shared" ca="1" si="17"/>
        <v>17.48856882217467</v>
      </c>
      <c r="G88" s="53">
        <f t="shared" ca="1" si="11"/>
        <v>8.7464708465793215E-3</v>
      </c>
      <c r="I88" s="45">
        <f t="shared" ca="1" si="12"/>
        <v>1.9103361720493407E-2</v>
      </c>
    </row>
    <row r="89" spans="1:9">
      <c r="A89" s="8">
        <v>0.77</v>
      </c>
      <c r="B89" s="48">
        <f t="shared" ca="1" si="13"/>
        <v>85.048302440385285</v>
      </c>
      <c r="C89" s="45">
        <f t="shared" ca="1" si="15"/>
        <v>6.418014731909949E-2</v>
      </c>
      <c r="D89" s="53">
        <f t="shared" ca="1" si="16"/>
        <v>-2.5022760984199199E-2</v>
      </c>
      <c r="E89" s="54">
        <f t="shared" ca="1" si="14"/>
        <v>-2.1281433440776465</v>
      </c>
      <c r="F89" s="54">
        <f t="shared" ca="1" si="17"/>
        <v>15.369171948943603</v>
      </c>
      <c r="G89" s="53">
        <f t="shared" ca="1" si="11"/>
        <v>7.6865074411951954E-3</v>
      </c>
      <c r="I89" s="45">
        <f t="shared" ca="1" si="12"/>
        <v>1.5390664660857378E-2</v>
      </c>
    </row>
    <row r="90" spans="1:9">
      <c r="A90" s="8">
        <v>0.78</v>
      </c>
      <c r="B90" s="48">
        <f t="shared" ca="1" si="13"/>
        <v>85.593729133597208</v>
      </c>
      <c r="C90" s="45">
        <f t="shared" ca="1" si="15"/>
        <v>6.7575942330810435E-2</v>
      </c>
      <c r="D90" s="53">
        <f t="shared" ca="1" si="16"/>
        <v>3.3957950117109448E-3</v>
      </c>
      <c r="E90" s="54">
        <f t="shared" ca="1" si="14"/>
        <v>0.29065875842560718</v>
      </c>
      <c r="F90" s="54">
        <f t="shared" ca="1" si="17"/>
        <v>15.667517214810404</v>
      </c>
      <c r="G90" s="53">
        <f t="shared" ca="1" si="11"/>
        <v>7.8357173735031076E-3</v>
      </c>
      <c r="I90" s="45">
        <f t="shared" ca="1" si="12"/>
        <v>1.6273735527876802E-2</v>
      </c>
    </row>
    <row r="91" spans="1:9">
      <c r="A91" s="8">
        <v>0.79</v>
      </c>
      <c r="B91" s="48">
        <f t="shared" ca="1" si="13"/>
        <v>84.689712472419913</v>
      </c>
      <c r="C91" s="45">
        <f t="shared" ca="1" si="15"/>
        <v>4.9191958464356866E-2</v>
      </c>
      <c r="D91" s="53">
        <f t="shared" ca="1" si="16"/>
        <v>-1.8383983866453568E-2</v>
      </c>
      <c r="E91" s="54">
        <f t="shared" ca="1" si="14"/>
        <v>-1.5569343077475593</v>
      </c>
      <c r="F91" s="54">
        <f t="shared" ca="1" si="17"/>
        <v>14.118418624436348</v>
      </c>
      <c r="G91" s="53">
        <f t="shared" ca="1" si="11"/>
        <v>7.0609744087154949E-3</v>
      </c>
      <c r="I91" s="45">
        <f t="shared" ca="1" si="12"/>
        <v>1.3115712866808365E-2</v>
      </c>
    </row>
    <row r="92" spans="1:9">
      <c r="A92" s="8">
        <v>0.8</v>
      </c>
      <c r="B92" s="48">
        <f t="shared" ca="1" si="13"/>
        <v>84.575472176091353</v>
      </c>
      <c r="C92" s="45">
        <f t="shared" ca="1" si="15"/>
        <v>4.3037844622035193E-2</v>
      </c>
      <c r="D92" s="53">
        <f t="shared" ca="1" si="16"/>
        <v>-6.1541138423216735E-3</v>
      </c>
      <c r="E92" s="54">
        <f t="shared" ca="1" si="14"/>
        <v>-0.52048708403977539</v>
      </c>
      <c r="F92" s="54">
        <f t="shared" ca="1" si="17"/>
        <v>13.604992514805287</v>
      </c>
      <c r="G92" s="53">
        <f t="shared" ca="1" si="11"/>
        <v>6.8041971649385911E-3</v>
      </c>
      <c r="I92" s="45">
        <f t="shared" ca="1" si="12"/>
        <v>1.2087742524287917E-2</v>
      </c>
    </row>
    <row r="93" spans="1:9">
      <c r="A93" s="8">
        <v>0.81</v>
      </c>
      <c r="B93" s="48">
        <f t="shared" ca="1" si="13"/>
        <v>84.83542080435241</v>
      </c>
      <c r="C93" s="45">
        <f t="shared" ca="1" si="15"/>
        <v>4.146875547467177E-2</v>
      </c>
      <c r="D93" s="53">
        <f t="shared" ca="1" si="16"/>
        <v>-1.5690891473634228E-3</v>
      </c>
      <c r="E93" s="54">
        <f t="shared" ca="1" si="14"/>
        <v>-0.1331143380961185</v>
      </c>
      <c r="F93" s="54">
        <f t="shared" ca="1" si="17"/>
        <v>13.478682373874108</v>
      </c>
      <c r="G93" s="53">
        <f t="shared" ca="1" si="11"/>
        <v>6.7410263030736051E-3</v>
      </c>
      <c r="I93" s="45">
        <f t="shared" ca="1" si="12"/>
        <v>1.1997757076264796E-2</v>
      </c>
    </row>
    <row r="94" spans="1:9">
      <c r="A94" s="8">
        <v>0.82</v>
      </c>
      <c r="B94" s="48">
        <f t="shared" ca="1" si="13"/>
        <v>84.302722316846626</v>
      </c>
      <c r="C94" s="45">
        <f t="shared" ca="1" si="15"/>
        <v>3.1168747572671962E-2</v>
      </c>
      <c r="D94" s="53">
        <f t="shared" ca="1" si="16"/>
        <v>-1.0300007901999808E-2</v>
      </c>
      <c r="E94" s="54">
        <f t="shared" ca="1" si="14"/>
        <v>-0.86831870602361583</v>
      </c>
      <c r="F94" s="54">
        <f t="shared" ca="1" si="17"/>
        <v>12.617104694153566</v>
      </c>
      <c r="G94" s="53">
        <f t="shared" ca="1" si="11"/>
        <v>6.3101297480516651E-3</v>
      </c>
      <c r="I94" s="45">
        <f t="shared" ca="1" si="12"/>
        <v>9.8178579479515707E-3</v>
      </c>
    </row>
    <row r="95" spans="1:9">
      <c r="A95" s="8">
        <v>0.83</v>
      </c>
      <c r="B95" s="48">
        <f t="shared" ca="1" si="13"/>
        <v>83.709975740021065</v>
      </c>
      <c r="C95" s="45">
        <f t="shared" ca="1" si="15"/>
        <v>2.2111010765612837E-2</v>
      </c>
      <c r="D95" s="53">
        <f t="shared" ca="1" si="16"/>
        <v>-9.0577368070591247E-3</v>
      </c>
      <c r="E95" s="54">
        <f t="shared" ca="1" si="14"/>
        <v>-0.75822292837841521</v>
      </c>
      <c r="F95" s="54">
        <f t="shared" ca="1" si="17"/>
        <v>11.865191895523202</v>
      </c>
      <c r="G95" s="53">
        <f t="shared" ca="1" si="11"/>
        <v>5.9340793439699117E-3</v>
      </c>
      <c r="I95" s="45">
        <f t="shared" ca="1" si="12"/>
        <v>7.6357820933389536E-3</v>
      </c>
    </row>
    <row r="96" spans="1:9">
      <c r="A96" s="8">
        <v>0.84</v>
      </c>
      <c r="B96" s="48">
        <f t="shared" ca="1" si="13"/>
        <v>79.436520720462767</v>
      </c>
      <c r="C96" s="45">
        <f t="shared" ca="1" si="15"/>
        <v>3.0940527817014951E-3</v>
      </c>
      <c r="D96" s="53">
        <f t="shared" ca="1" si="16"/>
        <v>-1.9016957983911342E-2</v>
      </c>
      <c r="E96" s="54">
        <f t="shared" ca="1" si="14"/>
        <v>-1.5106409769291431</v>
      </c>
      <c r="F96" s="54">
        <f t="shared" ca="1" si="17"/>
        <v>10.360484997938029</v>
      </c>
      <c r="G96" s="53">
        <f t="shared" ca="1" si="11"/>
        <v>5.1815377754632777E-3</v>
      </c>
      <c r="I96" s="45">
        <f t="shared" ca="1" si="12"/>
        <v>1.4802701740587202E-3</v>
      </c>
    </row>
    <row r="97" spans="1:9">
      <c r="A97" s="8">
        <v>0.85</v>
      </c>
      <c r="B97" s="48">
        <f t="shared" ca="1" si="13"/>
        <v>80.245026151228856</v>
      </c>
      <c r="C97" s="45">
        <f t="shared" ca="1" si="15"/>
        <v>3.4077107012095986E-3</v>
      </c>
      <c r="D97" s="53">
        <f t="shared" ca="1" si="16"/>
        <v>3.1365791950810351E-4</v>
      </c>
      <c r="E97" s="54">
        <f t="shared" ca="1" si="14"/>
        <v>2.5169487953467802E-2</v>
      </c>
      <c r="F97" s="54">
        <f t="shared" ca="1" si="17"/>
        <v>10.39083602366696</v>
      </c>
      <c r="G97" s="53">
        <f t="shared" ca="1" si="11"/>
        <v>5.196717082838349E-3</v>
      </c>
      <c r="I97" s="45">
        <f t="shared" ca="1" si="12"/>
        <v>1.6507444503011158E-3</v>
      </c>
    </row>
    <row r="98" spans="1:9">
      <c r="A98" s="8">
        <v>0.86</v>
      </c>
      <c r="B98" s="48">
        <f t="shared" ca="1" si="13"/>
        <v>81.242365814094228</v>
      </c>
      <c r="C98" s="45">
        <f t="shared" ca="1" si="15"/>
        <v>4.0846431621509582E-3</v>
      </c>
      <c r="D98" s="53">
        <f t="shared" ca="1" si="16"/>
        <v>6.7693246094135961E-4</v>
      </c>
      <c r="E98" s="54">
        <f t="shared" ca="1" si="14"/>
        <v>5.4995594623232988E-2</v>
      </c>
      <c r="F98" s="54">
        <f t="shared" ca="1" si="17"/>
        <v>10.451028335373032</v>
      </c>
      <c r="G98" s="53">
        <f t="shared" ca="1" si="11"/>
        <v>5.2268207639845059E-3</v>
      </c>
      <c r="I98" s="45">
        <f t="shared" ca="1" si="12"/>
        <v>1.9855064393096036E-3</v>
      </c>
    </row>
    <row r="99" spans="1:9">
      <c r="A99" s="8">
        <v>0.87</v>
      </c>
      <c r="B99" s="48">
        <f t="shared" ca="1" si="13"/>
        <v>82.244181941999472</v>
      </c>
      <c r="C99" s="45">
        <f t="shared" ca="1" si="15"/>
        <v>4.8747542957583434E-3</v>
      </c>
      <c r="D99" s="53">
        <f t="shared" ca="1" si="16"/>
        <v>7.9011113360738516E-4</v>
      </c>
      <c r="E99" s="54">
        <f t="shared" ca="1" si="14"/>
        <v>6.4982043826805239E-2</v>
      </c>
      <c r="F99" s="54">
        <f t="shared" ca="1" si="17"/>
        <v>10.521237199963823</v>
      </c>
      <c r="G99" s="53">
        <f t="shared" ca="1" si="11"/>
        <v>5.2619339738508375E-3</v>
      </c>
      <c r="I99" s="45">
        <f t="shared" ca="1" si="12"/>
        <v>2.383609946974642E-3</v>
      </c>
    </row>
    <row r="100" spans="1:9">
      <c r="A100" s="8">
        <v>0.88</v>
      </c>
      <c r="B100" s="48">
        <f t="shared" ca="1" si="13"/>
        <v>83.108830859668018</v>
      </c>
      <c r="C100" s="45">
        <f t="shared" ca="1" si="15"/>
        <v>5.3973214382252443E-3</v>
      </c>
      <c r="D100" s="53">
        <f t="shared" ca="1" si="16"/>
        <v>5.2256714246690095E-4</v>
      </c>
      <c r="E100" s="54">
        <f t="shared" ca="1" si="14"/>
        <v>4.3429944256101714E-2</v>
      </c>
      <c r="F100" s="54">
        <f t="shared" ca="1" si="17"/>
        <v>10.569929078193775</v>
      </c>
      <c r="G100" s="53">
        <f t="shared" ca="1" si="11"/>
        <v>5.2862860004651291E-3</v>
      </c>
      <c r="I100" s="45">
        <f t="shared" ca="1" si="12"/>
        <v>2.6880716011043909E-3</v>
      </c>
    </row>
    <row r="101" spans="1:9">
      <c r="A101" s="8">
        <v>0.89</v>
      </c>
      <c r="B101" s="48">
        <f t="shared" ca="1" si="13"/>
        <v>80.590548860867742</v>
      </c>
      <c r="C101" s="45">
        <f t="shared" ca="1" si="15"/>
        <v>8.5333234957363224E-4</v>
      </c>
      <c r="D101" s="53">
        <f t="shared" ca="1" si="16"/>
        <v>-4.5439890886516121E-3</v>
      </c>
      <c r="E101" s="54">
        <f t="shared" ca="1" si="14"/>
        <v>-0.36620257467222761</v>
      </c>
      <c r="F101" s="54">
        <f t="shared" ca="1" si="17"/>
        <v>10.209012789522014</v>
      </c>
      <c r="G101" s="53">
        <f t="shared" ca="1" si="11"/>
        <v>5.1057827340731665E-3</v>
      </c>
      <c r="I101" s="45">
        <f t="shared" ca="1" si="12"/>
        <v>5.4441047952632289E-4</v>
      </c>
    </row>
    <row r="102" spans="1:9">
      <c r="A102" s="8">
        <v>0.9</v>
      </c>
      <c r="B102" s="48">
        <f t="shared" ca="1" si="13"/>
        <v>83.743110356674748</v>
      </c>
      <c r="C102" s="45">
        <f t="shared" ca="1" si="15"/>
        <v>3.5245742381253553E-3</v>
      </c>
      <c r="D102" s="53">
        <f t="shared" ca="1" si="16"/>
        <v>2.6712418885517231E-3</v>
      </c>
      <c r="E102" s="54">
        <f t="shared" ca="1" si="14"/>
        <v>0.22369810426235923</v>
      </c>
      <c r="F102" s="54">
        <f t="shared" ca="1" si="17"/>
        <v>10.437816676518446</v>
      </c>
      <c r="G102" s="53">
        <f t="shared" ca="1" si="11"/>
        <v>5.2202132828245811E-3</v>
      </c>
      <c r="I102" s="45">
        <f t="shared" ca="1" si="12"/>
        <v>1.9968673320761494E-3</v>
      </c>
    </row>
    <row r="103" spans="1:9">
      <c r="A103" s="8">
        <v>0.91</v>
      </c>
      <c r="B103" s="48">
        <f t="shared" ca="1" si="13"/>
        <v>84.190454762393856</v>
      </c>
      <c r="C103" s="45">
        <f t="shared" ca="1" si="15"/>
        <v>2.8624327107326097E-3</v>
      </c>
      <c r="D103" s="53">
        <f t="shared" ca="1" si="16"/>
        <v>-6.6214152739274557E-4</v>
      </c>
      <c r="E103" s="54">
        <f t="shared" ca="1" si="14"/>
        <v>-5.5745996308261318E-2</v>
      </c>
      <c r="F103" s="54">
        <f t="shared" ca="1" si="17"/>
        <v>10.387290893493009</v>
      </c>
      <c r="G103" s="53">
        <f t="shared" ca="1" si="11"/>
        <v>5.1949440745362365E-3</v>
      </c>
      <c r="I103" s="45">
        <f t="shared" ca="1" si="12"/>
        <v>1.7361391464032826E-3</v>
      </c>
    </row>
    <row r="104" spans="1:9">
      <c r="A104" s="8">
        <v>0.92</v>
      </c>
      <c r="B104" s="48">
        <f t="shared" ca="1" si="13"/>
        <v>86.787187982639963</v>
      </c>
      <c r="C104" s="45">
        <f t="shared" ca="1" si="15"/>
        <v>8.0612919012804651E-3</v>
      </c>
      <c r="D104" s="53">
        <f t="shared" ca="1" si="16"/>
        <v>5.1988591905478554E-3</v>
      </c>
      <c r="E104" s="54">
        <f t="shared" ca="1" si="14"/>
        <v>0.45119436986535216</v>
      </c>
      <c r="F104" s="54">
        <f t="shared" ca="1" si="17"/>
        <v>10.843680207432897</v>
      </c>
      <c r="G104" s="53">
        <f t="shared" ca="1" si="11"/>
        <v>5.4231957896796823E-3</v>
      </c>
      <c r="I104" s="45">
        <f t="shared" ca="1" si="12"/>
        <v>4.4948528848190025E-3</v>
      </c>
    </row>
    <row r="105" spans="1:9">
      <c r="A105" s="8">
        <v>0.93</v>
      </c>
      <c r="B105" s="48">
        <f t="shared" ca="1" si="13"/>
        <v>86.074639956122624</v>
      </c>
      <c r="C105" s="45">
        <f t="shared" ca="1" si="15"/>
        <v>3.0599905071029276E-3</v>
      </c>
      <c r="D105" s="53">
        <f t="shared" ca="1" si="16"/>
        <v>-5.0013013941775375E-3</v>
      </c>
      <c r="E105" s="54">
        <f t="shared" ca="1" si="14"/>
        <v>-0.43048521681588564</v>
      </c>
      <c r="F105" s="54">
        <f t="shared" ca="1" si="17"/>
        <v>10.418618186406691</v>
      </c>
      <c r="G105" s="53">
        <f t="shared" ca="1" si="11"/>
        <v>5.2106116375574222E-3</v>
      </c>
      <c r="I105" s="45">
        <f t="shared" ca="1" si="12"/>
        <v>2.0448781130368919E-3</v>
      </c>
    </row>
    <row r="106" spans="1:9">
      <c r="A106" s="8">
        <v>0.94</v>
      </c>
      <c r="B106" s="48">
        <f t="shared" ca="1" si="13"/>
        <v>85.619036465978084</v>
      </c>
      <c r="C106" s="45">
        <f t="shared" ca="1" si="15"/>
        <v>1.0227981055023205E-3</v>
      </c>
      <c r="D106" s="53">
        <f t="shared" ca="1" si="16"/>
        <v>-2.0371924016006071E-3</v>
      </c>
      <c r="E106" s="54">
        <f t="shared" ca="1" si="14"/>
        <v>-0.17442245052085584</v>
      </c>
      <c r="F106" s="54">
        <f t="shared" ca="1" si="17"/>
        <v>10.249406347523392</v>
      </c>
      <c r="G106" s="53">
        <f t="shared" ca="1" si="11"/>
        <v>5.12598456311024E-3</v>
      </c>
      <c r="I106" s="45">
        <f t="shared" ca="1" si="12"/>
        <v>8.1947489815009135E-4</v>
      </c>
    </row>
    <row r="107" spans="1:9">
      <c r="A107" s="8">
        <v>0.95</v>
      </c>
      <c r="B107" s="48">
        <f t="shared" ca="1" si="13"/>
        <v>84.047693019012314</v>
      </c>
      <c r="C107" s="45">
        <f t="shared" ca="1" si="15"/>
        <v>7.0154996607896258E-5</v>
      </c>
      <c r="D107" s="53">
        <f t="shared" ca="1" si="16"/>
        <v>-9.5264310889442427E-4</v>
      </c>
      <c r="E107" s="54">
        <f t="shared" ca="1" si="14"/>
        <v>-8.0067455573036087E-2</v>
      </c>
      <c r="F107" s="54">
        <f t="shared" ca="1" si="17"/>
        <v>10.174464876513465</v>
      </c>
      <c r="G107" s="53">
        <f t="shared" ca="1" si="11"/>
        <v>5.0885044583599305E-3</v>
      </c>
      <c r="I107" s="45">
        <f t="shared" ca="1" si="12"/>
        <v>7.5428142216905404E-5</v>
      </c>
    </row>
    <row r="108" spans="1:9">
      <c r="A108" s="8">
        <v>0.96</v>
      </c>
      <c r="B108" s="48">
        <f t="shared" ca="1" si="13"/>
        <v>83.933439832704181</v>
      </c>
      <c r="C108" s="45">
        <f t="shared" ca="1" si="15"/>
        <v>8.2185736653972441E-6</v>
      </c>
      <c r="D108" s="53">
        <f t="shared" ca="1" si="16"/>
        <v>-6.1936422942499014E-5</v>
      </c>
      <c r="E108" s="54">
        <f t="shared" ca="1" si="14"/>
        <v>-5.19853702849716E-3</v>
      </c>
      <c r="F108" s="54">
        <f t="shared" ca="1" si="17"/>
        <v>10.174354843943329</v>
      </c>
      <c r="G108" s="53">
        <f t="shared" ref="G108:G112" ca="1" si="18">F108*(EXP(DH_Rate*DH_dt)-1)</f>
        <v>5.0884494283184988E-3</v>
      </c>
      <c r="I108" s="45">
        <f t="shared" ca="1" si="12"/>
        <v>1.1058311049897363E-5</v>
      </c>
    </row>
    <row r="109" spans="1:9">
      <c r="A109" s="8">
        <v>0.97</v>
      </c>
      <c r="B109" s="48">
        <f t="shared" ca="1" si="13"/>
        <v>84.396819158595008</v>
      </c>
      <c r="C109" s="45">
        <f t="shared" ca="1" si="15"/>
        <v>6.6168990098258718E-7</v>
      </c>
      <c r="D109" s="53">
        <f t="shared" ca="1" si="16"/>
        <v>-7.5568837644146569E-6</v>
      </c>
      <c r="E109" s="54">
        <f t="shared" ca="1" si="14"/>
        <v>-6.3777695246782645E-4</v>
      </c>
      <c r="F109" s="54">
        <f t="shared" ca="1" si="17"/>
        <v>10.17880551641918</v>
      </c>
      <c r="G109" s="53">
        <f t="shared" ca="1" si="18"/>
        <v>5.0906753209832168E-3</v>
      </c>
      <c r="I109" s="45">
        <f t="shared" ca="1" si="12"/>
        <v>1.1365586911101579E-6</v>
      </c>
    </row>
    <row r="110" spans="1:9">
      <c r="A110" s="8">
        <v>0.98</v>
      </c>
      <c r="B110" s="48">
        <f t="shared" ca="1" si="13"/>
        <v>82.88875654601533</v>
      </c>
      <c r="C110" s="45">
        <f t="shared" ca="1" si="15"/>
        <v>2.2759905071723097E-11</v>
      </c>
      <c r="D110" s="53">
        <f t="shared" ca="1" si="16"/>
        <v>-6.6166714107751545E-7</v>
      </c>
      <c r="E110" s="54">
        <f t="shared" ca="1" si="14"/>
        <v>-5.4844766571272156E-5</v>
      </c>
      <c r="F110" s="54">
        <f t="shared" ca="1" si="17"/>
        <v>10.183841346973592</v>
      </c>
      <c r="G110" s="53">
        <f t="shared" ca="1" si="18"/>
        <v>5.0931938658441683E-3</v>
      </c>
      <c r="I110" s="45">
        <f t="shared" ca="1" si="12"/>
        <v>6.500961087789128E-11</v>
      </c>
    </row>
    <row r="111" spans="1:9">
      <c r="A111" s="8">
        <v>0.99</v>
      </c>
      <c r="B111" s="48">
        <f t="shared" ca="1" si="13"/>
        <v>82.888009088624656</v>
      </c>
      <c r="C111" s="45">
        <f t="shared" ca="1" si="15"/>
        <v>0</v>
      </c>
      <c r="D111" s="53">
        <f t="shared" ca="1" si="16"/>
        <v>-2.2759905071723097E-11</v>
      </c>
      <c r="E111" s="54">
        <f t="shared" ca="1" si="14"/>
        <v>-1.8865232184412183E-9</v>
      </c>
      <c r="F111" s="54">
        <f t="shared" ca="1" si="17"/>
        <v>10.188934538952914</v>
      </c>
      <c r="G111" s="53">
        <f t="shared" ca="1" si="18"/>
        <v>5.0957410985889478E-3</v>
      </c>
      <c r="I111" s="45">
        <f t="shared" ca="1" si="12"/>
        <v>2.5231282265074234E-20</v>
      </c>
    </row>
    <row r="112" spans="1:9">
      <c r="A112" s="8">
        <v>1</v>
      </c>
      <c r="B112" s="48">
        <f t="shared" ca="1" si="13"/>
        <v>84.224126395921658</v>
      </c>
      <c r="C112" s="55">
        <f ca="1">IF(B112&gt;B2,1,0)</f>
        <v>0</v>
      </c>
      <c r="D112" s="53">
        <f ca="1">(C112-C111)*$B$6</f>
        <v>0</v>
      </c>
      <c r="E112" s="54">
        <f t="shared" ca="1" si="14"/>
        <v>0</v>
      </c>
      <c r="F112" s="54">
        <f t="shared" ca="1" si="17"/>
        <v>10.194030280051503</v>
      </c>
      <c r="G112" s="53">
        <f t="shared" ca="1" si="18"/>
        <v>5.0982896062120543E-3</v>
      </c>
      <c r="I112" s="45">
        <f>0</f>
        <v>0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Y211"/>
  <sheetViews>
    <sheetView tabSelected="1" topLeftCell="H1" zoomScale="134" zoomScaleNormal="134" zoomScalePageLayoutView="134" workbookViewId="0">
      <selection activeCell="AC10" sqref="AC10"/>
    </sheetView>
  </sheetViews>
  <sheetFormatPr baseColWidth="10" defaultColWidth="8.83203125" defaultRowHeight="13"/>
  <cols>
    <col min="1" max="1" width="12.83203125" style="8" bestFit="1" customWidth="1"/>
    <col min="2" max="2" width="12" style="8" bestFit="1" customWidth="1"/>
    <col min="3" max="3" width="9.33203125" style="8" customWidth="1"/>
    <col min="4" max="4" width="13.33203125" style="8" customWidth="1"/>
    <col min="5" max="5" width="10.5" style="8" customWidth="1"/>
    <col min="6" max="6" width="9.6640625" style="8" customWidth="1"/>
    <col min="7" max="7" width="11" style="8" customWidth="1"/>
    <col min="8" max="9" width="8.83203125" style="8"/>
    <col min="10" max="10" width="12.5" style="8" customWidth="1"/>
    <col min="11" max="17" width="8.83203125" style="8"/>
    <col min="18" max="18" width="12.5" style="9" customWidth="1"/>
    <col min="19" max="19" width="9" style="8" customWidth="1"/>
    <col min="20" max="20" width="11.5" style="9" customWidth="1"/>
    <col min="21" max="16384" width="8.83203125" style="8"/>
  </cols>
  <sheetData>
    <row r="1" spans="1:25">
      <c r="A1" s="14" t="s">
        <v>27</v>
      </c>
      <c r="B1" s="23">
        <v>100</v>
      </c>
      <c r="D1" s="14" t="s">
        <v>64</v>
      </c>
      <c r="E1" s="24">
        <v>0.35</v>
      </c>
      <c r="G1" s="10" t="s">
        <v>61</v>
      </c>
      <c r="H1" s="49">
        <f>CallOption(B1,Vol_a,0,PL_r,PL_K,PL_T)</f>
        <v>14.766783224409622</v>
      </c>
      <c r="I1" s="20" t="s">
        <v>96</v>
      </c>
      <c r="K1" s="25" t="s">
        <v>43</v>
      </c>
      <c r="P1" s="22" t="s">
        <v>71</v>
      </c>
      <c r="Q1" s="8">
        <v>1E-3</v>
      </c>
    </row>
    <row r="2" spans="1:25">
      <c r="A2" s="14" t="s">
        <v>28</v>
      </c>
      <c r="B2" s="43">
        <v>0.02</v>
      </c>
      <c r="D2" s="14" t="s">
        <v>65</v>
      </c>
      <c r="E2" s="24">
        <v>0.2</v>
      </c>
      <c r="G2" s="10" t="s">
        <v>62</v>
      </c>
      <c r="H2" s="49">
        <f>CallOption(B1,Vol_i,0,PL_r, PL_K,PL_T)</f>
        <v>8.9160351198191705</v>
      </c>
      <c r="I2" s="20" t="s">
        <v>97</v>
      </c>
      <c r="P2" s="22" t="s">
        <v>72</v>
      </c>
      <c r="Q2" s="8">
        <v>0.999</v>
      </c>
    </row>
    <row r="3" spans="1:25">
      <c r="A3" s="14" t="s">
        <v>29</v>
      </c>
      <c r="B3" s="23">
        <v>100</v>
      </c>
      <c r="G3" s="10" t="s">
        <v>33</v>
      </c>
      <c r="H3" s="50">
        <f>H1-H2</f>
        <v>5.8507481045904512</v>
      </c>
      <c r="I3" s="20" t="s">
        <v>98</v>
      </c>
      <c r="K3" s="22" t="s">
        <v>66</v>
      </c>
    </row>
    <row r="4" spans="1:25" ht="14">
      <c r="A4" s="14" t="s">
        <v>30</v>
      </c>
      <c r="B4" s="42">
        <v>1</v>
      </c>
      <c r="C4" s="22"/>
      <c r="H4" s="45"/>
      <c r="T4" s="11" t="s">
        <v>59</v>
      </c>
      <c r="U4" s="50">
        <f>SUM(U11:U211)</f>
        <v>-0.26476117152492967</v>
      </c>
      <c r="Y4" s="52" t="s">
        <v>92</v>
      </c>
    </row>
    <row r="5" spans="1:25">
      <c r="G5" s="11" t="s">
        <v>34</v>
      </c>
      <c r="H5" s="50">
        <f>EXP(-PL_r*PL_T)*G211</f>
        <v>5.1837386480889966</v>
      </c>
    </row>
    <row r="6" spans="1:25" ht="14">
      <c r="A6" s="11" t="s">
        <v>31</v>
      </c>
      <c r="B6" s="12">
        <v>5.0000000000000001E-3</v>
      </c>
      <c r="D6" s="11" t="s">
        <v>53</v>
      </c>
      <c r="E6" s="21">
        <v>0.35</v>
      </c>
      <c r="K6" s="59" t="s">
        <v>99</v>
      </c>
      <c r="L6" s="61"/>
      <c r="M6" s="61"/>
      <c r="N6" s="61"/>
      <c r="O6" s="62"/>
      <c r="P6" s="62"/>
      <c r="Y6" s="52" t="s">
        <v>95</v>
      </c>
    </row>
    <row r="7" spans="1:25">
      <c r="D7" s="26" t="s">
        <v>55</v>
      </c>
      <c r="K7" s="61"/>
      <c r="L7" s="61"/>
      <c r="M7" s="61"/>
      <c r="N7" s="61"/>
      <c r="O7" s="62"/>
      <c r="P7" s="62"/>
      <c r="Y7" s="59" t="s">
        <v>94</v>
      </c>
    </row>
    <row r="8" spans="1:25">
      <c r="D8" s="13"/>
    </row>
    <row r="9" spans="1:25" ht="14">
      <c r="B9" s="8" t="s">
        <v>23</v>
      </c>
      <c r="C9" s="8" t="s">
        <v>41</v>
      </c>
      <c r="D9" s="8" t="s">
        <v>20</v>
      </c>
      <c r="E9" s="8" t="s">
        <v>54</v>
      </c>
      <c r="G9" s="8" t="s">
        <v>44</v>
      </c>
      <c r="J9" s="8" t="s">
        <v>40</v>
      </c>
      <c r="Y9" s="52" t="s">
        <v>91</v>
      </c>
    </row>
    <row r="10" spans="1:25" ht="42">
      <c r="A10" s="15" t="s">
        <v>32</v>
      </c>
      <c r="B10" s="16" t="s">
        <v>38</v>
      </c>
      <c r="C10" s="17" t="s">
        <v>39</v>
      </c>
      <c r="D10" s="16" t="s">
        <v>63</v>
      </c>
      <c r="E10" s="16" t="s">
        <v>42</v>
      </c>
      <c r="F10" s="16" t="s">
        <v>69</v>
      </c>
      <c r="G10" s="16" t="s">
        <v>67</v>
      </c>
      <c r="J10" s="16" t="s">
        <v>68</v>
      </c>
      <c r="K10" s="47"/>
      <c r="Q10" s="16" t="s">
        <v>74</v>
      </c>
      <c r="R10" s="51" t="s">
        <v>25</v>
      </c>
      <c r="S10" s="16" t="s">
        <v>93</v>
      </c>
      <c r="T10" s="51" t="s">
        <v>100</v>
      </c>
      <c r="V10" s="16" t="s">
        <v>75</v>
      </c>
    </row>
    <row r="11" spans="1:25">
      <c r="A11" s="8">
        <v>0</v>
      </c>
      <c r="B11" s="48">
        <v>100</v>
      </c>
      <c r="C11" s="48">
        <f t="shared" ref="C11:C74" si="0">CallOption(B11,Vol_i,0,PL_r, PL_K,PL_T-A11)</f>
        <v>8.9160351198191705</v>
      </c>
      <c r="D11" s="45">
        <f t="shared" ref="D11:D42" si="1">CallDelta(B11,$E$6,0,PL_r, PL_K, PL_T-A11)</f>
        <v>0.59178642459243969</v>
      </c>
      <c r="E11" s="48">
        <f>V_0-Delta_0*S_0</f>
        <v>-50.262607339424797</v>
      </c>
      <c r="F11" s="48">
        <f>-E11</f>
        <v>50.262607339424797</v>
      </c>
      <c r="G11" s="48">
        <f t="shared" ref="G11:G42" si="2">F11+E11</f>
        <v>0</v>
      </c>
      <c r="J11" s="48">
        <v>0</v>
      </c>
      <c r="Q11" s="8">
        <f t="shared" ref="Q11:Q42" si="3">PL_K</f>
        <v>100</v>
      </c>
      <c r="R11" s="9">
        <f t="shared" ref="R11:R42" si="4">CallGamma(B11,$E$6,0,PL_r, PL_K, PL_T-A11)</f>
        <v>1.1095321575165266E-2</v>
      </c>
      <c r="V11" s="48"/>
    </row>
    <row r="12" spans="1:25">
      <c r="A12" s="8">
        <f t="shared" ref="A12:A43" si="5">A11+dt</f>
        <v>5.0000000000000001E-3</v>
      </c>
      <c r="B12" s="48">
        <f t="shared" ref="B12:B43" si="6">B11*EXP((PL_r-0.5*Vol_a^2)*dt+Vol_a*SQRT(dt)*NormalRN())</f>
        <v>103.4311082676569</v>
      </c>
      <c r="C12" s="48">
        <f t="shared" si="0"/>
        <v>10.990932387419178</v>
      </c>
      <c r="D12" s="45">
        <f t="shared" si="1"/>
        <v>0.6286163190622247</v>
      </c>
      <c r="E12" s="48">
        <f>C12-D12*B12</f>
        <v>-54.027550168321739</v>
      </c>
      <c r="F12" s="48">
        <f>J12+F11*EXP(PL_r*dt)</f>
        <v>54.076990653870865</v>
      </c>
      <c r="G12" s="48">
        <f t="shared" si="2"/>
        <v>4.9440485549126834E-2</v>
      </c>
      <c r="H12" s="45"/>
      <c r="I12" s="45"/>
      <c r="J12" s="48">
        <f>(D12-D11)*B12</f>
        <v>3.8093568023907123</v>
      </c>
      <c r="K12" s="22" t="s">
        <v>70</v>
      </c>
      <c r="Q12" s="8">
        <f t="shared" si="3"/>
        <v>100</v>
      </c>
      <c r="R12" s="9">
        <f t="shared" si="4"/>
        <v>1.046864607916613E-2</v>
      </c>
      <c r="S12" s="8">
        <f t="shared" ref="S12:S43" si="7">IF(V12^2 &lt; ($E$6^2*dt), -1, 1)</f>
        <v>1</v>
      </c>
      <c r="T12" s="9">
        <f t="shared" ref="T12:T43" si="8">0.5*R12*(B12^2)*(V12^2-$E$6^2*dt)</f>
        <v>3.1624190770071871E-2</v>
      </c>
      <c r="U12" s="9">
        <f t="shared" ref="U12:U43" si="9">T12*EXP(-PL_r*A12)</f>
        <v>3.1621028509110548E-2</v>
      </c>
      <c r="V12" s="9">
        <f>(B12-B11)/B11</f>
        <v>3.431108267656896E-2</v>
      </c>
    </row>
    <row r="13" spans="1:25">
      <c r="A13" s="8">
        <f t="shared" si="5"/>
        <v>0.01</v>
      </c>
      <c r="B13" s="48">
        <f t="shared" si="6"/>
        <v>108.50137350091913</v>
      </c>
      <c r="C13" s="48">
        <f t="shared" si="0"/>
        <v>14.451444563694849</v>
      </c>
      <c r="D13" s="45">
        <f t="shared" si="1"/>
        <v>0.67913289502747987</v>
      </c>
      <c r="E13" s="48">
        <f t="shared" ref="E13:E75" si="10">C13-D13*B13</f>
        <v>-59.23540733644225</v>
      </c>
      <c r="F13" s="48">
        <f t="shared" ref="F13:F43" si="11">J13+F12*EXP(PL_r*dt)</f>
        <v>59.563516500123924</v>
      </c>
      <c r="G13" s="48">
        <f t="shared" si="2"/>
        <v>0.32810916368167398</v>
      </c>
      <c r="H13" s="45"/>
      <c r="I13" s="45"/>
      <c r="J13" s="48">
        <f t="shared" ref="J13:J43" si="12">(D13-D12)*B13</f>
        <v>5.4811178767937045</v>
      </c>
      <c r="Q13" s="8">
        <f t="shared" si="3"/>
        <v>100</v>
      </c>
      <c r="R13" s="9">
        <f t="shared" si="4"/>
        <v>9.4750361940873114E-3</v>
      </c>
      <c r="S13" s="8">
        <f t="shared" si="7"/>
        <v>1</v>
      </c>
      <c r="T13" s="9">
        <f t="shared" si="8"/>
        <v>9.9862560663961097E-2</v>
      </c>
      <c r="U13" s="9">
        <f t="shared" si="9"/>
        <v>9.9842590148946378E-2</v>
      </c>
      <c r="V13" s="9">
        <f t="shared" ref="V13:V76" si="13">(B13-B12)/B12</f>
        <v>4.9020699073836715E-2</v>
      </c>
    </row>
    <row r="14" spans="1:25">
      <c r="A14" s="8">
        <f t="shared" si="5"/>
        <v>1.4999999999999999E-2</v>
      </c>
      <c r="B14" s="48">
        <f t="shared" si="6"/>
        <v>112.82331753480344</v>
      </c>
      <c r="C14" s="48">
        <f t="shared" si="0"/>
        <v>17.713091035506551</v>
      </c>
      <c r="D14" s="45">
        <f t="shared" si="1"/>
        <v>0.71827767577057422</v>
      </c>
      <c r="E14" s="48">
        <f t="shared" si="10"/>
        <v>-63.325379256117529</v>
      </c>
      <c r="F14" s="48">
        <f t="shared" si="11"/>
        <v>63.985917177209842</v>
      </c>
      <c r="G14" s="48">
        <f t="shared" si="2"/>
        <v>0.66053792109231324</v>
      </c>
      <c r="H14" s="45"/>
      <c r="I14" s="45"/>
      <c r="J14" s="48">
        <f t="shared" si="12"/>
        <v>4.4164440276083932</v>
      </c>
      <c r="K14" s="14" t="s">
        <v>73</v>
      </c>
      <c r="Q14" s="8">
        <f t="shared" si="3"/>
        <v>100</v>
      </c>
      <c r="R14" s="9">
        <f t="shared" si="4"/>
        <v>8.6148309141919326E-3</v>
      </c>
      <c r="S14" s="8">
        <f t="shared" si="7"/>
        <v>1</v>
      </c>
      <c r="T14" s="9">
        <f t="shared" si="8"/>
        <v>5.3413519110162726E-2</v>
      </c>
      <c r="U14" s="9">
        <f t="shared" si="9"/>
        <v>5.3397497457797698E-2</v>
      </c>
      <c r="V14" s="9">
        <f t="shared" si="13"/>
        <v>3.9833081318990819E-2</v>
      </c>
    </row>
    <row r="15" spans="1:25">
      <c r="A15" s="8">
        <f t="shared" si="5"/>
        <v>0.02</v>
      </c>
      <c r="B15" s="48">
        <f t="shared" si="6"/>
        <v>108.80436850856728</v>
      </c>
      <c r="C15" s="48">
        <f t="shared" si="0"/>
        <v>14.623910953139301</v>
      </c>
      <c r="D15" s="45">
        <f t="shared" si="1"/>
        <v>0.68201710085148792</v>
      </c>
      <c r="E15" s="48">
        <f t="shared" si="10"/>
        <v>-59.582529017050689</v>
      </c>
      <c r="F15" s="48">
        <f t="shared" si="11"/>
        <v>60.047007133039038</v>
      </c>
      <c r="G15" s="48">
        <f t="shared" si="2"/>
        <v>0.46447811598834932</v>
      </c>
      <c r="H15" s="45"/>
      <c r="I15" s="45"/>
      <c r="J15" s="48">
        <f t="shared" si="12"/>
        <v>-3.9453089558287777</v>
      </c>
      <c r="Q15" s="8">
        <f t="shared" si="3"/>
        <v>100</v>
      </c>
      <c r="R15" s="9">
        <f t="shared" si="4"/>
        <v>9.4608303091816923E-3</v>
      </c>
      <c r="S15" s="8">
        <f t="shared" si="7"/>
        <v>1</v>
      </c>
      <c r="T15" s="9">
        <f t="shared" si="8"/>
        <v>3.6758707920221505E-2</v>
      </c>
      <c r="U15" s="9">
        <f t="shared" si="9"/>
        <v>3.6744007377357994E-2</v>
      </c>
      <c r="V15" s="9">
        <f t="shared" si="13"/>
        <v>-3.5621617180299651E-2</v>
      </c>
    </row>
    <row r="16" spans="1:25">
      <c r="A16" s="8">
        <f t="shared" si="5"/>
        <v>2.5000000000000001E-2</v>
      </c>
      <c r="B16" s="48">
        <f t="shared" si="6"/>
        <v>109.58071361347655</v>
      </c>
      <c r="C16" s="48">
        <f t="shared" si="0"/>
        <v>15.173670008779112</v>
      </c>
      <c r="D16" s="45">
        <f t="shared" si="1"/>
        <v>0.68933146345137508</v>
      </c>
      <c r="E16" s="48">
        <f t="shared" si="10"/>
        <v>-60.363763672444691</v>
      </c>
      <c r="F16" s="48">
        <f t="shared" si="11"/>
        <v>60.854525207320748</v>
      </c>
      <c r="G16" s="48">
        <f t="shared" si="2"/>
        <v>0.49076153487605723</v>
      </c>
      <c r="H16" s="45"/>
      <c r="I16" s="45"/>
      <c r="J16" s="48">
        <f t="shared" si="12"/>
        <v>0.80151307332335853</v>
      </c>
      <c r="Q16" s="8">
        <f t="shared" si="3"/>
        <v>100</v>
      </c>
      <c r="R16" s="9">
        <f t="shared" si="4"/>
        <v>9.3244501973317566E-3</v>
      </c>
      <c r="S16" s="8">
        <f t="shared" si="7"/>
        <v>-1</v>
      </c>
      <c r="T16" s="9">
        <f t="shared" si="8"/>
        <v>-3.1439786970317053E-2</v>
      </c>
      <c r="U16" s="9">
        <f t="shared" si="9"/>
        <v>-3.1424071006150356E-2</v>
      </c>
      <c r="V16" s="9">
        <f t="shared" si="13"/>
        <v>7.1352383691114241E-3</v>
      </c>
    </row>
    <row r="17" spans="1:22">
      <c r="A17" s="8">
        <f t="shared" si="5"/>
        <v>3.0000000000000002E-2</v>
      </c>
      <c r="B17" s="48">
        <f t="shared" si="6"/>
        <v>110.96984571676855</v>
      </c>
      <c r="C17" s="48">
        <f t="shared" si="0"/>
        <v>16.199331381834057</v>
      </c>
      <c r="D17" s="45">
        <f t="shared" si="1"/>
        <v>0.70214968974929393</v>
      </c>
      <c r="E17" s="48">
        <f t="shared" si="10"/>
        <v>-61.718111359721988</v>
      </c>
      <c r="F17" s="48">
        <f t="shared" si="11"/>
        <v>62.283047558766924</v>
      </c>
      <c r="G17" s="48">
        <f t="shared" si="2"/>
        <v>0.56493619904493642</v>
      </c>
      <c r="H17" s="45"/>
      <c r="I17" s="45"/>
      <c r="J17" s="48">
        <f t="shared" si="12"/>
        <v>1.4224365946426794</v>
      </c>
      <c r="Q17" s="8">
        <f t="shared" si="3"/>
        <v>100</v>
      </c>
      <c r="R17" s="9">
        <f t="shared" si="4"/>
        <v>9.0597848222237435E-3</v>
      </c>
      <c r="S17" s="8">
        <f t="shared" si="7"/>
        <v>-1</v>
      </c>
      <c r="T17" s="9">
        <f t="shared" si="8"/>
        <v>-2.5202465077171502E-2</v>
      </c>
      <c r="U17" s="9">
        <f t="shared" si="9"/>
        <v>-2.5187348133661761E-2</v>
      </c>
      <c r="V17" s="9">
        <f t="shared" si="13"/>
        <v>1.2676793730253273E-2</v>
      </c>
    </row>
    <row r="18" spans="1:22">
      <c r="A18" s="8">
        <f t="shared" si="5"/>
        <v>3.5000000000000003E-2</v>
      </c>
      <c r="B18" s="48">
        <f t="shared" si="6"/>
        <v>108.2472658316313</v>
      </c>
      <c r="C18" s="48">
        <f t="shared" si="0"/>
        <v>14.143320364490577</v>
      </c>
      <c r="D18" s="45">
        <f t="shared" si="1"/>
        <v>0.67671640426078761</v>
      </c>
      <c r="E18" s="48">
        <f t="shared" si="10"/>
        <v>-59.109380140152567</v>
      </c>
      <c r="F18" s="48">
        <f t="shared" si="11"/>
        <v>59.536192559702307</v>
      </c>
      <c r="G18" s="48">
        <f t="shared" si="2"/>
        <v>0.4268124195497407</v>
      </c>
      <c r="H18" s="45"/>
      <c r="I18" s="45"/>
      <c r="J18" s="48">
        <f t="shared" si="12"/>
        <v>-2.7530836152461142</v>
      </c>
      <c r="Q18" s="8">
        <f t="shared" si="3"/>
        <v>100</v>
      </c>
      <c r="R18" s="9">
        <f t="shared" si="4"/>
        <v>9.6495045034385909E-3</v>
      </c>
      <c r="S18" s="8">
        <f t="shared" si="7"/>
        <v>-1</v>
      </c>
      <c r="T18" s="9">
        <f t="shared" si="8"/>
        <v>-5.9714719634880356E-4</v>
      </c>
      <c r="U18" s="9">
        <f t="shared" si="9"/>
        <v>-5.9672933957829154E-4</v>
      </c>
      <c r="V18" s="9">
        <f t="shared" si="13"/>
        <v>-2.4534411736375369E-2</v>
      </c>
    </row>
    <row r="19" spans="1:22">
      <c r="A19" s="8">
        <f t="shared" si="5"/>
        <v>0.04</v>
      </c>
      <c r="B19" s="48">
        <f t="shared" si="6"/>
        <v>109.55058584361947</v>
      </c>
      <c r="C19" s="48">
        <f t="shared" si="0"/>
        <v>15.077655501560898</v>
      </c>
      <c r="D19" s="45">
        <f t="shared" si="1"/>
        <v>0.68915074170375312</v>
      </c>
      <c r="E19" s="48">
        <f t="shared" si="10"/>
        <v>-60.41921198665014</v>
      </c>
      <c r="F19" s="48">
        <f t="shared" si="11"/>
        <v>60.904335428103288</v>
      </c>
      <c r="G19" s="48">
        <f t="shared" si="2"/>
        <v>0.48512344145314756</v>
      </c>
      <c r="H19" s="45"/>
      <c r="I19" s="45"/>
      <c r="J19" s="48">
        <f t="shared" si="12"/>
        <v>1.3621889514541254</v>
      </c>
      <c r="Q19" s="8">
        <f t="shared" si="3"/>
        <v>100</v>
      </c>
      <c r="R19" s="9">
        <f t="shared" si="4"/>
        <v>9.4019743543037257E-3</v>
      </c>
      <c r="S19" s="8">
        <f t="shared" si="7"/>
        <v>-1</v>
      </c>
      <c r="T19" s="9">
        <f t="shared" si="8"/>
        <v>-2.6377341561624263E-2</v>
      </c>
      <c r="U19" s="9">
        <f t="shared" si="9"/>
        <v>-2.6356248126873847E-2</v>
      </c>
      <c r="V19" s="9">
        <f t="shared" si="13"/>
        <v>1.2040211842536253E-2</v>
      </c>
    </row>
    <row r="20" spans="1:22">
      <c r="A20" s="8">
        <f t="shared" si="5"/>
        <v>4.4999999999999998E-2</v>
      </c>
      <c r="B20" s="48">
        <f t="shared" si="6"/>
        <v>106.09601192423104</v>
      </c>
      <c r="C20" s="48">
        <f t="shared" si="0"/>
        <v>12.569098300783011</v>
      </c>
      <c r="D20" s="45">
        <f t="shared" si="1"/>
        <v>0.65537246475389488</v>
      </c>
      <c r="E20" s="48">
        <f t="shared" si="10"/>
        <v>-56.96330653455891</v>
      </c>
      <c r="F20" s="48">
        <f t="shared" si="11"/>
        <v>57.326685692125793</v>
      </c>
      <c r="G20" s="48">
        <f t="shared" si="2"/>
        <v>0.36337915756688233</v>
      </c>
      <c r="H20" s="45"/>
      <c r="I20" s="45"/>
      <c r="J20" s="48">
        <f t="shared" si="12"/>
        <v>-3.5837404740521386</v>
      </c>
      <c r="Q20" s="8">
        <f t="shared" si="3"/>
        <v>100</v>
      </c>
      <c r="R20" s="9">
        <f t="shared" si="4"/>
        <v>1.014894593728926E-2</v>
      </c>
      <c r="S20" s="8">
        <f t="shared" si="7"/>
        <v>1</v>
      </c>
      <c r="T20" s="9">
        <f t="shared" si="8"/>
        <v>2.1813969367990994E-2</v>
      </c>
      <c r="U20" s="9">
        <f t="shared" si="9"/>
        <v>2.1794345627567595E-2</v>
      </c>
      <c r="V20" s="9">
        <f t="shared" si="13"/>
        <v>-3.1534052445139356E-2</v>
      </c>
    </row>
    <row r="21" spans="1:22">
      <c r="A21" s="8">
        <f t="shared" si="5"/>
        <v>4.9999999999999996E-2</v>
      </c>
      <c r="B21" s="48">
        <f t="shared" si="6"/>
        <v>108.01355211684827</v>
      </c>
      <c r="C21" s="48">
        <f t="shared" si="0"/>
        <v>13.899405186724607</v>
      </c>
      <c r="D21" s="45">
        <f t="shared" si="1"/>
        <v>0.67444966712504495</v>
      </c>
      <c r="E21" s="48">
        <f t="shared" si="10"/>
        <v>-58.950299083477404</v>
      </c>
      <c r="F21" s="48">
        <f t="shared" si="11"/>
        <v>59.393015039897868</v>
      </c>
      <c r="G21" s="48">
        <f t="shared" si="2"/>
        <v>0.44271595642046435</v>
      </c>
      <c r="H21" s="45"/>
      <c r="I21" s="45"/>
      <c r="J21" s="48">
        <f t="shared" si="12"/>
        <v>2.0605963925598796</v>
      </c>
      <c r="Q21" s="8">
        <f t="shared" si="3"/>
        <v>100</v>
      </c>
      <c r="R21" s="9">
        <f t="shared" si="4"/>
        <v>9.7744433438881496E-3</v>
      </c>
      <c r="S21" s="8">
        <f t="shared" si="7"/>
        <v>-1</v>
      </c>
      <c r="T21" s="9">
        <f t="shared" si="8"/>
        <v>-1.6298490920017398E-2</v>
      </c>
      <c r="U21" s="9">
        <f t="shared" si="9"/>
        <v>-1.6282200575627105E-2</v>
      </c>
      <c r="V21" s="9">
        <f t="shared" si="13"/>
        <v>1.8073631212327367E-2</v>
      </c>
    </row>
    <row r="22" spans="1:22">
      <c r="A22" s="8">
        <f t="shared" si="5"/>
        <v>5.4999999999999993E-2</v>
      </c>
      <c r="B22" s="48">
        <f t="shared" si="6"/>
        <v>108.7907301160532</v>
      </c>
      <c r="C22" s="48">
        <f t="shared" si="0"/>
        <v>14.440842732247162</v>
      </c>
      <c r="D22" s="45">
        <f t="shared" si="1"/>
        <v>0.68200263963298413</v>
      </c>
      <c r="E22" s="48">
        <f t="shared" si="10"/>
        <v>-59.754722374500702</v>
      </c>
      <c r="F22" s="48">
        <f t="shared" si="11"/>
        <v>60.220648032062016</v>
      </c>
      <c r="G22" s="48">
        <f t="shared" si="2"/>
        <v>0.46592565756131421</v>
      </c>
      <c r="H22" s="45"/>
      <c r="I22" s="45"/>
      <c r="J22" s="48">
        <f t="shared" si="12"/>
        <v>0.82169339368518102</v>
      </c>
      <c r="Q22" s="8">
        <f t="shared" si="3"/>
        <v>100</v>
      </c>
      <c r="R22" s="9">
        <f t="shared" si="4"/>
        <v>9.6358307360967475E-3</v>
      </c>
      <c r="S22" s="8">
        <f t="shared" si="7"/>
        <v>-1</v>
      </c>
      <c r="T22" s="9">
        <f t="shared" si="8"/>
        <v>-3.1973940106106311E-2</v>
      </c>
      <c r="U22" s="9">
        <f t="shared" si="9"/>
        <v>-3.1938788109132421E-2</v>
      </c>
      <c r="V22" s="9">
        <f t="shared" si="13"/>
        <v>7.195189714381189E-3</v>
      </c>
    </row>
    <row r="23" spans="1:22">
      <c r="A23" s="8">
        <f t="shared" si="5"/>
        <v>5.9999999999999991E-2</v>
      </c>
      <c r="B23" s="48">
        <f t="shared" si="6"/>
        <v>111.46225426109673</v>
      </c>
      <c r="C23" s="48">
        <f t="shared" si="0"/>
        <v>16.433330779239739</v>
      </c>
      <c r="D23" s="45">
        <f t="shared" si="1"/>
        <v>0.7070744554155256</v>
      </c>
      <c r="E23" s="48">
        <f t="shared" si="10"/>
        <v>-62.378781951812087</v>
      </c>
      <c r="F23" s="48">
        <f t="shared" si="11"/>
        <v>63.021231503519516</v>
      </c>
      <c r="G23" s="48">
        <f t="shared" si="2"/>
        <v>0.64244955170742912</v>
      </c>
      <c r="H23" s="45"/>
      <c r="I23" s="45"/>
      <c r="J23" s="48">
        <f t="shared" si="12"/>
        <v>2.7945611055410158</v>
      </c>
      <c r="Q23" s="8">
        <f t="shared" si="3"/>
        <v>100</v>
      </c>
      <c r="R23" s="9">
        <f t="shared" si="4"/>
        <v>9.0925502228947422E-3</v>
      </c>
      <c r="S23" s="8">
        <f t="shared" si="7"/>
        <v>-1</v>
      </c>
      <c r="T23" s="9">
        <f t="shared" si="8"/>
        <v>-5.3523856170075205E-4</v>
      </c>
      <c r="U23" s="9">
        <f t="shared" si="9"/>
        <v>-5.3459666064437311E-4</v>
      </c>
      <c r="V23" s="9">
        <f t="shared" si="13"/>
        <v>2.4556542107895304E-2</v>
      </c>
    </row>
    <row r="24" spans="1:22">
      <c r="A24" s="8">
        <f t="shared" si="5"/>
        <v>6.4999999999999988E-2</v>
      </c>
      <c r="B24" s="48">
        <f t="shared" si="6"/>
        <v>112.75948622346144</v>
      </c>
      <c r="C24" s="48">
        <f t="shared" si="0"/>
        <v>17.425550947524272</v>
      </c>
      <c r="D24" s="45">
        <f t="shared" si="1"/>
        <v>0.71880757660805428</v>
      </c>
      <c r="E24" s="48">
        <f t="shared" si="10"/>
        <v>-63.626822084331323</v>
      </c>
      <c r="F24" s="48">
        <f t="shared" si="11"/>
        <v>64.350554659253675</v>
      </c>
      <c r="G24" s="48">
        <f t="shared" si="2"/>
        <v>0.72373257492235155</v>
      </c>
      <c r="H24" s="45"/>
      <c r="I24" s="45"/>
      <c r="J24" s="48">
        <f t="shared" si="12"/>
        <v>1.3230207174671402</v>
      </c>
      <c r="Q24" s="8">
        <f t="shared" si="3"/>
        <v>100</v>
      </c>
      <c r="R24" s="9">
        <f t="shared" si="4"/>
        <v>8.839146521934434E-3</v>
      </c>
      <c r="S24" s="8">
        <f t="shared" si="7"/>
        <v>-1</v>
      </c>
      <c r="T24" s="9">
        <f t="shared" si="8"/>
        <v>-2.6807124795514899E-2</v>
      </c>
      <c r="U24" s="9">
        <f t="shared" si="9"/>
        <v>-2.6772298175488495E-2</v>
      </c>
      <c r="V24" s="9">
        <f t="shared" si="13"/>
        <v>1.1638307254453882E-2</v>
      </c>
    </row>
    <row r="25" spans="1:22">
      <c r="A25" s="8">
        <f t="shared" si="5"/>
        <v>6.9999999999999993E-2</v>
      </c>
      <c r="B25" s="48">
        <f t="shared" si="6"/>
        <v>115.45584658699283</v>
      </c>
      <c r="C25" s="48">
        <f t="shared" si="0"/>
        <v>19.584631602682762</v>
      </c>
      <c r="D25" s="45">
        <f t="shared" si="1"/>
        <v>0.74204623235449463</v>
      </c>
      <c r="E25" s="48">
        <f t="shared" si="10"/>
        <v>-66.088944360493812</v>
      </c>
      <c r="F25" s="48">
        <f t="shared" si="11"/>
        <v>67.040028709232047</v>
      </c>
      <c r="G25" s="48">
        <f t="shared" si="2"/>
        <v>0.95108434873823455</v>
      </c>
      <c r="H25" s="45"/>
      <c r="I25" s="45"/>
      <c r="J25" s="48">
        <f t="shared" si="12"/>
        <v>2.6830386727489568</v>
      </c>
      <c r="Q25" s="8">
        <f t="shared" si="3"/>
        <v>100</v>
      </c>
      <c r="R25" s="9">
        <f t="shared" si="4"/>
        <v>8.2896086995554469E-3</v>
      </c>
      <c r="S25" s="8">
        <f t="shared" si="7"/>
        <v>-1</v>
      </c>
      <c r="T25" s="9">
        <f t="shared" si="8"/>
        <v>-2.2482906325898317E-3</v>
      </c>
      <c r="U25" s="9">
        <f t="shared" si="9"/>
        <v>-2.2451452280011675E-3</v>
      </c>
      <c r="V25" s="9">
        <f t="shared" si="13"/>
        <v>2.3912492454851005E-2</v>
      </c>
    </row>
    <row r="26" spans="1:22">
      <c r="A26" s="8">
        <f t="shared" si="5"/>
        <v>7.4999999999999997E-2</v>
      </c>
      <c r="B26" s="48">
        <f t="shared" si="6"/>
        <v>118.08842461968406</v>
      </c>
      <c r="C26" s="48">
        <f t="shared" si="0"/>
        <v>21.775135640049442</v>
      </c>
      <c r="D26" s="45">
        <f t="shared" si="1"/>
        <v>0.76337148222034978</v>
      </c>
      <c r="E26" s="48">
        <f t="shared" si="10"/>
        <v>-68.370200094944821</v>
      </c>
      <c r="F26" s="48">
        <f t="shared" si="11"/>
        <v>69.564998208594261</v>
      </c>
      <c r="G26" s="48">
        <f t="shared" si="2"/>
        <v>1.1947981136494406</v>
      </c>
      <c r="H26" s="45"/>
      <c r="I26" s="45"/>
      <c r="J26" s="48">
        <f t="shared" si="12"/>
        <v>2.518265161279964</v>
      </c>
      <c r="Q26" s="8">
        <f t="shared" si="3"/>
        <v>100</v>
      </c>
      <c r="R26" s="9">
        <f t="shared" si="4"/>
        <v>7.7601802262401926E-3</v>
      </c>
      <c r="S26" s="8">
        <f t="shared" si="7"/>
        <v>-1</v>
      </c>
      <c r="T26" s="9">
        <f t="shared" si="8"/>
        <v>-5.0096415866831504E-3</v>
      </c>
      <c r="U26" s="9">
        <f t="shared" si="9"/>
        <v>-5.0021327573330438E-3</v>
      </c>
      <c r="V26" s="9">
        <f t="shared" si="13"/>
        <v>2.2801600009988685E-2</v>
      </c>
    </row>
    <row r="27" spans="1:22">
      <c r="A27" s="8">
        <f t="shared" si="5"/>
        <v>0.08</v>
      </c>
      <c r="B27" s="48">
        <f t="shared" si="6"/>
        <v>120.04458437031906</v>
      </c>
      <c r="C27" s="48">
        <f t="shared" si="0"/>
        <v>23.444461144165786</v>
      </c>
      <c r="D27" s="45">
        <f t="shared" si="1"/>
        <v>0.77841930964544515</v>
      </c>
      <c r="E27" s="48">
        <f t="shared" si="10"/>
        <v>-70.000561348052372</v>
      </c>
      <c r="F27" s="48">
        <f t="shared" si="11"/>
        <v>71.378365245173569</v>
      </c>
      <c r="G27" s="48">
        <f t="shared" si="2"/>
        <v>1.377803897121197</v>
      </c>
      <c r="H27" s="45"/>
      <c r="I27" s="45"/>
      <c r="J27" s="48">
        <f t="shared" si="12"/>
        <v>1.8064101889218611</v>
      </c>
      <c r="Q27" s="8">
        <f t="shared" si="3"/>
        <v>100</v>
      </c>
      <c r="R27" s="9">
        <f t="shared" si="4"/>
        <v>7.3774287168890864E-3</v>
      </c>
      <c r="S27" s="8">
        <f t="shared" si="7"/>
        <v>-1</v>
      </c>
      <c r="T27" s="9">
        <f t="shared" si="8"/>
        <v>-1.7972038023699666E-2</v>
      </c>
      <c r="U27" s="9">
        <f t="shared" si="9"/>
        <v>-1.7943305754806411E-2</v>
      </c>
      <c r="V27" s="9">
        <f t="shared" si="13"/>
        <v>1.6565211678748443E-2</v>
      </c>
    </row>
    <row r="28" spans="1:22">
      <c r="A28" s="8">
        <f t="shared" si="5"/>
        <v>8.5000000000000006E-2</v>
      </c>
      <c r="B28" s="48">
        <f t="shared" si="6"/>
        <v>122.70461072431628</v>
      </c>
      <c r="C28" s="48">
        <f t="shared" si="0"/>
        <v>25.778873914114854</v>
      </c>
      <c r="D28" s="45">
        <f t="shared" si="1"/>
        <v>0.79763622003706547</v>
      </c>
      <c r="E28" s="48">
        <f t="shared" si="10"/>
        <v>-72.09476796514835</v>
      </c>
      <c r="F28" s="48">
        <f t="shared" si="11"/>
        <v>73.743506947529653</v>
      </c>
      <c r="G28" s="48">
        <f t="shared" si="2"/>
        <v>1.6487389823813032</v>
      </c>
      <c r="H28" s="45"/>
      <c r="I28" s="45"/>
      <c r="J28" s="48">
        <f t="shared" si="12"/>
        <v>2.3580035089278399</v>
      </c>
      <c r="Q28" s="8">
        <f t="shared" si="3"/>
        <v>100</v>
      </c>
      <c r="R28" s="9">
        <f t="shared" si="4"/>
        <v>6.8630855081359054E-3</v>
      </c>
      <c r="S28" s="8">
        <f t="shared" si="7"/>
        <v>-1</v>
      </c>
      <c r="T28" s="9">
        <f t="shared" si="8"/>
        <v>-6.2772044146206449E-3</v>
      </c>
      <c r="U28" s="9">
        <f t="shared" si="9"/>
        <v>-6.2665422325383687E-3</v>
      </c>
      <c r="V28" s="9">
        <f t="shared" si="13"/>
        <v>2.2158653536518174E-2</v>
      </c>
    </row>
    <row r="29" spans="1:22">
      <c r="A29" s="8">
        <f t="shared" si="5"/>
        <v>9.0000000000000011E-2</v>
      </c>
      <c r="B29" s="48">
        <f t="shared" si="6"/>
        <v>121.61154230704383</v>
      </c>
      <c r="C29" s="48">
        <f t="shared" si="0"/>
        <v>24.783376312231781</v>
      </c>
      <c r="D29" s="45">
        <f t="shared" si="1"/>
        <v>0.79030403886398359</v>
      </c>
      <c r="E29" s="48">
        <f t="shared" si="10"/>
        <v>-71.326716745503177</v>
      </c>
      <c r="F29" s="48">
        <f t="shared" si="11"/>
        <v>72.859203806021071</v>
      </c>
      <c r="G29" s="48">
        <f t="shared" si="2"/>
        <v>1.5324870605178944</v>
      </c>
      <c r="H29" s="45"/>
      <c r="I29" s="45"/>
      <c r="J29" s="48">
        <f t="shared" si="12"/>
        <v>-0.89167786093315682</v>
      </c>
      <c r="Q29" s="8">
        <f t="shared" si="3"/>
        <v>100</v>
      </c>
      <c r="R29" s="9">
        <f t="shared" si="4"/>
        <v>7.0918996315792668E-3</v>
      </c>
      <c r="S29" s="8">
        <f t="shared" si="7"/>
        <v>-1</v>
      </c>
      <c r="T29" s="9">
        <f t="shared" si="8"/>
        <v>-2.7959391917191566E-2</v>
      </c>
      <c r="U29" s="9">
        <f t="shared" si="9"/>
        <v>-2.7909110278791224E-2</v>
      </c>
      <c r="V29" s="9">
        <f t="shared" si="13"/>
        <v>-8.9081283157995926E-3</v>
      </c>
    </row>
    <row r="30" spans="1:22">
      <c r="A30" s="8">
        <f t="shared" si="5"/>
        <v>9.5000000000000015E-2</v>
      </c>
      <c r="B30" s="48">
        <f t="shared" si="6"/>
        <v>121.99057720199603</v>
      </c>
      <c r="C30" s="48">
        <f t="shared" si="0"/>
        <v>25.100276777666593</v>
      </c>
      <c r="D30" s="45">
        <f t="shared" si="1"/>
        <v>0.79327294591050634</v>
      </c>
      <c r="E30" s="48">
        <f t="shared" si="10"/>
        <v>-71.671547772683851</v>
      </c>
      <c r="F30" s="48">
        <f t="shared" si="11"/>
        <v>73.228668774974224</v>
      </c>
      <c r="G30" s="48">
        <f t="shared" si="2"/>
        <v>1.5571210022903728</v>
      </c>
      <c r="H30" s="45"/>
      <c r="I30" s="45"/>
      <c r="J30" s="48">
        <f t="shared" si="12"/>
        <v>0.36217868426438365</v>
      </c>
      <c r="Q30" s="8">
        <f t="shared" si="3"/>
        <v>100</v>
      </c>
      <c r="R30" s="9">
        <f t="shared" si="4"/>
        <v>7.0299685346572787E-3</v>
      </c>
      <c r="S30" s="8">
        <f t="shared" si="7"/>
        <v>-1</v>
      </c>
      <c r="T30" s="9">
        <f t="shared" si="8"/>
        <v>-3.1531086980428259E-2</v>
      </c>
      <c r="U30" s="9">
        <f t="shared" si="9"/>
        <v>-3.147123479274927E-2</v>
      </c>
      <c r="V30" s="9">
        <f t="shared" si="13"/>
        <v>3.1167674363936134E-3</v>
      </c>
    </row>
    <row r="31" spans="1:22">
      <c r="A31" s="8">
        <f t="shared" si="5"/>
        <v>0.10000000000000002</v>
      </c>
      <c r="B31" s="48">
        <f t="shared" si="6"/>
        <v>118.65154035599055</v>
      </c>
      <c r="C31" s="48">
        <f t="shared" si="0"/>
        <v>22.149324721350027</v>
      </c>
      <c r="D31" s="45">
        <f t="shared" si="1"/>
        <v>0.76891927394941983</v>
      </c>
      <c r="E31" s="48">
        <f t="shared" si="10"/>
        <v>-69.084131542158516</v>
      </c>
      <c r="F31" s="48">
        <f t="shared" si="11"/>
        <v>70.346391316499862</v>
      </c>
      <c r="G31" s="48">
        <f t="shared" si="2"/>
        <v>1.2622597743413451</v>
      </c>
      <c r="H31" s="45"/>
      <c r="I31" s="45"/>
      <c r="J31" s="48">
        <f t="shared" si="12"/>
        <v>-2.8896006915074115</v>
      </c>
      <c r="Q31" s="8">
        <f t="shared" si="3"/>
        <v>100</v>
      </c>
      <c r="R31" s="9">
        <f t="shared" si="4"/>
        <v>7.7276198815327156E-3</v>
      </c>
      <c r="S31" s="8">
        <f t="shared" si="7"/>
        <v>1</v>
      </c>
      <c r="T31" s="9">
        <f t="shared" si="8"/>
        <v>7.4351140300014436E-3</v>
      </c>
      <c r="U31" s="9">
        <f t="shared" si="9"/>
        <v>7.4202586622609699E-3</v>
      </c>
      <c r="V31" s="9">
        <f t="shared" si="13"/>
        <v>-2.7371268524097537E-2</v>
      </c>
    </row>
    <row r="32" spans="1:22">
      <c r="A32" s="8">
        <f t="shared" si="5"/>
        <v>0.10500000000000002</v>
      </c>
      <c r="B32" s="48">
        <f t="shared" si="6"/>
        <v>117.39315184602444</v>
      </c>
      <c r="C32" s="48">
        <f t="shared" si="0"/>
        <v>21.049707777656792</v>
      </c>
      <c r="D32" s="45">
        <f t="shared" si="1"/>
        <v>0.75925716424171963</v>
      </c>
      <c r="E32" s="48">
        <f t="shared" si="10"/>
        <v>-68.081883794353317</v>
      </c>
      <c r="F32" s="48">
        <f t="shared" si="11"/>
        <v>69.219160795306209</v>
      </c>
      <c r="G32" s="48">
        <f t="shared" si="2"/>
        <v>1.1372770009528921</v>
      </c>
      <c r="H32" s="45"/>
      <c r="I32" s="45"/>
      <c r="J32" s="48">
        <f t="shared" si="12"/>
        <v>-1.1342655120689971</v>
      </c>
      <c r="Q32" s="8">
        <f t="shared" si="3"/>
        <v>100</v>
      </c>
      <c r="R32" s="9">
        <f t="shared" si="4"/>
        <v>8.0110996948181256E-3</v>
      </c>
      <c r="S32" s="8">
        <f t="shared" si="7"/>
        <v>-1</v>
      </c>
      <c r="T32" s="9">
        <f t="shared" si="8"/>
        <v>-2.7601543794198779E-2</v>
      </c>
      <c r="U32" s="9">
        <f t="shared" si="9"/>
        <v>-2.75436413710544E-2</v>
      </c>
      <c r="V32" s="9">
        <f t="shared" si="13"/>
        <v>-1.0605749459219525E-2</v>
      </c>
    </row>
    <row r="33" spans="1:22">
      <c r="A33" s="8">
        <f t="shared" si="5"/>
        <v>0.11000000000000003</v>
      </c>
      <c r="B33" s="48">
        <f t="shared" si="6"/>
        <v>120.73775027007129</v>
      </c>
      <c r="C33" s="48">
        <f t="shared" si="0"/>
        <v>23.92714486556109</v>
      </c>
      <c r="D33" s="45">
        <f t="shared" si="1"/>
        <v>0.78515974394013921</v>
      </c>
      <c r="E33" s="48">
        <f t="shared" si="10"/>
        <v>-70.871276220396553</v>
      </c>
      <c r="F33" s="48">
        <f t="shared" si="11"/>
        <v>72.353502256471486</v>
      </c>
      <c r="G33" s="48">
        <f t="shared" si="2"/>
        <v>1.482226036074934</v>
      </c>
      <c r="H33" s="45"/>
      <c r="I33" s="45"/>
      <c r="J33" s="48">
        <f t="shared" si="12"/>
        <v>3.1274191989784019</v>
      </c>
      <c r="Q33" s="8">
        <f t="shared" si="3"/>
        <v>100</v>
      </c>
      <c r="R33" s="9">
        <f t="shared" si="4"/>
        <v>7.326088081134427E-3</v>
      </c>
      <c r="S33" s="8">
        <f t="shared" si="7"/>
        <v>1</v>
      </c>
      <c r="T33" s="9">
        <f t="shared" si="8"/>
        <v>1.0637650220569729E-2</v>
      </c>
      <c r="U33" s="9">
        <f t="shared" si="9"/>
        <v>1.0614273114330105E-2</v>
      </c>
      <c r="V33" s="9">
        <f t="shared" si="13"/>
        <v>2.8490575229070454E-2</v>
      </c>
    </row>
    <row r="34" spans="1:22">
      <c r="A34" s="8">
        <f t="shared" si="5"/>
        <v>0.11500000000000003</v>
      </c>
      <c r="B34" s="48">
        <f t="shared" si="6"/>
        <v>124.86090024660349</v>
      </c>
      <c r="C34" s="48">
        <f t="shared" si="0"/>
        <v>27.614379019599127</v>
      </c>
      <c r="D34" s="45">
        <f t="shared" si="1"/>
        <v>0.81399558686346596</v>
      </c>
      <c r="E34" s="48">
        <f t="shared" si="10"/>
        <v>-74.021842752935569</v>
      </c>
      <c r="F34" s="48">
        <f t="shared" si="11"/>
        <v>75.961207275252946</v>
      </c>
      <c r="G34" s="48">
        <f t="shared" si="2"/>
        <v>1.9393645223173763</v>
      </c>
      <c r="I34" s="45"/>
      <c r="J34" s="48">
        <f t="shared" si="12"/>
        <v>3.6004693067762283</v>
      </c>
      <c r="Q34" s="8">
        <f t="shared" si="3"/>
        <v>100</v>
      </c>
      <c r="R34" s="9">
        <f t="shared" si="4"/>
        <v>6.5146325511094543E-3</v>
      </c>
      <c r="S34" s="8">
        <f t="shared" si="7"/>
        <v>1</v>
      </c>
      <c r="T34" s="9">
        <f t="shared" si="8"/>
        <v>2.8118064006185689E-2</v>
      </c>
      <c r="U34" s="9">
        <f t="shared" si="9"/>
        <v>2.805346677426478E-2</v>
      </c>
      <c r="V34" s="9">
        <f t="shared" si="13"/>
        <v>3.4149633957145702E-2</v>
      </c>
    </row>
    <row r="35" spans="1:22">
      <c r="A35" s="8">
        <f t="shared" si="5"/>
        <v>0.12000000000000004</v>
      </c>
      <c r="B35" s="48">
        <f t="shared" si="6"/>
        <v>126.02594374250407</v>
      </c>
      <c r="C35" s="48">
        <f t="shared" si="0"/>
        <v>28.665547768209819</v>
      </c>
      <c r="D35" s="45">
        <f t="shared" si="1"/>
        <v>0.82181370516256258</v>
      </c>
      <c r="E35" s="48">
        <f t="shared" si="10"/>
        <v>-74.904300005426123</v>
      </c>
      <c r="F35" s="48">
        <f t="shared" si="11"/>
        <v>76.954089512733361</v>
      </c>
      <c r="G35" s="48">
        <f t="shared" si="2"/>
        <v>2.0497895073072385</v>
      </c>
      <c r="I35" s="45"/>
      <c r="J35" s="48">
        <f t="shared" si="12"/>
        <v>0.98528573693419241</v>
      </c>
      <c r="Q35" s="8">
        <f t="shared" si="3"/>
        <v>100</v>
      </c>
      <c r="R35" s="9">
        <f t="shared" si="4"/>
        <v>6.3012627911200091E-3</v>
      </c>
      <c r="S35" s="8">
        <f t="shared" si="7"/>
        <v>-1</v>
      </c>
      <c r="T35" s="9">
        <f t="shared" si="8"/>
        <v>-2.6292903109530596E-2</v>
      </c>
      <c r="U35" s="9">
        <f t="shared" si="9"/>
        <v>-2.6229875805086161E-2</v>
      </c>
      <c r="V35" s="9">
        <f t="shared" si="13"/>
        <v>9.3307311864609787E-3</v>
      </c>
    </row>
    <row r="36" spans="1:22">
      <c r="A36" s="8">
        <f t="shared" si="5"/>
        <v>0.12500000000000003</v>
      </c>
      <c r="B36" s="48">
        <f t="shared" si="6"/>
        <v>127.90176011512263</v>
      </c>
      <c r="C36" s="48">
        <f t="shared" si="0"/>
        <v>30.38821486081558</v>
      </c>
      <c r="D36" s="45">
        <f t="shared" si="1"/>
        <v>0.83368188467921278</v>
      </c>
      <c r="E36" s="48">
        <f t="shared" si="10"/>
        <v>-76.241165565748418</v>
      </c>
      <c r="F36" s="48">
        <f t="shared" si="11"/>
        <v>78.479746356009727</v>
      </c>
      <c r="G36" s="48">
        <f t="shared" si="2"/>
        <v>2.2385807902613095</v>
      </c>
      <c r="I36" s="45"/>
      <c r="J36" s="48">
        <f t="shared" si="12"/>
        <v>1.5179610495418061</v>
      </c>
      <c r="Q36" s="8">
        <f t="shared" si="3"/>
        <v>100</v>
      </c>
      <c r="R36" s="9">
        <f t="shared" si="4"/>
        <v>5.9586169987692764E-3</v>
      </c>
      <c r="S36" s="8">
        <f t="shared" si="7"/>
        <v>-1</v>
      </c>
      <c r="T36" s="9">
        <f t="shared" si="8"/>
        <v>-1.9054430969320007E-2</v>
      </c>
      <c r="U36" s="9">
        <f t="shared" si="9"/>
        <v>-1.9006854387403568E-2</v>
      </c>
      <c r="V36" s="9">
        <f t="shared" si="13"/>
        <v>1.4884366797135219E-2</v>
      </c>
    </row>
    <row r="37" spans="1:22">
      <c r="A37" s="8">
        <f t="shared" si="5"/>
        <v>0.13000000000000003</v>
      </c>
      <c r="B37" s="48">
        <f t="shared" si="6"/>
        <v>127.32917054032848</v>
      </c>
      <c r="C37" s="48">
        <f t="shared" si="0"/>
        <v>29.836630932641057</v>
      </c>
      <c r="D37" s="45">
        <f t="shared" si="1"/>
        <v>0.83061770737243312</v>
      </c>
      <c r="E37" s="48">
        <f t="shared" si="10"/>
        <v>-75.92523278320013</v>
      </c>
      <c r="F37" s="48">
        <f t="shared" si="11"/>
        <v>78.097435568196389</v>
      </c>
      <c r="G37" s="48">
        <f t="shared" si="2"/>
        <v>2.1722027849962586</v>
      </c>
      <c r="I37" s="45"/>
      <c r="J37" s="48">
        <f t="shared" si="12"/>
        <v>-0.39015915486075153</v>
      </c>
      <c r="Q37" s="8">
        <f t="shared" si="3"/>
        <v>100</v>
      </c>
      <c r="R37" s="9">
        <f t="shared" si="4"/>
        <v>6.0735533069944531E-3</v>
      </c>
      <c r="S37" s="8">
        <f t="shared" si="7"/>
        <v>-1</v>
      </c>
      <c r="T37" s="9">
        <f t="shared" si="8"/>
        <v>-2.9169332063115221E-2</v>
      </c>
      <c r="U37" s="9">
        <f t="shared" si="9"/>
        <v>-2.9093590306702308E-2</v>
      </c>
      <c r="V37" s="9">
        <f t="shared" si="13"/>
        <v>-4.4767919869028441E-3</v>
      </c>
    </row>
    <row r="38" spans="1:22">
      <c r="A38" s="8">
        <f t="shared" si="5"/>
        <v>0.13500000000000004</v>
      </c>
      <c r="B38" s="48">
        <f t="shared" si="6"/>
        <v>128.29711022368616</v>
      </c>
      <c r="C38" s="48">
        <f t="shared" si="0"/>
        <v>30.722603768581266</v>
      </c>
      <c r="D38" s="45">
        <f t="shared" si="1"/>
        <v>0.83679893986433185</v>
      </c>
      <c r="E38" s="48">
        <f t="shared" si="10"/>
        <v>-76.63628205425664</v>
      </c>
      <c r="F38" s="48">
        <f t="shared" si="11"/>
        <v>78.898279968584774</v>
      </c>
      <c r="G38" s="48">
        <f t="shared" si="2"/>
        <v>2.2619979143281341</v>
      </c>
      <c r="I38" s="45"/>
      <c r="J38" s="48">
        <f t="shared" si="12"/>
        <v>0.79303426633136098</v>
      </c>
      <c r="Q38" s="8">
        <f t="shared" si="3"/>
        <v>100</v>
      </c>
      <c r="R38" s="9">
        <f t="shared" si="4"/>
        <v>5.9017160608651779E-3</v>
      </c>
      <c r="S38" s="8">
        <f t="shared" si="7"/>
        <v>-1</v>
      </c>
      <c r="T38" s="9">
        <f t="shared" si="8"/>
        <v>-2.6943207866465622E-2</v>
      </c>
      <c r="U38" s="9">
        <f t="shared" si="9"/>
        <v>-2.6870559324891272E-2</v>
      </c>
      <c r="V38" s="9">
        <f t="shared" si="13"/>
        <v>7.6018690709299232E-3</v>
      </c>
    </row>
    <row r="39" spans="1:22">
      <c r="A39" s="8">
        <f t="shared" si="5"/>
        <v>0.14000000000000004</v>
      </c>
      <c r="B39" s="48">
        <f t="shared" si="6"/>
        <v>127.64246255577852</v>
      </c>
      <c r="C39" s="48">
        <f t="shared" si="0"/>
        <v>30.092892664231684</v>
      </c>
      <c r="D39" s="45">
        <f t="shared" si="1"/>
        <v>0.83328365302119012</v>
      </c>
      <c r="E39" s="48">
        <f t="shared" si="10"/>
        <v>-76.269484814867923</v>
      </c>
      <c r="F39" s="48">
        <f t="shared" si="11"/>
        <v>78.457470321837647</v>
      </c>
      <c r="G39" s="48">
        <f t="shared" si="2"/>
        <v>2.1879855069697243</v>
      </c>
      <c r="I39" s="45"/>
      <c r="J39" s="48">
        <f t="shared" si="12"/>
        <v>-0.44869986924853911</v>
      </c>
      <c r="Q39" s="8">
        <f t="shared" si="3"/>
        <v>100</v>
      </c>
      <c r="R39" s="9">
        <f t="shared" si="4"/>
        <v>6.0318715328125019E-3</v>
      </c>
      <c r="S39" s="8">
        <f t="shared" si="7"/>
        <v>-1</v>
      </c>
      <c r="T39" s="9">
        <f t="shared" si="8"/>
        <v>-2.8817312296073112E-2</v>
      </c>
      <c r="U39" s="9">
        <f t="shared" si="9"/>
        <v>-2.8736736680149127E-2</v>
      </c>
      <c r="V39" s="9">
        <f t="shared" si="13"/>
        <v>-5.1025909061105136E-3</v>
      </c>
    </row>
    <row r="40" spans="1:22">
      <c r="A40" s="8">
        <f t="shared" si="5"/>
        <v>0.14500000000000005</v>
      </c>
      <c r="B40" s="48">
        <f t="shared" si="6"/>
        <v>126.21684464954578</v>
      </c>
      <c r="C40" s="48">
        <f t="shared" si="0"/>
        <v>28.749589224925828</v>
      </c>
      <c r="D40" s="45">
        <f t="shared" si="1"/>
        <v>0.82487033874587168</v>
      </c>
      <c r="E40" s="48">
        <f t="shared" si="10"/>
        <v>-75.362942176580063</v>
      </c>
      <c r="F40" s="48">
        <f t="shared" si="11"/>
        <v>77.403414480294586</v>
      </c>
      <c r="G40" s="48">
        <f t="shared" si="2"/>
        <v>2.0404723037145232</v>
      </c>
      <c r="I40" s="45"/>
      <c r="J40" s="48">
        <f t="shared" si="12"/>
        <v>-1.0619019808756733</v>
      </c>
      <c r="Q40" s="8">
        <f t="shared" si="3"/>
        <v>100</v>
      </c>
      <c r="R40" s="9">
        <f t="shared" si="4"/>
        <v>6.3135980448109493E-3</v>
      </c>
      <c r="S40" s="8">
        <f t="shared" si="7"/>
        <v>-1</v>
      </c>
      <c r="T40" s="9">
        <f t="shared" si="8"/>
        <v>-2.4529299494417359E-2</v>
      </c>
      <c r="U40" s="9">
        <f t="shared" si="9"/>
        <v>-2.4458267571952654E-2</v>
      </c>
      <c r="V40" s="9">
        <f t="shared" si="13"/>
        <v>-1.1168837373454492E-2</v>
      </c>
    </row>
    <row r="41" spans="1:22">
      <c r="A41" s="8">
        <f t="shared" si="5"/>
        <v>0.15000000000000005</v>
      </c>
      <c r="B41" s="48">
        <f t="shared" si="6"/>
        <v>127.79570569188162</v>
      </c>
      <c r="C41" s="48">
        <f t="shared" si="0"/>
        <v>30.200542905414125</v>
      </c>
      <c r="D41" s="45">
        <f t="shared" si="1"/>
        <v>0.83499556964271271</v>
      </c>
      <c r="E41" s="48">
        <f t="shared" si="10"/>
        <v>-76.508305166671036</v>
      </c>
      <c r="F41" s="48">
        <f t="shared" si="11"/>
        <v>78.705116236527644</v>
      </c>
      <c r="G41" s="48">
        <f t="shared" si="2"/>
        <v>2.1968110698566079</v>
      </c>
      <c r="I41" s="45"/>
      <c r="J41" s="48">
        <f t="shared" si="12"/>
        <v>1.2939610277550431</v>
      </c>
      <c r="Q41" s="8">
        <f t="shared" si="3"/>
        <v>100</v>
      </c>
      <c r="R41" s="9">
        <f t="shared" si="4"/>
        <v>6.0196786595833702E-3</v>
      </c>
      <c r="S41" s="8">
        <f t="shared" si="7"/>
        <v>-1</v>
      </c>
      <c r="T41" s="9">
        <f t="shared" si="8"/>
        <v>-2.2416183102647574E-2</v>
      </c>
      <c r="U41" s="9">
        <f t="shared" si="9"/>
        <v>-2.2349035325366379E-2</v>
      </c>
      <c r="V41" s="9">
        <f t="shared" si="13"/>
        <v>1.2509115140056917E-2</v>
      </c>
    </row>
    <row r="42" spans="1:22">
      <c r="A42" s="8">
        <f t="shared" si="5"/>
        <v>0.15500000000000005</v>
      </c>
      <c r="B42" s="48">
        <f t="shared" si="6"/>
        <v>128.60535331269662</v>
      </c>
      <c r="C42" s="48">
        <f t="shared" si="0"/>
        <v>30.941972160761324</v>
      </c>
      <c r="D42" s="45">
        <f t="shared" si="1"/>
        <v>0.84021467788834536</v>
      </c>
      <c r="E42" s="48">
        <f t="shared" si="10"/>
        <v>-77.114133347582921</v>
      </c>
      <c r="F42" s="48">
        <f t="shared" si="11"/>
        <v>79.384192401596792</v>
      </c>
      <c r="G42" s="48">
        <f t="shared" si="2"/>
        <v>2.2700590540138705</v>
      </c>
      <c r="I42" s="45"/>
      <c r="J42" s="48">
        <f t="shared" si="12"/>
        <v>0.67120525990679558</v>
      </c>
      <c r="Q42" s="8">
        <f t="shared" si="3"/>
        <v>100</v>
      </c>
      <c r="R42" s="9">
        <f t="shared" si="4"/>
        <v>5.8752481826738062E-3</v>
      </c>
      <c r="S42" s="8">
        <f t="shared" si="7"/>
        <v>-1</v>
      </c>
      <c r="T42" s="9">
        <f t="shared" si="8"/>
        <v>-2.780896581781455E-2</v>
      </c>
      <c r="U42" s="9">
        <f t="shared" si="9"/>
        <v>-2.7722891507890875E-2</v>
      </c>
      <c r="V42" s="9">
        <f t="shared" si="13"/>
        <v>6.3354837819596102E-3</v>
      </c>
    </row>
    <row r="43" spans="1:22">
      <c r="A43" s="8">
        <f t="shared" si="5"/>
        <v>0.16000000000000006</v>
      </c>
      <c r="B43" s="48">
        <f t="shared" si="6"/>
        <v>125.70370819008858</v>
      </c>
      <c r="C43" s="48">
        <f t="shared" si="0"/>
        <v>28.219545837525644</v>
      </c>
      <c r="D43" s="45">
        <f t="shared" ref="D43:D74" si="14">CallDelta(B43,$E$6,0,PL_r, PL_K, PL_T-A43)</f>
        <v>0.82274857663324141</v>
      </c>
      <c r="E43" s="48">
        <f t="shared" si="10"/>
        <v>-75.203001153390062</v>
      </c>
      <c r="F43" s="48">
        <f t="shared" si="11"/>
        <v>77.19657752238102</v>
      </c>
      <c r="G43" s="48">
        <f t="shared" ref="G43:G74" si="15">F43+E43</f>
        <v>1.9935763689909578</v>
      </c>
      <c r="I43" s="45"/>
      <c r="J43" s="48">
        <f t="shared" si="12"/>
        <v>-2.1955536953901267</v>
      </c>
      <c r="Q43" s="8">
        <f t="shared" ref="Q43:Q74" si="16">PL_K</f>
        <v>100</v>
      </c>
      <c r="R43" s="9">
        <f t="shared" ref="R43:R74" si="17">CallGamma(B43,$E$6,0,PL_r, PL_K, PL_T-A43)</f>
        <v>6.4446565948350692E-3</v>
      </c>
      <c r="S43" s="8">
        <f t="shared" si="7"/>
        <v>-1</v>
      </c>
      <c r="T43" s="9">
        <f t="shared" si="8"/>
        <v>-5.2668017113312081E-3</v>
      </c>
      <c r="U43" s="9">
        <f t="shared" si="9"/>
        <v>-5.2499748831389467E-3</v>
      </c>
      <c r="V43" s="9">
        <f t="shared" si="13"/>
        <v>-2.2562397659705965E-2</v>
      </c>
    </row>
    <row r="44" spans="1:22">
      <c r="A44" s="8">
        <f t="shared" ref="A44:A75" si="18">A43+dt</f>
        <v>0.16500000000000006</v>
      </c>
      <c r="B44" s="48">
        <f t="shared" ref="B44:B75" si="19">B43*EXP((PL_r-0.5*Vol_a^2)*dt+Vol_a*SQRT(dt)*NormalRN())</f>
        <v>125.80964267160307</v>
      </c>
      <c r="C44" s="48">
        <f t="shared" si="0"/>
        <v>28.298883836684169</v>
      </c>
      <c r="D44" s="45">
        <f t="shared" si="14"/>
        <v>0.82382020739122663</v>
      </c>
      <c r="E44" s="48">
        <f t="shared" si="10"/>
        <v>-75.345642080851988</v>
      </c>
      <c r="F44" s="48">
        <f t="shared" ref="F44:F75" si="20">J44+F43*EXP(PL_r*dt)</f>
        <v>77.339119048867033</v>
      </c>
      <c r="G44" s="48">
        <f t="shared" si="15"/>
        <v>1.9934769680150453</v>
      </c>
      <c r="I44" s="45"/>
      <c r="J44" s="48">
        <f t="shared" ref="J44:J75" si="21">(D44-D43)*B44</f>
        <v>0.13482148273801972</v>
      </c>
      <c r="Q44" s="8">
        <f t="shared" si="16"/>
        <v>100</v>
      </c>
      <c r="R44" s="9">
        <f t="shared" si="17"/>
        <v>6.4337661539917938E-3</v>
      </c>
      <c r="S44" s="8">
        <f t="shared" ref="S44:S75" si="22">IF(V44^2 &lt; ($E$6^2*dt), -1, 1)</f>
        <v>-1</v>
      </c>
      <c r="T44" s="9">
        <f t="shared" ref="T44:T75" si="23">0.5*R44*(B44^2)*(V44^2-$E$6^2*dt)</f>
        <v>-3.1150524836538428E-2</v>
      </c>
      <c r="U44" s="9">
        <f t="shared" ref="U44:U75" si="24">T44*EXP(-PL_r*A44)</f>
        <v>-3.1047897532763342E-2</v>
      </c>
      <c r="V44" s="9">
        <f t="shared" si="13"/>
        <v>8.4273155533567653E-4</v>
      </c>
    </row>
    <row r="45" spans="1:22">
      <c r="A45" s="8">
        <f t="shared" si="18"/>
        <v>0.17000000000000007</v>
      </c>
      <c r="B45" s="48">
        <f t="shared" si="19"/>
        <v>126.60849159109995</v>
      </c>
      <c r="C45" s="48">
        <f t="shared" si="0"/>
        <v>29.021505074324793</v>
      </c>
      <c r="D45" s="45">
        <f t="shared" si="14"/>
        <v>0.8292981925654056</v>
      </c>
      <c r="E45" s="48">
        <f t="shared" si="10"/>
        <v>-75.97468816560675</v>
      </c>
      <c r="F45" s="48">
        <f t="shared" si="20"/>
        <v>78.040412787341609</v>
      </c>
      <c r="G45" s="48">
        <f t="shared" si="15"/>
        <v>2.0657246217348586</v>
      </c>
      <c r="I45" s="45"/>
      <c r="J45" s="48">
        <f t="shared" si="21"/>
        <v>0.69355943986120805</v>
      </c>
      <c r="Q45" s="8">
        <f t="shared" si="16"/>
        <v>100</v>
      </c>
      <c r="R45" s="9">
        <f t="shared" si="17"/>
        <v>6.2847582657896434E-3</v>
      </c>
      <c r="S45" s="8">
        <f t="shared" si="22"/>
        <v>-1</v>
      </c>
      <c r="T45" s="9">
        <f t="shared" si="23"/>
        <v>-2.8821612117279429E-2</v>
      </c>
      <c r="U45" s="9">
        <f t="shared" si="24"/>
        <v>-2.8723785036358317E-2</v>
      </c>
      <c r="V45" s="9">
        <f t="shared" si="13"/>
        <v>6.3496636866069676E-3</v>
      </c>
    </row>
    <row r="46" spans="1:22">
      <c r="A46" s="8">
        <f t="shared" si="18"/>
        <v>0.17500000000000007</v>
      </c>
      <c r="B46" s="48">
        <f t="shared" si="19"/>
        <v>131.32368078030231</v>
      </c>
      <c r="C46" s="48">
        <f t="shared" si="0"/>
        <v>33.448958471433244</v>
      </c>
      <c r="D46" s="45">
        <f t="shared" si="14"/>
        <v>0.85724359646850157</v>
      </c>
      <c r="E46" s="48">
        <f t="shared" si="10"/>
        <v>-79.127425942154545</v>
      </c>
      <c r="F46" s="48">
        <f t="shared" si="20"/>
        <v>81.71811052028221</v>
      </c>
      <c r="G46" s="48">
        <f t="shared" si="15"/>
        <v>2.5906845781276644</v>
      </c>
      <c r="I46" s="45"/>
      <c r="J46" s="48">
        <f t="shared" si="21"/>
        <v>3.6698933014467889</v>
      </c>
      <c r="Q46" s="8">
        <f t="shared" si="16"/>
        <v>100</v>
      </c>
      <c r="R46" s="9">
        <f t="shared" si="17"/>
        <v>5.4023244331869455E-3</v>
      </c>
      <c r="S46" s="8">
        <f t="shared" si="22"/>
        <v>1</v>
      </c>
      <c r="T46" s="9">
        <f t="shared" si="23"/>
        <v>3.6078728600497212E-2</v>
      </c>
      <c r="U46" s="9">
        <f t="shared" si="24"/>
        <v>3.5952673775020996E-2</v>
      </c>
      <c r="V46" s="9">
        <f t="shared" si="13"/>
        <v>3.7242282329930397E-2</v>
      </c>
    </row>
    <row r="47" spans="1:22">
      <c r="A47" s="8">
        <f t="shared" si="18"/>
        <v>0.18000000000000008</v>
      </c>
      <c r="B47" s="48">
        <f t="shared" si="19"/>
        <v>135.38392585319801</v>
      </c>
      <c r="C47" s="48">
        <f t="shared" si="0"/>
        <v>37.336618519482101</v>
      </c>
      <c r="D47" s="45">
        <f t="shared" si="14"/>
        <v>0.87820495593258241</v>
      </c>
      <c r="E47" s="48">
        <f t="shared" si="10"/>
        <v>-81.558216118405653</v>
      </c>
      <c r="F47" s="48">
        <f t="shared" si="20"/>
        <v>84.564113875405766</v>
      </c>
      <c r="G47" s="48">
        <f t="shared" si="15"/>
        <v>3.0058977570001133</v>
      </c>
      <c r="I47" s="45"/>
      <c r="J47" s="48">
        <f t="shared" si="21"/>
        <v>2.8378311354673511</v>
      </c>
      <c r="Q47" s="8">
        <f t="shared" si="16"/>
        <v>100</v>
      </c>
      <c r="R47" s="9">
        <f t="shared" si="17"/>
        <v>4.7110043927143797E-3</v>
      </c>
      <c r="S47" s="8">
        <f t="shared" si="22"/>
        <v>1</v>
      </c>
      <c r="T47" s="9">
        <f t="shared" si="23"/>
        <v>1.4826360255975377E-2</v>
      </c>
      <c r="U47" s="9">
        <f t="shared" si="24"/>
        <v>1.4773081318682232E-2</v>
      </c>
      <c r="V47" s="9">
        <f t="shared" si="13"/>
        <v>3.0917843977342332E-2</v>
      </c>
    </row>
    <row r="48" spans="1:22">
      <c r="A48" s="8">
        <f t="shared" si="18"/>
        <v>0.18500000000000008</v>
      </c>
      <c r="B48" s="48">
        <f t="shared" si="19"/>
        <v>133.56041091296044</v>
      </c>
      <c r="C48" s="48">
        <f t="shared" si="0"/>
        <v>35.561013754363813</v>
      </c>
      <c r="D48" s="45">
        <f t="shared" si="14"/>
        <v>0.86979619834244482</v>
      </c>
      <c r="E48" s="48">
        <f t="shared" si="10"/>
        <v>-80.609323906783956</v>
      </c>
      <c r="F48" s="48">
        <f t="shared" si="20"/>
        <v>83.449493590621714</v>
      </c>
      <c r="G48" s="48">
        <f t="shared" si="15"/>
        <v>2.8401696838377575</v>
      </c>
      <c r="I48" s="45"/>
      <c r="J48" s="48">
        <f t="shared" si="21"/>
        <v>-1.1230771190062521</v>
      </c>
      <c r="Q48" s="8">
        <f t="shared" si="16"/>
        <v>100</v>
      </c>
      <c r="R48" s="9">
        <f t="shared" si="17"/>
        <v>5.0182131980832404E-3</v>
      </c>
      <c r="S48" s="8">
        <f t="shared" si="22"/>
        <v>-1</v>
      </c>
      <c r="T48" s="9">
        <f t="shared" si="23"/>
        <v>-1.9294466830154618E-2</v>
      </c>
      <c r="U48" s="9">
        <f t="shared" si="24"/>
        <v>-1.9223209210771953E-2</v>
      </c>
      <c r="V48" s="9">
        <f t="shared" si="13"/>
        <v>-1.3469213045386791E-2</v>
      </c>
    </row>
    <row r="49" spans="1:22">
      <c r="A49" s="8">
        <f t="shared" si="18"/>
        <v>0.19000000000000009</v>
      </c>
      <c r="B49" s="48">
        <f t="shared" si="19"/>
        <v>138.29721250277558</v>
      </c>
      <c r="C49" s="48">
        <f t="shared" si="0"/>
        <v>40.140827884238448</v>
      </c>
      <c r="D49" s="45">
        <f t="shared" si="14"/>
        <v>0.8921874496984441</v>
      </c>
      <c r="E49" s="48">
        <f t="shared" si="10"/>
        <v>-83.246209439016681</v>
      </c>
      <c r="F49" s="48">
        <f t="shared" si="20"/>
        <v>86.554486604225858</v>
      </c>
      <c r="G49" s="48">
        <f t="shared" si="15"/>
        <v>3.3082771652091765</v>
      </c>
      <c r="I49" s="45"/>
      <c r="J49" s="48">
        <f t="shared" si="21"/>
        <v>3.096647646983695</v>
      </c>
      <c r="Q49" s="8">
        <f t="shared" si="16"/>
        <v>100</v>
      </c>
      <c r="R49" s="9">
        <f t="shared" si="17"/>
        <v>4.2544610812352652E-3</v>
      </c>
      <c r="S49" s="8">
        <f t="shared" si="22"/>
        <v>1</v>
      </c>
      <c r="T49" s="9">
        <f t="shared" si="23"/>
        <v>2.6254848604416514E-2</v>
      </c>
      <c r="U49" s="9">
        <f t="shared" si="24"/>
        <v>2.6155269499845243E-2</v>
      </c>
      <c r="V49" s="9">
        <f t="shared" si="13"/>
        <v>3.5465611085174452E-2</v>
      </c>
    </row>
    <row r="50" spans="1:22">
      <c r="A50" s="8">
        <f t="shared" si="18"/>
        <v>0.19500000000000009</v>
      </c>
      <c r="B50" s="48">
        <f t="shared" si="19"/>
        <v>137.2478310002698</v>
      </c>
      <c r="C50" s="48">
        <f t="shared" si="0"/>
        <v>39.10359455960257</v>
      </c>
      <c r="D50" s="45">
        <f t="shared" si="14"/>
        <v>0.88810957851196093</v>
      </c>
      <c r="E50" s="48">
        <f t="shared" si="10"/>
        <v>-82.787518781727883</v>
      </c>
      <c r="F50" s="48">
        <f t="shared" si="20"/>
        <v>86.003463510229821</v>
      </c>
      <c r="G50" s="48">
        <f t="shared" si="15"/>
        <v>3.2159447285019382</v>
      </c>
      <c r="I50" s="45"/>
      <c r="J50" s="48">
        <f t="shared" si="21"/>
        <v>-0.55967897544331224</v>
      </c>
      <c r="Q50" s="8">
        <f t="shared" si="16"/>
        <v>100</v>
      </c>
      <c r="R50" s="9">
        <f t="shared" si="17"/>
        <v>4.4164088637507039E-3</v>
      </c>
      <c r="S50" s="8">
        <f t="shared" si="22"/>
        <v>-1</v>
      </c>
      <c r="T50" s="9">
        <f t="shared" si="23"/>
        <v>-2.3082557388285845E-2</v>
      </c>
      <c r="U50" s="9">
        <f t="shared" si="24"/>
        <v>-2.299271072933709E-2</v>
      </c>
      <c r="V50" s="9">
        <f t="shared" si="13"/>
        <v>-7.5878716824080645E-3</v>
      </c>
    </row>
    <row r="51" spans="1:22">
      <c r="A51" s="8">
        <f t="shared" si="18"/>
        <v>0.20000000000000009</v>
      </c>
      <c r="B51" s="48">
        <f t="shared" si="19"/>
        <v>136.05863511125051</v>
      </c>
      <c r="C51" s="48">
        <f t="shared" si="0"/>
        <v>37.932633140628326</v>
      </c>
      <c r="D51" s="45">
        <f t="shared" si="14"/>
        <v>0.88321939649589665</v>
      </c>
      <c r="E51" s="48">
        <f t="shared" si="10"/>
        <v>-82.236992450385756</v>
      </c>
      <c r="F51" s="48">
        <f t="shared" si="20"/>
        <v>85.346712796061212</v>
      </c>
      <c r="G51" s="48">
        <f t="shared" si="15"/>
        <v>3.1097203456754556</v>
      </c>
      <c r="I51" s="45"/>
      <c r="J51" s="48">
        <f t="shared" si="21"/>
        <v>-0.6653514905512895</v>
      </c>
      <c r="Q51" s="8">
        <f t="shared" si="16"/>
        <v>100</v>
      </c>
      <c r="R51" s="9">
        <f t="shared" si="17"/>
        <v>4.6071227232941459E-3</v>
      </c>
      <c r="S51" s="8">
        <f t="shared" si="22"/>
        <v>-1</v>
      </c>
      <c r="T51" s="9">
        <f t="shared" si="23"/>
        <v>-2.2917635282332153E-2</v>
      </c>
      <c r="U51" s="9">
        <f t="shared" si="24"/>
        <v>-2.2826147838074566E-2</v>
      </c>
      <c r="V51" s="9">
        <f t="shared" si="13"/>
        <v>-8.6645878506958016E-3</v>
      </c>
    </row>
    <row r="52" spans="1:22">
      <c r="A52" s="8">
        <f t="shared" si="18"/>
        <v>0.2050000000000001</v>
      </c>
      <c r="B52" s="48">
        <f t="shared" si="19"/>
        <v>134.05733292655279</v>
      </c>
      <c r="C52" s="48">
        <f t="shared" si="0"/>
        <v>35.97942888347454</v>
      </c>
      <c r="D52" s="45">
        <f t="shared" si="14"/>
        <v>0.87414164553419316</v>
      </c>
      <c r="E52" s="48">
        <f t="shared" si="10"/>
        <v>-81.205668716867493</v>
      </c>
      <c r="F52" s="48">
        <f t="shared" si="20"/>
        <v>84.13830881119118</v>
      </c>
      <c r="G52" s="48">
        <f t="shared" si="15"/>
        <v>2.9326400943236877</v>
      </c>
      <c r="I52" s="45"/>
      <c r="J52" s="48">
        <f t="shared" si="21"/>
        <v>-1.2169390828974196</v>
      </c>
      <c r="Q52" s="8">
        <f t="shared" si="16"/>
        <v>100</v>
      </c>
      <c r="R52" s="9">
        <f t="shared" si="17"/>
        <v>4.9441363420044855E-3</v>
      </c>
      <c r="S52" s="8">
        <f t="shared" si="22"/>
        <v>-1</v>
      </c>
      <c r="T52" s="9">
        <f t="shared" si="23"/>
        <v>-1.7599178439008236E-2</v>
      </c>
      <c r="U52" s="9">
        <f t="shared" si="24"/>
        <v>-1.7527169526551294E-2</v>
      </c>
      <c r="V52" s="9">
        <f t="shared" si="13"/>
        <v>-1.4709115544642385E-2</v>
      </c>
    </row>
    <row r="53" spans="1:22">
      <c r="A53" s="8">
        <f t="shared" si="18"/>
        <v>0.2100000000000001</v>
      </c>
      <c r="B53" s="48">
        <f t="shared" si="19"/>
        <v>133.07093990924244</v>
      </c>
      <c r="C53" s="48">
        <f t="shared" si="0"/>
        <v>35.012995716221198</v>
      </c>
      <c r="D53" s="45">
        <f t="shared" si="14"/>
        <v>0.86965572767390509</v>
      </c>
      <c r="E53" s="48">
        <f t="shared" si="10"/>
        <v>-80.71290936280154</v>
      </c>
      <c r="F53" s="48">
        <f t="shared" si="20"/>
        <v>83.54977775675367</v>
      </c>
      <c r="G53" s="48">
        <f t="shared" si="15"/>
        <v>2.8368683939521304</v>
      </c>
      <c r="I53" s="45"/>
      <c r="J53" s="48">
        <f t="shared" si="21"/>
        <v>-0.59694530602419105</v>
      </c>
      <c r="Q53" s="8">
        <f t="shared" si="16"/>
        <v>100</v>
      </c>
      <c r="R53" s="9">
        <f t="shared" si="17"/>
        <v>5.1195627917712079E-3</v>
      </c>
      <c r="S53" s="8">
        <f t="shared" si="22"/>
        <v>-1</v>
      </c>
      <c r="T53" s="9">
        <f t="shared" si="23"/>
        <v>-2.5309500244853921E-2</v>
      </c>
      <c r="U53" s="9">
        <f t="shared" si="24"/>
        <v>-2.5203423261423857E-2</v>
      </c>
      <c r="V53" s="9">
        <f t="shared" si="13"/>
        <v>-7.3579937462337286E-3</v>
      </c>
    </row>
    <row r="54" spans="1:22">
      <c r="A54" s="8">
        <f t="shared" si="18"/>
        <v>0.21500000000000011</v>
      </c>
      <c r="B54" s="48">
        <f t="shared" si="19"/>
        <v>131.94849194439777</v>
      </c>
      <c r="C54" s="48">
        <f t="shared" si="0"/>
        <v>33.918657381422605</v>
      </c>
      <c r="D54" s="45">
        <f t="shared" si="14"/>
        <v>0.86427194583510891</v>
      </c>
      <c r="E54" s="48">
        <f t="shared" si="10"/>
        <v>-80.120722501370253</v>
      </c>
      <c r="F54" s="48">
        <f t="shared" si="20"/>
        <v>82.847751257705369</v>
      </c>
      <c r="G54" s="48">
        <f t="shared" si="15"/>
        <v>2.7270287563351161</v>
      </c>
      <c r="I54" s="45"/>
      <c r="J54" s="48">
        <f t="shared" si="21"/>
        <v>-0.71038189458679224</v>
      </c>
      <c r="Q54" s="8">
        <f t="shared" si="16"/>
        <v>100</v>
      </c>
      <c r="R54" s="9">
        <f t="shared" si="17"/>
        <v>5.3258682441360197E-3</v>
      </c>
      <c r="S54" s="8">
        <f t="shared" si="22"/>
        <v>-1</v>
      </c>
      <c r="T54" s="9">
        <f t="shared" si="23"/>
        <v>-2.5098548032565445E-2</v>
      </c>
      <c r="U54" s="9">
        <f t="shared" si="24"/>
        <v>-2.4990855979874153E-2</v>
      </c>
      <c r="V54" s="9">
        <f t="shared" si="13"/>
        <v>-8.4349593202708555E-3</v>
      </c>
    </row>
    <row r="55" spans="1:22">
      <c r="A55" s="8">
        <f t="shared" si="18"/>
        <v>0.22000000000000011</v>
      </c>
      <c r="B55" s="48">
        <f t="shared" si="19"/>
        <v>133.29618574744518</v>
      </c>
      <c r="C55" s="48">
        <f t="shared" si="0"/>
        <v>35.19941149321518</v>
      </c>
      <c r="D55" s="45">
        <f t="shared" si="14"/>
        <v>0.87176940235974276</v>
      </c>
      <c r="E55" s="48">
        <f t="shared" si="10"/>
        <v>-81.00412469266837</v>
      </c>
      <c r="F55" s="48">
        <f t="shared" si="20"/>
        <v>83.855418804624705</v>
      </c>
      <c r="G55" s="48">
        <f t="shared" si="15"/>
        <v>2.8512941119563351</v>
      </c>
      <c r="I55" s="45"/>
      <c r="J55" s="48">
        <f t="shared" si="21"/>
        <v>0.99938235754098848</v>
      </c>
      <c r="Q55" s="8">
        <f t="shared" si="16"/>
        <v>100</v>
      </c>
      <c r="R55" s="9">
        <f t="shared" si="17"/>
        <v>5.0856139204224883E-3</v>
      </c>
      <c r="S55" s="8">
        <f t="shared" si="22"/>
        <v>-1</v>
      </c>
      <c r="T55" s="9">
        <f t="shared" si="23"/>
        <v>-2.295964499878687E-2</v>
      </c>
      <c r="U55" s="9">
        <f t="shared" si="24"/>
        <v>-2.2858844484548311E-2</v>
      </c>
      <c r="V55" s="9">
        <f t="shared" si="13"/>
        <v>1.0213787086064728E-2</v>
      </c>
    </row>
    <row r="56" spans="1:22">
      <c r="A56" s="8">
        <f t="shared" si="18"/>
        <v>0.22500000000000012</v>
      </c>
      <c r="B56" s="48">
        <f t="shared" si="19"/>
        <v>132.08875289582002</v>
      </c>
      <c r="C56" s="48">
        <f t="shared" si="0"/>
        <v>34.021825324969399</v>
      </c>
      <c r="D56" s="45">
        <f t="shared" si="14"/>
        <v>0.86598244413591974</v>
      </c>
      <c r="E56" s="48">
        <f t="shared" si="10"/>
        <v>-80.364715750618373</v>
      </c>
      <c r="F56" s="48">
        <f t="shared" si="20"/>
        <v>83.099412670951253</v>
      </c>
      <c r="G56" s="48">
        <f t="shared" si="15"/>
        <v>2.7346969203328797</v>
      </c>
      <c r="I56" s="45"/>
      <c r="J56" s="48">
        <f t="shared" si="21"/>
        <v>-0.76439209484499304</v>
      </c>
      <c r="Q56" s="8">
        <f t="shared" si="16"/>
        <v>100</v>
      </c>
      <c r="R56" s="9">
        <f t="shared" si="17"/>
        <v>5.3080425651580504E-3</v>
      </c>
      <c r="S56" s="8">
        <f t="shared" si="22"/>
        <v>-1</v>
      </c>
      <c r="T56" s="9">
        <f t="shared" si="23"/>
        <v>-2.4562846079976285E-2</v>
      </c>
      <c r="U56" s="9">
        <f t="shared" si="24"/>
        <v>-2.4452561598804028E-2</v>
      </c>
      <c r="V56" s="9">
        <f t="shared" si="13"/>
        <v>-9.0582700836831648E-3</v>
      </c>
    </row>
    <row r="57" spans="1:22">
      <c r="A57" s="8">
        <f t="shared" si="18"/>
        <v>0.23000000000000012</v>
      </c>
      <c r="B57" s="48">
        <f t="shared" si="19"/>
        <v>124.62805899544148</v>
      </c>
      <c r="C57" s="48">
        <f t="shared" si="0"/>
        <v>26.962651393596232</v>
      </c>
      <c r="D57" s="45">
        <f t="shared" si="14"/>
        <v>0.82136013578793832</v>
      </c>
      <c r="E57" s="48">
        <f t="shared" si="10"/>
        <v>-75.401868065886774</v>
      </c>
      <c r="F57" s="48">
        <f t="shared" si="20"/>
        <v>77.54653135042426</v>
      </c>
      <c r="G57" s="48">
        <f t="shared" si="15"/>
        <v>2.1446632845374864</v>
      </c>
      <c r="I57" s="45"/>
      <c r="J57" s="48">
        <f t="shared" si="21"/>
        <v>-5.5611916773050094</v>
      </c>
      <c r="Q57" s="8">
        <f t="shared" si="16"/>
        <v>100</v>
      </c>
      <c r="R57" s="9">
        <f t="shared" si="17"/>
        <v>6.8228099019551E-3</v>
      </c>
      <c r="S57" s="8">
        <f t="shared" si="22"/>
        <v>1</v>
      </c>
      <c r="T57" s="9">
        <f t="shared" si="23"/>
        <v>0.13658665417187868</v>
      </c>
      <c r="U57" s="9">
        <f t="shared" si="24"/>
        <v>0.13595979843623524</v>
      </c>
      <c r="V57" s="9">
        <f t="shared" si="13"/>
        <v>-5.6482431220036447E-2</v>
      </c>
    </row>
    <row r="58" spans="1:22">
      <c r="A58" s="8">
        <f t="shared" si="18"/>
        <v>0.23500000000000013</v>
      </c>
      <c r="B58" s="48">
        <f t="shared" si="19"/>
        <v>127.34843405530016</v>
      </c>
      <c r="C58" s="48">
        <f t="shared" si="0"/>
        <v>29.480347273329059</v>
      </c>
      <c r="D58" s="45">
        <f t="shared" si="14"/>
        <v>0.83958998688630926</v>
      </c>
      <c r="E58" s="48">
        <f t="shared" si="10"/>
        <v>-77.440122805152427</v>
      </c>
      <c r="F58" s="48">
        <f t="shared" si="20"/>
        <v>79.875829381743713</v>
      </c>
      <c r="G58" s="48">
        <f t="shared" si="15"/>
        <v>2.4357065765912864</v>
      </c>
      <c r="I58" s="45"/>
      <c r="J58" s="48">
        <f t="shared" si="21"/>
        <v>2.3215429904388332</v>
      </c>
      <c r="Q58" s="8">
        <f t="shared" si="16"/>
        <v>100</v>
      </c>
      <c r="R58" s="9">
        <f t="shared" si="17"/>
        <v>6.2516874241731598E-3</v>
      </c>
      <c r="S58" s="8">
        <f t="shared" si="22"/>
        <v>-1</v>
      </c>
      <c r="T58" s="9">
        <f t="shared" si="23"/>
        <v>-6.8964087017750033E-3</v>
      </c>
      <c r="U58" s="9">
        <f t="shared" si="24"/>
        <v>-6.8640716325165515E-3</v>
      </c>
      <c r="V58" s="9">
        <f t="shared" si="13"/>
        <v>2.1827950156538867E-2</v>
      </c>
    </row>
    <row r="59" spans="1:22">
      <c r="A59" s="8">
        <f t="shared" si="18"/>
        <v>0.24000000000000013</v>
      </c>
      <c r="B59" s="48">
        <f t="shared" si="19"/>
        <v>127.64570696852682</v>
      </c>
      <c r="C59" s="48">
        <f t="shared" si="0"/>
        <v>29.742573816119346</v>
      </c>
      <c r="D59" s="45">
        <f t="shared" si="14"/>
        <v>0.84191140446878043</v>
      </c>
      <c r="E59" s="48">
        <f t="shared" si="10"/>
        <v>-77.723802612163468</v>
      </c>
      <c r="F59" s="48">
        <f t="shared" si="20"/>
        <v>80.180136352558051</v>
      </c>
      <c r="G59" s="48">
        <f t="shared" si="15"/>
        <v>2.4563337403945837</v>
      </c>
      <c r="I59" s="45"/>
      <c r="J59" s="48">
        <f t="shared" si="21"/>
        <v>0.29631898848370153</v>
      </c>
      <c r="Q59" s="8">
        <f t="shared" si="16"/>
        <v>100</v>
      </c>
      <c r="R59" s="9">
        <f t="shared" si="17"/>
        <v>6.1981534246867351E-3</v>
      </c>
      <c r="S59" s="8">
        <f t="shared" si="22"/>
        <v>-1</v>
      </c>
      <c r="T59" s="9">
        <f t="shared" si="23"/>
        <v>-3.0652780251654185E-2</v>
      </c>
      <c r="U59" s="9">
        <f t="shared" si="24"/>
        <v>-3.0505999462160038E-2</v>
      </c>
      <c r="V59" s="9">
        <f t="shared" si="13"/>
        <v>2.3343271979110081E-3</v>
      </c>
    </row>
    <row r="60" spans="1:22">
      <c r="A60" s="8">
        <f t="shared" si="18"/>
        <v>0.24500000000000013</v>
      </c>
      <c r="B60" s="48">
        <f t="shared" si="19"/>
        <v>126.33048180515209</v>
      </c>
      <c r="C60" s="48">
        <f t="shared" si="0"/>
        <v>28.48976533670178</v>
      </c>
      <c r="D60" s="45">
        <f t="shared" si="14"/>
        <v>0.83404301580755746</v>
      </c>
      <c r="E60" s="48">
        <f t="shared" si="10"/>
        <v>-76.875290696489031</v>
      </c>
      <c r="F60" s="48">
        <f t="shared" si="20"/>
        <v>79.19413743650486</v>
      </c>
      <c r="G60" s="48">
        <f t="shared" si="15"/>
        <v>2.3188467400158288</v>
      </c>
      <c r="I60" s="45"/>
      <c r="J60" s="48">
        <f t="shared" si="21"/>
        <v>-0.99401733060249331</v>
      </c>
      <c r="Q60" s="8">
        <f t="shared" si="16"/>
        <v>100</v>
      </c>
      <c r="R60" s="9">
        <f t="shared" si="17"/>
        <v>6.4853666608899732E-3</v>
      </c>
      <c r="S60" s="8">
        <f t="shared" si="22"/>
        <v>-1</v>
      </c>
      <c r="T60" s="9">
        <f t="shared" si="23"/>
        <v>-2.6203387826239651E-2</v>
      </c>
      <c r="U60" s="9">
        <f t="shared" si="24"/>
        <v>-2.6075305284390324E-2</v>
      </c>
      <c r="V60" s="9">
        <f t="shared" si="13"/>
        <v>-1.0303716392898546E-2</v>
      </c>
    </row>
    <row r="61" spans="1:22">
      <c r="A61" s="8">
        <f t="shared" si="18"/>
        <v>0.25000000000000011</v>
      </c>
      <c r="B61" s="48">
        <f t="shared" si="19"/>
        <v>129.71670473074352</v>
      </c>
      <c r="C61" s="48">
        <f t="shared" si="0"/>
        <v>31.671483953792958</v>
      </c>
      <c r="D61" s="45">
        <f t="shared" si="14"/>
        <v>0.85529612703031987</v>
      </c>
      <c r="E61" s="48">
        <f t="shared" si="10"/>
        <v>-79.274711213547548</v>
      </c>
      <c r="F61" s="48">
        <f t="shared" si="20"/>
        <v>81.95894079932512</v>
      </c>
      <c r="G61" s="48">
        <f t="shared" si="15"/>
        <v>2.6842295857775724</v>
      </c>
      <c r="I61" s="45"/>
      <c r="J61" s="48">
        <f t="shared" si="21"/>
        <v>2.7568835530927229</v>
      </c>
      <c r="Q61" s="8">
        <f t="shared" si="16"/>
        <v>100</v>
      </c>
      <c r="R61" s="9">
        <f t="shared" si="17"/>
        <v>5.7888848545053781E-3</v>
      </c>
      <c r="S61" s="8">
        <f t="shared" si="22"/>
        <v>1</v>
      </c>
      <c r="T61" s="9">
        <f t="shared" si="23"/>
        <v>5.1615643254112314E-3</v>
      </c>
      <c r="U61" s="9">
        <f t="shared" si="24"/>
        <v>5.1358209159399343E-3</v>
      </c>
      <c r="V61" s="9">
        <f t="shared" si="13"/>
        <v>2.6804480416802515E-2</v>
      </c>
    </row>
    <row r="62" spans="1:22">
      <c r="A62" s="8">
        <f t="shared" si="18"/>
        <v>0.25500000000000012</v>
      </c>
      <c r="B62" s="48">
        <f t="shared" si="19"/>
        <v>125.16315959509313</v>
      </c>
      <c r="C62" s="48">
        <f t="shared" si="0"/>
        <v>27.364278915301725</v>
      </c>
      <c r="D62" s="45">
        <f t="shared" si="14"/>
        <v>0.82724582311997252</v>
      </c>
      <c r="E62" s="48">
        <f t="shared" si="10"/>
        <v>-76.176422068237585</v>
      </c>
      <c r="F62" s="48">
        <f t="shared" si="20"/>
        <v>78.456272438191746</v>
      </c>
      <c r="G62" s="48">
        <f t="shared" si="15"/>
        <v>2.2798503699541612</v>
      </c>
      <c r="I62" s="45"/>
      <c r="J62" s="48">
        <f t="shared" si="21"/>
        <v>-3.5108646650216704</v>
      </c>
      <c r="Q62" s="8">
        <f t="shared" si="16"/>
        <v>100</v>
      </c>
      <c r="R62" s="9">
        <f t="shared" si="17"/>
        <v>6.76162727302459E-3</v>
      </c>
      <c r="S62" s="8">
        <f t="shared" si="22"/>
        <v>1</v>
      </c>
      <c r="T62" s="9">
        <f t="shared" si="23"/>
        <v>3.2825246837658584E-2</v>
      </c>
      <c r="U62" s="9">
        <f t="shared" si="24"/>
        <v>3.2658264246329026E-2</v>
      </c>
      <c r="V62" s="9">
        <f t="shared" si="13"/>
        <v>-3.5103768208591936E-2</v>
      </c>
    </row>
    <row r="63" spans="1:22">
      <c r="A63" s="8">
        <f t="shared" si="18"/>
        <v>0.26000000000000012</v>
      </c>
      <c r="B63" s="48">
        <f t="shared" si="19"/>
        <v>124.47680556563449</v>
      </c>
      <c r="C63" s="48">
        <f t="shared" si="0"/>
        <v>26.708715149318905</v>
      </c>
      <c r="D63" s="45">
        <f t="shared" si="14"/>
        <v>0.82301241166732475</v>
      </c>
      <c r="E63" s="48">
        <f t="shared" si="10"/>
        <v>-75.737240795898614</v>
      </c>
      <c r="F63" s="48">
        <f t="shared" si="20"/>
        <v>77.93715692345944</v>
      </c>
      <c r="G63" s="48">
        <f t="shared" si="15"/>
        <v>2.1999161275608259</v>
      </c>
      <c r="I63" s="45"/>
      <c r="J63" s="48">
        <f t="shared" si="21"/>
        <v>-0.52696153427056713</v>
      </c>
      <c r="Q63" s="8">
        <f t="shared" si="16"/>
        <v>100</v>
      </c>
      <c r="R63" s="9">
        <f t="shared" si="17"/>
        <v>6.9274684584799224E-3</v>
      </c>
      <c r="S63" s="8">
        <f t="shared" si="22"/>
        <v>-1</v>
      </c>
      <c r="T63" s="9">
        <f t="shared" si="23"/>
        <v>-3.1258249649518399E-2</v>
      </c>
      <c r="U63" s="9">
        <f t="shared" si="24"/>
        <v>-3.10961286313008E-2</v>
      </c>
      <c r="V63" s="9">
        <f t="shared" si="13"/>
        <v>-5.483674522751095E-3</v>
      </c>
    </row>
    <row r="64" spans="1:22">
      <c r="A64" s="8">
        <f t="shared" si="18"/>
        <v>0.26500000000000012</v>
      </c>
      <c r="B64" s="48">
        <f t="shared" si="19"/>
        <v>121.61999307743433</v>
      </c>
      <c r="C64" s="48">
        <f t="shared" si="0"/>
        <v>24.072310007947991</v>
      </c>
      <c r="D64" s="45">
        <f t="shared" si="14"/>
        <v>0.80270492026481155</v>
      </c>
      <c r="E64" s="48">
        <f t="shared" si="10"/>
        <v>-73.552656837880861</v>
      </c>
      <c r="F64" s="48">
        <f t="shared" si="20"/>
        <v>75.475154065056856</v>
      </c>
      <c r="G64" s="48">
        <f t="shared" si="15"/>
        <v>1.9224972271759952</v>
      </c>
      <c r="I64" s="45"/>
      <c r="J64" s="48">
        <f t="shared" si="21"/>
        <v>-2.4697969637937125</v>
      </c>
      <c r="Q64" s="8">
        <f t="shared" si="16"/>
        <v>100</v>
      </c>
      <c r="R64" s="9">
        <f t="shared" si="17"/>
        <v>7.6087959500185974E-3</v>
      </c>
      <c r="S64" s="8">
        <f t="shared" si="22"/>
        <v>-1</v>
      </c>
      <c r="T64" s="9">
        <f t="shared" si="23"/>
        <v>-4.8265878849804364E-3</v>
      </c>
      <c r="U64" s="9">
        <f t="shared" si="24"/>
        <v>-4.8010746390140793E-3</v>
      </c>
      <c r="V64" s="9">
        <f t="shared" si="13"/>
        <v>-2.2950560750804407E-2</v>
      </c>
    </row>
    <row r="65" spans="1:22">
      <c r="A65" s="8">
        <f t="shared" si="18"/>
        <v>0.27000000000000013</v>
      </c>
      <c r="B65" s="48">
        <f t="shared" si="19"/>
        <v>121.91115046048134</v>
      </c>
      <c r="C65" s="48">
        <f t="shared" si="0"/>
        <v>24.315874970828929</v>
      </c>
      <c r="D65" s="45">
        <f t="shared" si="14"/>
        <v>0.80534535278011032</v>
      </c>
      <c r="E65" s="48">
        <f t="shared" si="10"/>
        <v>-73.86470350459652</v>
      </c>
      <c r="F65" s="48">
        <f t="shared" si="20"/>
        <v>75.804600123505054</v>
      </c>
      <c r="G65" s="48">
        <f t="shared" si="15"/>
        <v>1.9398966189085343</v>
      </c>
      <c r="I65" s="45"/>
      <c r="J65" s="48">
        <f t="shared" si="21"/>
        <v>0.32189816565333601</v>
      </c>
      <c r="Q65" s="8">
        <f t="shared" si="16"/>
        <v>100</v>
      </c>
      <c r="R65" s="9">
        <f t="shared" si="17"/>
        <v>7.5545706392019015E-3</v>
      </c>
      <c r="S65" s="8">
        <f t="shared" si="22"/>
        <v>-1</v>
      </c>
      <c r="T65" s="9">
        <f t="shared" si="23"/>
        <v>-3.4063548714919692E-2</v>
      </c>
      <c r="U65" s="9">
        <f t="shared" si="24"/>
        <v>-3.3880101305641168E-2</v>
      </c>
      <c r="V65" s="9">
        <f t="shared" si="13"/>
        <v>2.3939927612200269E-3</v>
      </c>
    </row>
    <row r="66" spans="1:22">
      <c r="A66" s="8">
        <f t="shared" si="18"/>
        <v>0.27500000000000013</v>
      </c>
      <c r="B66" s="48">
        <f t="shared" si="19"/>
        <v>124.3094579736389</v>
      </c>
      <c r="C66" s="48">
        <f t="shared" si="0"/>
        <v>26.496625020800835</v>
      </c>
      <c r="D66" s="45">
        <f t="shared" si="14"/>
        <v>0.82325525561688873</v>
      </c>
      <c r="E66" s="48">
        <f t="shared" si="10"/>
        <v>-75.841789578884146</v>
      </c>
      <c r="F66" s="48">
        <f t="shared" si="20"/>
        <v>78.038551276553505</v>
      </c>
      <c r="G66" s="48">
        <f t="shared" si="15"/>
        <v>2.1967616976693591</v>
      </c>
      <c r="I66" s="45"/>
      <c r="J66" s="48">
        <f t="shared" si="21"/>
        <v>2.2263703140004609</v>
      </c>
      <c r="Q66" s="8">
        <f t="shared" si="16"/>
        <v>100</v>
      </c>
      <c r="R66" s="9">
        <f t="shared" si="17"/>
        <v>7.0021077659020523E-3</v>
      </c>
      <c r="S66" s="8">
        <f t="shared" si="22"/>
        <v>-1</v>
      </c>
      <c r="T66" s="9">
        <f t="shared" si="23"/>
        <v>-1.2199253145881387E-2</v>
      </c>
      <c r="U66" s="9">
        <f t="shared" si="24"/>
        <v>-1.2132341429472365E-2</v>
      </c>
      <c r="V66" s="9">
        <f t="shared" si="13"/>
        <v>1.9672585354979451E-2</v>
      </c>
    </row>
    <row r="67" spans="1:22">
      <c r="A67" s="8">
        <f t="shared" si="18"/>
        <v>0.28000000000000014</v>
      </c>
      <c r="B67" s="48">
        <f t="shared" si="19"/>
        <v>122.90244438498021</v>
      </c>
      <c r="C67" s="48">
        <f t="shared" si="0"/>
        <v>25.180384502505845</v>
      </c>
      <c r="D67" s="45">
        <f t="shared" si="14"/>
        <v>0.81363227646179559</v>
      </c>
      <c r="E67" s="48">
        <f t="shared" si="10"/>
        <v>-74.817011105164838</v>
      </c>
      <c r="F67" s="48">
        <f t="shared" si="20"/>
        <v>76.863667861460272</v>
      </c>
      <c r="G67" s="48">
        <f t="shared" si="15"/>
        <v>2.0466567562954339</v>
      </c>
      <c r="I67" s="45"/>
      <c r="J67" s="48">
        <f t="shared" si="21"/>
        <v>-1.1826876604266581</v>
      </c>
      <c r="Q67" s="8">
        <f t="shared" si="16"/>
        <v>100</v>
      </c>
      <c r="R67" s="9">
        <f t="shared" si="17"/>
        <v>7.3466010586740399E-3</v>
      </c>
      <c r="S67" s="8">
        <f t="shared" si="22"/>
        <v>-1</v>
      </c>
      <c r="T67" s="9">
        <f t="shared" si="23"/>
        <v>-2.687641226479346E-2</v>
      </c>
      <c r="U67" s="9">
        <f t="shared" si="24"/>
        <v>-2.6726324992700345E-2</v>
      </c>
      <c r="V67" s="9">
        <f t="shared" si="13"/>
        <v>-1.1318636663648369E-2</v>
      </c>
    </row>
    <row r="68" spans="1:22">
      <c r="A68" s="8">
        <f t="shared" si="18"/>
        <v>0.28500000000000014</v>
      </c>
      <c r="B68" s="48">
        <f t="shared" si="19"/>
        <v>119.97926685257076</v>
      </c>
      <c r="C68" s="48">
        <f t="shared" si="0"/>
        <v>22.512155548332984</v>
      </c>
      <c r="D68" s="45">
        <f t="shared" si="14"/>
        <v>0.79153600024841353</v>
      </c>
      <c r="E68" s="48">
        <f t="shared" si="10"/>
        <v>-72.455753448887933</v>
      </c>
      <c r="F68" s="48">
        <f t="shared" si="20"/>
        <v>74.220259592324098</v>
      </c>
      <c r="G68" s="48">
        <f t="shared" si="15"/>
        <v>1.7645061434361651</v>
      </c>
      <c r="I68" s="45"/>
      <c r="J68" s="48">
        <f t="shared" si="21"/>
        <v>-2.6510950202534778</v>
      </c>
      <c r="Q68" s="8">
        <f t="shared" si="16"/>
        <v>100</v>
      </c>
      <c r="R68" s="9">
        <f t="shared" si="17"/>
        <v>8.0814991626294713E-3</v>
      </c>
      <c r="S68" s="8">
        <f t="shared" si="22"/>
        <v>-1</v>
      </c>
      <c r="T68" s="9">
        <f t="shared" si="23"/>
        <v>-2.7219613133856462E-3</v>
      </c>
      <c r="U68" s="9">
        <f t="shared" si="24"/>
        <v>-2.7064902682657713E-3</v>
      </c>
      <c r="V68" s="9">
        <f t="shared" si="13"/>
        <v>-2.3784535344576863E-2</v>
      </c>
    </row>
    <row r="69" spans="1:22">
      <c r="A69" s="8">
        <f t="shared" si="18"/>
        <v>0.29000000000000015</v>
      </c>
      <c r="B69" s="48">
        <f t="shared" si="19"/>
        <v>126.84684610237076</v>
      </c>
      <c r="C69" s="48">
        <f t="shared" si="0"/>
        <v>28.813508102929092</v>
      </c>
      <c r="D69" s="45">
        <f t="shared" si="14"/>
        <v>0.84182218877806259</v>
      </c>
      <c r="E69" s="48">
        <f t="shared" si="10"/>
        <v>-77.968981522562714</v>
      </c>
      <c r="F69" s="48">
        <f t="shared" si="20"/>
        <v>80.606326406892194</v>
      </c>
      <c r="G69" s="48">
        <f t="shared" si="15"/>
        <v>2.6373448843294796</v>
      </c>
      <c r="I69" s="45"/>
      <c r="J69" s="48">
        <f t="shared" si="21"/>
        <v>6.3786444174951953</v>
      </c>
      <c r="Q69" s="8">
        <f t="shared" si="16"/>
        <v>100</v>
      </c>
      <c r="R69" s="9">
        <f t="shared" si="17"/>
        <v>6.4554616189961686E-3</v>
      </c>
      <c r="S69" s="8">
        <f t="shared" si="22"/>
        <v>1</v>
      </c>
      <c r="T69" s="9">
        <f t="shared" si="23"/>
        <v>0.13834776745379868</v>
      </c>
      <c r="U69" s="9">
        <f t="shared" si="24"/>
        <v>0.13754767291964612</v>
      </c>
      <c r="V69" s="9">
        <f t="shared" si="13"/>
        <v>5.7239716744050539E-2</v>
      </c>
    </row>
    <row r="70" spans="1:22">
      <c r="A70" s="8">
        <f t="shared" si="18"/>
        <v>0.29500000000000015</v>
      </c>
      <c r="B70" s="48">
        <f t="shared" si="19"/>
        <v>128.33340853407094</v>
      </c>
      <c r="C70" s="48">
        <f t="shared" si="0"/>
        <v>30.203923066942252</v>
      </c>
      <c r="D70" s="45">
        <f t="shared" si="14"/>
        <v>0.85170786017127731</v>
      </c>
      <c r="E70" s="48">
        <f t="shared" si="10"/>
        <v>-79.098649704097653</v>
      </c>
      <c r="F70" s="48">
        <f t="shared" si="20"/>
        <v>81.883049348116955</v>
      </c>
      <c r="G70" s="48">
        <f t="shared" si="15"/>
        <v>2.7843996440193024</v>
      </c>
      <c r="I70" s="45"/>
      <c r="J70" s="48">
        <f t="shared" si="21"/>
        <v>1.2686619055390034</v>
      </c>
      <c r="Q70" s="8">
        <f t="shared" si="16"/>
        <v>100</v>
      </c>
      <c r="R70" s="9">
        <f t="shared" si="17"/>
        <v>6.1351895760404073E-3</v>
      </c>
      <c r="S70" s="8">
        <f t="shared" si="22"/>
        <v>-1</v>
      </c>
      <c r="T70" s="9">
        <f t="shared" si="23"/>
        <v>-2.4005704575596573E-2</v>
      </c>
      <c r="U70" s="9">
        <f t="shared" si="24"/>
        <v>-2.386448791738802E-2</v>
      </c>
      <c r="V70" s="9">
        <f t="shared" si="13"/>
        <v>1.1719348784600132E-2</v>
      </c>
    </row>
    <row r="71" spans="1:22">
      <c r="A71" s="8">
        <f t="shared" si="18"/>
        <v>0.30000000000000016</v>
      </c>
      <c r="B71" s="48">
        <f t="shared" si="19"/>
        <v>129.04572734227656</v>
      </c>
      <c r="C71" s="48">
        <f t="shared" si="0"/>
        <v>30.86581961259202</v>
      </c>
      <c r="D71" s="45">
        <f t="shared" si="14"/>
        <v>0.85656710885474807</v>
      </c>
      <c r="E71" s="48">
        <f t="shared" si="10"/>
        <v>-79.670505967039929</v>
      </c>
      <c r="F71" s="48">
        <f t="shared" si="20"/>
        <v>82.518303343176157</v>
      </c>
      <c r="G71" s="48">
        <f t="shared" si="15"/>
        <v>2.8477973761362279</v>
      </c>
      <c r="I71" s="45"/>
      <c r="J71" s="48">
        <f t="shared" si="21"/>
        <v>0.62706528069548439</v>
      </c>
      <c r="Q71" s="8">
        <f t="shared" si="16"/>
        <v>100</v>
      </c>
      <c r="R71" s="9">
        <f t="shared" si="17"/>
        <v>5.9874942794432935E-3</v>
      </c>
      <c r="S71" s="8">
        <f t="shared" si="22"/>
        <v>-1</v>
      </c>
      <c r="T71" s="9">
        <f t="shared" si="23"/>
        <v>-2.8999810237304507E-2</v>
      </c>
      <c r="U71" s="9">
        <f t="shared" si="24"/>
        <v>-2.8826332330035894E-2</v>
      </c>
      <c r="V71" s="9">
        <f t="shared" si="13"/>
        <v>5.5505329153360036E-3</v>
      </c>
    </row>
    <row r="72" spans="1:22">
      <c r="A72" s="8">
        <f t="shared" si="18"/>
        <v>0.30500000000000016</v>
      </c>
      <c r="B72" s="48">
        <f t="shared" si="19"/>
        <v>130.47598872522414</v>
      </c>
      <c r="C72" s="48">
        <f t="shared" si="0"/>
        <v>32.219553511851743</v>
      </c>
      <c r="D72" s="45">
        <f t="shared" si="14"/>
        <v>0.86547006952002614</v>
      </c>
      <c r="E72" s="48">
        <f t="shared" si="10"/>
        <v>-80.703509520862141</v>
      </c>
      <c r="F72" s="48">
        <f t="shared" si="20"/>
        <v>83.68817818149968</v>
      </c>
      <c r="G72" s="48">
        <f t="shared" si="15"/>
        <v>2.9846686606375386</v>
      </c>
      <c r="I72" s="45"/>
      <c r="J72" s="48">
        <f t="shared" si="21"/>
        <v>1.1616225953839354</v>
      </c>
      <c r="Q72" s="8">
        <f t="shared" si="16"/>
        <v>100</v>
      </c>
      <c r="R72" s="9">
        <f t="shared" si="17"/>
        <v>5.6893970768893166E-3</v>
      </c>
      <c r="S72" s="8">
        <f t="shared" si="22"/>
        <v>-1</v>
      </c>
      <c r="T72" s="9">
        <f t="shared" si="23"/>
        <v>-2.371325263101827E-2</v>
      </c>
      <c r="U72" s="9">
        <f t="shared" si="24"/>
        <v>-2.356904207932433E-2</v>
      </c>
      <c r="V72" s="9">
        <f t="shared" si="13"/>
        <v>1.1083368759308087E-2</v>
      </c>
    </row>
    <row r="73" spans="1:22">
      <c r="A73" s="8">
        <f t="shared" si="18"/>
        <v>0.31000000000000016</v>
      </c>
      <c r="B73" s="48">
        <f t="shared" si="19"/>
        <v>127.91255325760633</v>
      </c>
      <c r="C73" s="48">
        <f t="shared" si="0"/>
        <v>29.752807380719076</v>
      </c>
      <c r="D73" s="45">
        <f t="shared" si="14"/>
        <v>0.85073257409946401</v>
      </c>
      <c r="E73" s="48">
        <f t="shared" si="10"/>
        <v>-79.066568311759141</v>
      </c>
      <c r="F73" s="48">
        <f t="shared" si="20"/>
        <v>81.811436749906292</v>
      </c>
      <c r="G73" s="48">
        <f t="shared" si="15"/>
        <v>2.7448684381471509</v>
      </c>
      <c r="I73" s="45"/>
      <c r="J73" s="48">
        <f t="shared" si="21"/>
        <v>-1.8851106678663829</v>
      </c>
      <c r="Q73" s="8">
        <f t="shared" si="16"/>
        <v>100</v>
      </c>
      <c r="R73" s="9">
        <f t="shared" si="17"/>
        <v>6.249240813830932E-3</v>
      </c>
      <c r="S73" s="8">
        <f t="shared" si="22"/>
        <v>-1</v>
      </c>
      <c r="T73" s="9">
        <f t="shared" si="23"/>
        <v>-1.157972235577835E-2</v>
      </c>
      <c r="U73" s="9">
        <f t="shared" si="24"/>
        <v>-1.150815018018625E-2</v>
      </c>
      <c r="V73" s="9">
        <f t="shared" si="13"/>
        <v>-1.9646798561659292E-2</v>
      </c>
    </row>
    <row r="74" spans="1:22">
      <c r="A74" s="8">
        <f t="shared" si="18"/>
        <v>0.31500000000000017</v>
      </c>
      <c r="B74" s="48">
        <f t="shared" si="19"/>
        <v>124.63487546134736</v>
      </c>
      <c r="C74" s="48">
        <f t="shared" si="0"/>
        <v>26.64768235241695</v>
      </c>
      <c r="D74" s="45">
        <f t="shared" si="14"/>
        <v>0.82954119780682656</v>
      </c>
      <c r="E74" s="48">
        <f t="shared" si="10"/>
        <v>-76.742081526293802</v>
      </c>
      <c r="F74" s="48">
        <f t="shared" si="20"/>
        <v>79.17843375756469</v>
      </c>
      <c r="G74" s="48">
        <f t="shared" si="15"/>
        <v>2.4363522312708881</v>
      </c>
      <c r="I74" s="45"/>
      <c r="J74" s="48">
        <f t="shared" si="21"/>
        <v>-2.6411845450874178</v>
      </c>
      <c r="Q74" s="8">
        <f t="shared" si="16"/>
        <v>100</v>
      </c>
      <c r="R74" s="9">
        <f t="shared" si="17"/>
        <v>7.0211697837298309E-3</v>
      </c>
      <c r="S74" s="8">
        <f t="shared" si="22"/>
        <v>1</v>
      </c>
      <c r="T74" s="9">
        <f t="shared" si="23"/>
        <v>2.4053384857857405E-3</v>
      </c>
      <c r="U74" s="9">
        <f t="shared" si="24"/>
        <v>2.3902324871839433E-3</v>
      </c>
      <c r="V74" s="9">
        <f t="shared" si="13"/>
        <v>-2.5624363776540149E-2</v>
      </c>
    </row>
    <row r="75" spans="1:22">
      <c r="A75" s="8">
        <f t="shared" si="18"/>
        <v>0.32000000000000017</v>
      </c>
      <c r="B75" s="48">
        <f t="shared" si="19"/>
        <v>120.51470664037255</v>
      </c>
      <c r="C75" s="48">
        <f t="shared" ref="C75:C138" si="25">CallOption(B75,Vol_i,0,PL_r, PL_K,PL_T-A75)</f>
        <v>22.843682860992757</v>
      </c>
      <c r="D75" s="45">
        <f t="shared" ref="D75:D138" si="26">CallDelta(B75,$E$6,0,PL_r, PL_K, PL_T-A75)</f>
        <v>0.79897519585169052</v>
      </c>
      <c r="E75" s="48">
        <f t="shared" si="10"/>
        <v>-73.444578480007934</v>
      </c>
      <c r="F75" s="48">
        <f t="shared" si="20"/>
        <v>75.502699238053538</v>
      </c>
      <c r="G75" s="48">
        <f t="shared" ref="G75:G106" si="27">F75+E75</f>
        <v>2.0581207580456038</v>
      </c>
      <c r="I75" s="45"/>
      <c r="J75" s="48">
        <f t="shared" si="21"/>
        <v>-3.6836527587922729</v>
      </c>
      <c r="Q75" s="8">
        <f t="shared" ref="Q75:Q138" si="28">PL_K</f>
        <v>100</v>
      </c>
      <c r="R75" s="9">
        <f t="shared" ref="R75:R106" si="29">CallGamma(B75,$E$6,0,PL_r, PL_K, PL_T-A75)</f>
        <v>8.0736420891709976E-3</v>
      </c>
      <c r="S75" s="8">
        <f t="shared" si="22"/>
        <v>1</v>
      </c>
      <c r="T75" s="9">
        <f t="shared" si="23"/>
        <v>2.8161469584763427E-2</v>
      </c>
      <c r="U75" s="9">
        <f t="shared" si="24"/>
        <v>2.7981811697890768E-2</v>
      </c>
      <c r="V75" s="9">
        <f t="shared" si="13"/>
        <v>-3.3057912608518529E-2</v>
      </c>
    </row>
    <row r="76" spans="1:22">
      <c r="A76" s="8">
        <f t="shared" ref="A76:A107" si="30">A75+dt</f>
        <v>0.32500000000000018</v>
      </c>
      <c r="B76" s="48">
        <f t="shared" ref="B76:B107" si="31">B75*EXP((PL_r-0.5*Vol_a^2)*dt+Vol_a*SQRT(dt)*NormalRN())</f>
        <v>115.82021225560474</v>
      </c>
      <c r="C76" s="48">
        <f t="shared" si="25"/>
        <v>18.689490789300862</v>
      </c>
      <c r="D76" s="45">
        <f t="shared" si="26"/>
        <v>0.75849727279090218</v>
      </c>
      <c r="E76" s="48">
        <f t="shared" ref="E76:E139" si="32">C76-D76*B76</f>
        <v>-69.159824340638764</v>
      </c>
      <c r="F76" s="48">
        <f t="shared" ref="F76:F139" si="33">J76+F75*EXP(PL_r*dt)</f>
        <v>70.822088244936879</v>
      </c>
      <c r="G76" s="48">
        <f t="shared" si="27"/>
        <v>1.6622639042981149</v>
      </c>
      <c r="I76" s="45"/>
      <c r="J76" s="48">
        <f t="shared" ref="J76:J139" si="34">(D76-D75)*B76</f>
        <v>-4.6881616405665438</v>
      </c>
      <c r="Q76" s="8">
        <f t="shared" si="28"/>
        <v>100</v>
      </c>
      <c r="R76" s="9">
        <f t="shared" si="29"/>
        <v>9.3660020503454969E-3</v>
      </c>
      <c r="S76" s="8">
        <f t="shared" ref="S76:S107" si="35">IF(V76^2 &lt; ($E$6^2*dt), -1, 1)</f>
        <v>1</v>
      </c>
      <c r="T76" s="9">
        <f t="shared" ref="T76:T107" si="36">0.5*R76*(B76^2)*(V76^2-$E$6^2*dt)</f>
        <v>5.6844613159231901E-2</v>
      </c>
      <c r="U76" s="9">
        <f t="shared" ref="U76:U107" si="37">T76*EXP(-PL_r*A76)</f>
        <v>5.647632141854704E-2</v>
      </c>
      <c r="V76" s="9">
        <f t="shared" si="13"/>
        <v>-3.8953705449216496E-2</v>
      </c>
    </row>
    <row r="77" spans="1:22">
      <c r="A77" s="8">
        <f t="shared" si="30"/>
        <v>0.33000000000000018</v>
      </c>
      <c r="B77" s="48">
        <f t="shared" si="31"/>
        <v>114.72550323942772</v>
      </c>
      <c r="C77" s="48">
        <f t="shared" si="25"/>
        <v>17.736077181699443</v>
      </c>
      <c r="D77" s="45">
        <f t="shared" si="26"/>
        <v>0.7484188811580762</v>
      </c>
      <c r="E77" s="48">
        <f t="shared" si="32"/>
        <v>-68.126655593050302</v>
      </c>
      <c r="F77" s="48">
        <f t="shared" si="33"/>
        <v>69.672922255963613</v>
      </c>
      <c r="G77" s="48">
        <f t="shared" si="27"/>
        <v>1.5462666629133111</v>
      </c>
      <c r="I77" s="45"/>
      <c r="J77" s="48">
        <f t="shared" si="34"/>
        <v>-1.1562485519199981</v>
      </c>
      <c r="Q77" s="8">
        <f t="shared" si="28"/>
        <v>100</v>
      </c>
      <c r="R77" s="9">
        <f t="shared" si="29"/>
        <v>9.7007701180449463E-3</v>
      </c>
      <c r="S77" s="8">
        <f t="shared" si="35"/>
        <v>-1</v>
      </c>
      <c r="T77" s="9">
        <f t="shared" si="36"/>
        <v>-3.339901360078968E-2</v>
      </c>
      <c r="U77" s="9">
        <f t="shared" si="37"/>
        <v>-3.3179305943830652E-2</v>
      </c>
      <c r="V77" s="9">
        <f t="shared" ref="V77:V140" si="38">(B77-B76)/B76</f>
        <v>-9.4517959763456196E-3</v>
      </c>
    </row>
    <row r="78" spans="1:22">
      <c r="A78" s="8">
        <f t="shared" si="30"/>
        <v>0.33500000000000019</v>
      </c>
      <c r="B78" s="48">
        <f t="shared" si="31"/>
        <v>116.54192310782535</v>
      </c>
      <c r="C78" s="48">
        <f t="shared" si="25"/>
        <v>19.262285114946849</v>
      </c>
      <c r="D78" s="45">
        <f t="shared" si="26"/>
        <v>0.76597311677580382</v>
      </c>
      <c r="E78" s="48">
        <f t="shared" si="32"/>
        <v>-70.005694963000209</v>
      </c>
      <c r="F78" s="48">
        <f t="shared" si="33"/>
        <v>71.725694274143308</v>
      </c>
      <c r="G78" s="48">
        <f t="shared" si="27"/>
        <v>1.7199993111430985</v>
      </c>
      <c r="I78" s="45"/>
      <c r="J78" s="48">
        <f t="shared" si="34"/>
        <v>2.0458043775778614</v>
      </c>
      <c r="Q78" s="8">
        <f t="shared" si="28"/>
        <v>100</v>
      </c>
      <c r="R78" s="9">
        <f t="shared" si="29"/>
        <v>9.2173596520867263E-3</v>
      </c>
      <c r="S78" s="8">
        <f t="shared" si="35"/>
        <v>-1</v>
      </c>
      <c r="T78" s="9">
        <f t="shared" si="36"/>
        <v>-2.2648446356430887E-2</v>
      </c>
      <c r="U78" s="9">
        <f t="shared" si="37"/>
        <v>-2.2497208976817912E-2</v>
      </c>
      <c r="V78" s="9">
        <f t="shared" si="38"/>
        <v>1.5832747010111888E-2</v>
      </c>
    </row>
    <row r="79" spans="1:22">
      <c r="A79" s="8">
        <f t="shared" si="30"/>
        <v>0.34000000000000019</v>
      </c>
      <c r="B79" s="48">
        <f t="shared" si="31"/>
        <v>118.2586579697351</v>
      </c>
      <c r="C79" s="48">
        <f t="shared" si="25"/>
        <v>20.740377725913419</v>
      </c>
      <c r="D79" s="45">
        <f t="shared" si="26"/>
        <v>0.78183112020596424</v>
      </c>
      <c r="E79" s="48">
        <f t="shared" si="32"/>
        <v>-71.717921308618557</v>
      </c>
      <c r="F79" s="48">
        <f t="shared" si="33"/>
        <v>73.608213405941385</v>
      </c>
      <c r="G79" s="48">
        <f t="shared" si="27"/>
        <v>1.8902920973228277</v>
      </c>
      <c r="I79" s="45"/>
      <c r="J79" s="48">
        <f t="shared" si="34"/>
        <v>1.8753462037302266</v>
      </c>
      <c r="Q79" s="8">
        <f t="shared" si="28"/>
        <v>100</v>
      </c>
      <c r="R79" s="9">
        <f t="shared" si="29"/>
        <v>8.7633234945558858E-3</v>
      </c>
      <c r="S79" s="8">
        <f t="shared" si="35"/>
        <v>-1</v>
      </c>
      <c r="T79" s="9">
        <f t="shared" si="36"/>
        <v>-2.4235997969692908E-2</v>
      </c>
      <c r="U79" s="9">
        <f t="shared" si="37"/>
        <v>-2.407175225183273E-2</v>
      </c>
      <c r="V79" s="9">
        <f t="shared" si="38"/>
        <v>1.4730620673913267E-2</v>
      </c>
    </row>
    <row r="80" spans="1:22">
      <c r="A80" s="8">
        <f t="shared" si="30"/>
        <v>0.3450000000000002</v>
      </c>
      <c r="B80" s="48">
        <f t="shared" si="31"/>
        <v>115.81636388977157</v>
      </c>
      <c r="C80" s="48">
        <f t="shared" si="25"/>
        <v>18.589612570778556</v>
      </c>
      <c r="D80" s="45">
        <f t="shared" si="26"/>
        <v>0.75998424699068712</v>
      </c>
      <c r="E80" s="48">
        <f t="shared" si="32"/>
        <v>-69.4289995291889</v>
      </c>
      <c r="F80" s="48">
        <f t="shared" si="33"/>
        <v>71.085349177181072</v>
      </c>
      <c r="G80" s="48">
        <f t="shared" si="27"/>
        <v>1.6563496479921724</v>
      </c>
      <c r="I80" s="45"/>
      <c r="J80" s="48">
        <f t="shared" si="34"/>
        <v>-2.5302254181542385</v>
      </c>
      <c r="Q80" s="8">
        <f t="shared" si="28"/>
        <v>100</v>
      </c>
      <c r="R80" s="9">
        <f t="shared" si="29"/>
        <v>9.4763320949497239E-3</v>
      </c>
      <c r="S80" s="8">
        <f t="shared" si="35"/>
        <v>-1</v>
      </c>
      <c r="T80" s="9">
        <f t="shared" si="36"/>
        <v>-1.1820555360629141E-2</v>
      </c>
      <c r="U80" s="9">
        <f t="shared" si="37"/>
        <v>-1.1739274270882893E-2</v>
      </c>
      <c r="V80" s="9">
        <f t="shared" si="38"/>
        <v>-2.0652137626900571E-2</v>
      </c>
    </row>
    <row r="81" spans="1:22">
      <c r="A81" s="8">
        <f t="shared" si="30"/>
        <v>0.3500000000000002</v>
      </c>
      <c r="B81" s="48">
        <f t="shared" si="31"/>
        <v>114.04860352841695</v>
      </c>
      <c r="C81" s="48">
        <f t="shared" si="25"/>
        <v>17.068004751161723</v>
      </c>
      <c r="D81" s="45">
        <f t="shared" si="26"/>
        <v>0.74312663010885283</v>
      </c>
      <c r="E81" s="48">
        <f t="shared" si="32"/>
        <v>-67.684549657531392</v>
      </c>
      <c r="F81" s="48">
        <f t="shared" si="33"/>
        <v>69.169870403347119</v>
      </c>
      <c r="G81" s="48">
        <f t="shared" si="27"/>
        <v>1.4853207458157272</v>
      </c>
      <c r="I81" s="45"/>
      <c r="J81" s="48">
        <f t="shared" si="34"/>
        <v>-1.9225876641902675</v>
      </c>
      <c r="Q81" s="8">
        <f t="shared" si="28"/>
        <v>100</v>
      </c>
      <c r="R81" s="9">
        <f t="shared" si="29"/>
        <v>1.0016078022771251E-2</v>
      </c>
      <c r="S81" s="8">
        <f t="shared" si="35"/>
        <v>-1</v>
      </c>
      <c r="T81" s="9">
        <f t="shared" si="36"/>
        <v>-2.4722335894740283E-2</v>
      </c>
      <c r="U81" s="9">
        <f t="shared" si="37"/>
        <v>-2.4549883829882792E-2</v>
      </c>
      <c r="V81" s="9">
        <f t="shared" si="38"/>
        <v>-1.5263476610585766E-2</v>
      </c>
    </row>
    <row r="82" spans="1:22">
      <c r="A82" s="8">
        <f t="shared" si="30"/>
        <v>0.3550000000000002</v>
      </c>
      <c r="B82" s="48">
        <f t="shared" si="31"/>
        <v>110.89177965774591</v>
      </c>
      <c r="C82" s="48">
        <f t="shared" si="25"/>
        <v>14.474532833050645</v>
      </c>
      <c r="D82" s="45">
        <f t="shared" si="26"/>
        <v>0.71029103777662805</v>
      </c>
      <c r="E82" s="48">
        <f t="shared" si="32"/>
        <v>-64.290904420946873</v>
      </c>
      <c r="F82" s="48">
        <f t="shared" si="33"/>
        <v>65.535590466411705</v>
      </c>
      <c r="G82" s="48">
        <f t="shared" si="27"/>
        <v>1.2446860454648316</v>
      </c>
      <c r="I82" s="45"/>
      <c r="J82" s="48">
        <f t="shared" si="34"/>
        <v>-3.6411972698366406</v>
      </c>
      <c r="Q82" s="8">
        <f t="shared" si="28"/>
        <v>100</v>
      </c>
      <c r="R82" s="9">
        <f t="shared" si="29"/>
        <v>1.0976409093971854E-2</v>
      </c>
      <c r="S82" s="8">
        <f t="shared" si="35"/>
        <v>1</v>
      </c>
      <c r="T82" s="9">
        <f t="shared" si="36"/>
        <v>1.0370417348753342E-2</v>
      </c>
      <c r="U82" s="9">
        <f t="shared" si="37"/>
        <v>1.0297048154428544E-2</v>
      </c>
      <c r="V82" s="9">
        <f t="shared" si="38"/>
        <v>-2.7679636339295138E-2</v>
      </c>
    </row>
    <row r="83" spans="1:22">
      <c r="A83" s="8">
        <f t="shared" si="30"/>
        <v>0.36000000000000021</v>
      </c>
      <c r="B83" s="48">
        <f t="shared" si="31"/>
        <v>111.8650832974084</v>
      </c>
      <c r="C83" s="48">
        <f t="shared" si="25"/>
        <v>15.223659286198725</v>
      </c>
      <c r="D83" s="45">
        <f t="shared" si="26"/>
        <v>0.72111430111338493</v>
      </c>
      <c r="E83" s="48">
        <f t="shared" si="32"/>
        <v>-65.443852074802521</v>
      </c>
      <c r="F83" s="48">
        <f t="shared" si="33"/>
        <v>66.75288960786331</v>
      </c>
      <c r="G83" s="48">
        <f t="shared" si="27"/>
        <v>1.3090375330607884</v>
      </c>
      <c r="I83" s="45"/>
      <c r="J83" s="48">
        <f t="shared" si="34"/>
        <v>1.210745254716094</v>
      </c>
      <c r="Q83" s="8">
        <f t="shared" si="28"/>
        <v>100</v>
      </c>
      <c r="R83" s="9">
        <f t="shared" si="29"/>
        <v>1.0726316092813101E-2</v>
      </c>
      <c r="S83" s="8">
        <f t="shared" si="35"/>
        <v>-1</v>
      </c>
      <c r="T83" s="9">
        <f t="shared" si="36"/>
        <v>-3.5936796517322428E-2</v>
      </c>
      <c r="U83" s="9">
        <f t="shared" si="37"/>
        <v>-3.5678980832625412E-2</v>
      </c>
      <c r="V83" s="9">
        <f t="shared" si="38"/>
        <v>8.7770585219794812E-3</v>
      </c>
    </row>
    <row r="84" spans="1:22">
      <c r="A84" s="8">
        <f t="shared" si="30"/>
        <v>0.36500000000000021</v>
      </c>
      <c r="B84" s="48">
        <f t="shared" si="31"/>
        <v>113.46784679659905</v>
      </c>
      <c r="C84" s="48">
        <f t="shared" si="25"/>
        <v>16.507763825611647</v>
      </c>
      <c r="D84" s="45">
        <f t="shared" si="26"/>
        <v>0.73826585217084417</v>
      </c>
      <c r="E84" s="48">
        <f t="shared" si="32"/>
        <v>-67.261672783670335</v>
      </c>
      <c r="F84" s="48">
        <f t="shared" si="33"/>
        <v>68.705714798311504</v>
      </c>
      <c r="G84" s="48">
        <f t="shared" si="27"/>
        <v>1.4440420146411697</v>
      </c>
      <c r="I84" s="45"/>
      <c r="J84" s="48">
        <f t="shared" si="34"/>
        <v>1.9461495677118321</v>
      </c>
      <c r="Q84" s="8">
        <f t="shared" si="28"/>
        <v>100</v>
      </c>
      <c r="R84" s="9">
        <f t="shared" si="29"/>
        <v>1.0284700014434985E-2</v>
      </c>
      <c r="S84" s="8">
        <f t="shared" si="35"/>
        <v>-1</v>
      </c>
      <c r="T84" s="9">
        <f t="shared" si="36"/>
        <v>-2.696092407432232E-2</v>
      </c>
      <c r="U84" s="9">
        <f t="shared" si="37"/>
        <v>-2.6764825957544286E-2</v>
      </c>
      <c r="V84" s="9">
        <f t="shared" si="38"/>
        <v>1.4327647662224333E-2</v>
      </c>
    </row>
    <row r="85" spans="1:22">
      <c r="A85" s="8">
        <f t="shared" si="30"/>
        <v>0.37000000000000022</v>
      </c>
      <c r="B85" s="48">
        <f t="shared" si="31"/>
        <v>112.33140496645883</v>
      </c>
      <c r="C85" s="48">
        <f t="shared" si="25"/>
        <v>15.547823578297312</v>
      </c>
      <c r="D85" s="45">
        <f t="shared" si="26"/>
        <v>0.72669187828748461</v>
      </c>
      <c r="E85" s="48">
        <f t="shared" si="32"/>
        <v>-66.082496087450735</v>
      </c>
      <c r="F85" s="48">
        <f t="shared" si="33"/>
        <v>67.412464965968482</v>
      </c>
      <c r="G85" s="48">
        <f t="shared" si="27"/>
        <v>1.3299688785177466</v>
      </c>
      <c r="I85" s="45"/>
      <c r="J85" s="48">
        <f t="shared" si="34"/>
        <v>-1.3001207473628817</v>
      </c>
      <c r="Q85" s="8">
        <f t="shared" si="28"/>
        <v>100</v>
      </c>
      <c r="R85" s="9">
        <f t="shared" si="29"/>
        <v>1.0659976348077362E-2</v>
      </c>
      <c r="S85" s="8">
        <f t="shared" si="35"/>
        <v>-1</v>
      </c>
      <c r="T85" s="9">
        <f t="shared" si="36"/>
        <v>-3.4447588788004628E-2</v>
      </c>
      <c r="U85" s="9">
        <f t="shared" si="37"/>
        <v>-3.4193617483753783E-2</v>
      </c>
      <c r="V85" s="9">
        <f t="shared" si="38"/>
        <v>-1.0015540633086873E-2</v>
      </c>
    </row>
    <row r="86" spans="1:22">
      <c r="A86" s="8">
        <f t="shared" si="30"/>
        <v>0.37500000000000022</v>
      </c>
      <c r="B86" s="48">
        <f t="shared" si="31"/>
        <v>113.29784586927923</v>
      </c>
      <c r="C86" s="48">
        <f t="shared" si="25"/>
        <v>16.315035782646859</v>
      </c>
      <c r="D86" s="45">
        <f t="shared" si="26"/>
        <v>0.73720001038241345</v>
      </c>
      <c r="E86" s="48">
        <f t="shared" si="32"/>
        <v>-67.208137368490867</v>
      </c>
      <c r="F86" s="48">
        <f t="shared" si="33"/>
        <v>68.609755280003924</v>
      </c>
      <c r="G86" s="48">
        <f t="shared" si="27"/>
        <v>1.4016179115130569</v>
      </c>
      <c r="I86" s="45"/>
      <c r="J86" s="48">
        <f t="shared" si="34"/>
        <v>1.1905487304652747</v>
      </c>
      <c r="Q86" s="8">
        <f t="shared" si="28"/>
        <v>100</v>
      </c>
      <c r="R86" s="9">
        <f t="shared" si="29"/>
        <v>1.0403841878562196E-2</v>
      </c>
      <c r="S86" s="8">
        <f t="shared" si="35"/>
        <v>-1</v>
      </c>
      <c r="T86" s="9">
        <f t="shared" si="36"/>
        <v>-3.5956445126754735E-2</v>
      </c>
      <c r="U86" s="9">
        <f t="shared" si="37"/>
        <v>-3.5687780539868964E-2</v>
      </c>
      <c r="V86" s="9">
        <f t="shared" si="38"/>
        <v>8.6034791704863445E-3</v>
      </c>
    </row>
    <row r="87" spans="1:22">
      <c r="A87" s="8">
        <f t="shared" si="30"/>
        <v>0.38000000000000023</v>
      </c>
      <c r="B87" s="48">
        <f t="shared" si="31"/>
        <v>113.40081149784855</v>
      </c>
      <c r="C87" s="48">
        <f t="shared" si="25"/>
        <v>16.374453585754907</v>
      </c>
      <c r="D87" s="45">
        <f t="shared" si="26"/>
        <v>0.73862539061769161</v>
      </c>
      <c r="E87" s="48">
        <f t="shared" si="32"/>
        <v>-67.386265103206696</v>
      </c>
      <c r="F87" s="48">
        <f t="shared" si="33"/>
        <v>68.778255873965676</v>
      </c>
      <c r="G87" s="48">
        <f t="shared" si="27"/>
        <v>1.39199077075898</v>
      </c>
      <c r="I87" s="45"/>
      <c r="J87" s="48">
        <f t="shared" si="34"/>
        <v>0.16163927537353787</v>
      </c>
      <c r="Q87" s="8">
        <f t="shared" si="28"/>
        <v>100</v>
      </c>
      <c r="R87" s="9">
        <f t="shared" si="29"/>
        <v>1.0407174673761224E-2</v>
      </c>
      <c r="S87" s="8">
        <f t="shared" si="35"/>
        <v>-1</v>
      </c>
      <c r="T87" s="9">
        <f t="shared" si="36"/>
        <v>-4.093127244782873E-2</v>
      </c>
      <c r="U87" s="9">
        <f t="shared" si="37"/>
        <v>-4.0621373883413664E-2</v>
      </c>
      <c r="V87" s="9">
        <f t="shared" si="38"/>
        <v>9.088048213036794E-4</v>
      </c>
    </row>
    <row r="88" spans="1:22">
      <c r="A88" s="8">
        <f t="shared" si="30"/>
        <v>0.38500000000000023</v>
      </c>
      <c r="B88" s="48">
        <f t="shared" si="31"/>
        <v>117.7596449657987</v>
      </c>
      <c r="C88" s="48">
        <f t="shared" si="25"/>
        <v>20.093883134214266</v>
      </c>
      <c r="D88" s="45">
        <f t="shared" si="26"/>
        <v>0.78160952204082157</v>
      </c>
      <c r="E88" s="48">
        <f t="shared" si="32"/>
        <v>-71.948176683200501</v>
      </c>
      <c r="F88" s="48">
        <f t="shared" si="33"/>
        <v>73.846930099006826</v>
      </c>
      <c r="G88" s="48">
        <f t="shared" si="27"/>
        <v>1.8987534158063255</v>
      </c>
      <c r="I88" s="45"/>
      <c r="J88" s="48">
        <f t="shared" si="34"/>
        <v>5.0617960555510155</v>
      </c>
      <c r="Q88" s="8">
        <f t="shared" si="28"/>
        <v>100</v>
      </c>
      <c r="R88" s="9">
        <f t="shared" si="29"/>
        <v>9.1220769988373373E-3</v>
      </c>
      <c r="S88" s="8">
        <f t="shared" si="35"/>
        <v>1</v>
      </c>
      <c r="T88" s="9">
        <f t="shared" si="36"/>
        <v>5.4706624816984024E-2</v>
      </c>
      <c r="U88" s="9">
        <f t="shared" si="37"/>
        <v>5.4287001429223304E-2</v>
      </c>
      <c r="V88" s="9">
        <f t="shared" si="38"/>
        <v>3.8437409841929081E-2</v>
      </c>
    </row>
    <row r="89" spans="1:22">
      <c r="A89" s="8">
        <f t="shared" si="30"/>
        <v>0.39000000000000024</v>
      </c>
      <c r="B89" s="48">
        <f t="shared" si="31"/>
        <v>120.74416384041599</v>
      </c>
      <c r="C89" s="48">
        <f t="shared" si="25"/>
        <v>22.757090367860428</v>
      </c>
      <c r="D89" s="45">
        <f t="shared" si="26"/>
        <v>0.80809381387139045</v>
      </c>
      <c r="E89" s="48">
        <f t="shared" si="32"/>
        <v>-74.81552149265336</v>
      </c>
      <c r="F89" s="48">
        <f t="shared" si="33"/>
        <v>77.052138833251291</v>
      </c>
      <c r="G89" s="48">
        <f t="shared" si="27"/>
        <v>2.236617340597931</v>
      </c>
      <c r="I89" s="45"/>
      <c r="J89" s="48">
        <f t="shared" si="34"/>
        <v>3.1978236719876003</v>
      </c>
      <c r="Q89" s="8">
        <f t="shared" si="28"/>
        <v>100</v>
      </c>
      <c r="R89" s="9">
        <f t="shared" si="29"/>
        <v>8.2720766050059062E-3</v>
      </c>
      <c r="S89" s="8">
        <f t="shared" si="35"/>
        <v>1</v>
      </c>
      <c r="T89" s="9">
        <f t="shared" si="36"/>
        <v>1.7985221665246956E-3</v>
      </c>
      <c r="U89" s="9">
        <f t="shared" si="37"/>
        <v>1.7845482626983463E-3</v>
      </c>
      <c r="V89" s="9">
        <f t="shared" si="38"/>
        <v>2.5344156527340896E-2</v>
      </c>
    </row>
    <row r="90" spans="1:22">
      <c r="A90" s="8">
        <f t="shared" si="30"/>
        <v>0.39500000000000024</v>
      </c>
      <c r="B90" s="48">
        <f t="shared" si="31"/>
        <v>120.6468885328425</v>
      </c>
      <c r="C90" s="48">
        <f t="shared" si="25"/>
        <v>22.647267055070913</v>
      </c>
      <c r="D90" s="45">
        <f t="shared" si="26"/>
        <v>0.80785852305910777</v>
      </c>
      <c r="E90" s="48">
        <f t="shared" si="32"/>
        <v>-74.81835012674803</v>
      </c>
      <c r="F90" s="48">
        <f t="shared" si="33"/>
        <v>77.031457328005885</v>
      </c>
      <c r="G90" s="48">
        <f t="shared" si="27"/>
        <v>2.2131072012578556</v>
      </c>
      <c r="I90" s="45"/>
      <c r="J90" s="48">
        <f t="shared" si="34"/>
        <v>-2.8387104402271025E-2</v>
      </c>
      <c r="Q90" s="8">
        <f t="shared" si="28"/>
        <v>100</v>
      </c>
      <c r="R90" s="9">
        <f t="shared" si="29"/>
        <v>8.3191213505121094E-3</v>
      </c>
      <c r="S90" s="8">
        <f t="shared" si="35"/>
        <v>-1</v>
      </c>
      <c r="T90" s="9">
        <f t="shared" si="36"/>
        <v>-3.7044638401459037E-2</v>
      </c>
      <c r="U90" s="9">
        <f t="shared" si="37"/>
        <v>-3.6753138697956149E-2</v>
      </c>
      <c r="V90" s="9">
        <f t="shared" si="38"/>
        <v>-8.0563154755920979E-4</v>
      </c>
    </row>
    <row r="91" spans="1:22">
      <c r="A91" s="8">
        <f t="shared" si="30"/>
        <v>0.40000000000000024</v>
      </c>
      <c r="B91" s="48">
        <f t="shared" si="31"/>
        <v>119.81465687106871</v>
      </c>
      <c r="C91" s="48">
        <f t="shared" si="25"/>
        <v>21.868502075856213</v>
      </c>
      <c r="D91" s="45">
        <f t="shared" si="26"/>
        <v>0.80139623572173158</v>
      </c>
      <c r="E91" s="48">
        <f t="shared" si="32"/>
        <v>-74.150512924909151</v>
      </c>
      <c r="F91" s="48">
        <f t="shared" si="33"/>
        <v>76.264884118978841</v>
      </c>
      <c r="G91" s="48">
        <f t="shared" si="27"/>
        <v>2.1143711940696903</v>
      </c>
      <c r="I91" s="45"/>
      <c r="J91" s="48">
        <f t="shared" si="34"/>
        <v>-0.77427673992998081</v>
      </c>
      <c r="Q91" s="8">
        <f t="shared" si="28"/>
        <v>100</v>
      </c>
      <c r="R91" s="9">
        <f t="shared" si="29"/>
        <v>8.5824890391624012E-3</v>
      </c>
      <c r="S91" s="8">
        <f t="shared" si="35"/>
        <v>-1</v>
      </c>
      <c r="T91" s="9">
        <f t="shared" si="36"/>
        <v>-3.4800656135753734E-2</v>
      </c>
      <c r="U91" s="9">
        <f t="shared" si="37"/>
        <v>-3.4523361543937883E-2</v>
      </c>
      <c r="V91" s="9">
        <f t="shared" si="38"/>
        <v>-6.8980781178392316E-3</v>
      </c>
    </row>
    <row r="92" spans="1:22">
      <c r="A92" s="8">
        <f t="shared" si="30"/>
        <v>0.40500000000000025</v>
      </c>
      <c r="B92" s="48">
        <f t="shared" si="31"/>
        <v>122.64082886318414</v>
      </c>
      <c r="C92" s="48">
        <f t="shared" si="25"/>
        <v>24.445140716621424</v>
      </c>
      <c r="D92" s="45">
        <f t="shared" si="26"/>
        <v>0.82511083351913483</v>
      </c>
      <c r="E92" s="48">
        <f t="shared" si="32"/>
        <v>-76.747135810158014</v>
      </c>
      <c r="F92" s="48">
        <f t="shared" si="33"/>
        <v>79.180888918758455</v>
      </c>
      <c r="G92" s="48">
        <f t="shared" si="27"/>
        <v>2.4337531086004418</v>
      </c>
      <c r="I92" s="45"/>
      <c r="J92" s="48">
        <f t="shared" si="34"/>
        <v>2.9083779300305768</v>
      </c>
      <c r="Q92" s="8">
        <f t="shared" si="28"/>
        <v>100</v>
      </c>
      <c r="R92" s="9">
        <f t="shared" si="29"/>
        <v>7.7822485109689619E-3</v>
      </c>
      <c r="S92" s="8">
        <f t="shared" si="35"/>
        <v>-1</v>
      </c>
      <c r="T92" s="9">
        <f t="shared" si="36"/>
        <v>-3.2840193915861697E-3</v>
      </c>
      <c r="U92" s="9">
        <f t="shared" si="37"/>
        <v>-3.2575262764814442E-3</v>
      </c>
      <c r="V92" s="9">
        <f t="shared" si="38"/>
        <v>2.3587865340687391E-2</v>
      </c>
    </row>
    <row r="93" spans="1:22">
      <c r="A93" s="8">
        <f t="shared" si="30"/>
        <v>0.41000000000000025</v>
      </c>
      <c r="B93" s="48">
        <f t="shared" si="31"/>
        <v>127.89462429133124</v>
      </c>
      <c r="C93" s="48">
        <f t="shared" si="25"/>
        <v>29.399842435607596</v>
      </c>
      <c r="D93" s="45">
        <f t="shared" si="26"/>
        <v>0.86291062533047935</v>
      </c>
      <c r="E93" s="48">
        <f t="shared" si="32"/>
        <v>-80.961787788031756</v>
      </c>
      <c r="F93" s="48">
        <f t="shared" si="33"/>
        <v>84.023197575570421</v>
      </c>
      <c r="G93" s="48">
        <f t="shared" si="27"/>
        <v>3.0614097875386648</v>
      </c>
      <c r="I93" s="45"/>
      <c r="J93" s="48">
        <f t="shared" si="34"/>
        <v>4.834390172002446</v>
      </c>
      <c r="Q93" s="8">
        <f t="shared" si="28"/>
        <v>100</v>
      </c>
      <c r="R93" s="9">
        <f t="shared" si="29"/>
        <v>6.3814048243988264E-3</v>
      </c>
      <c r="S93" s="8">
        <f t="shared" si="35"/>
        <v>1</v>
      </c>
      <c r="T93" s="9">
        <f t="shared" si="36"/>
        <v>6.3811643437081039E-2</v>
      </c>
      <c r="U93" s="9">
        <f t="shared" si="37"/>
        <v>6.3290527456401041E-2</v>
      </c>
      <c r="V93" s="9">
        <f t="shared" si="38"/>
        <v>4.2838877369363981E-2</v>
      </c>
    </row>
    <row r="94" spans="1:22">
      <c r="A94" s="8">
        <f t="shared" si="30"/>
        <v>0.41500000000000026</v>
      </c>
      <c r="B94" s="48">
        <f t="shared" si="31"/>
        <v>128.47262541469823</v>
      </c>
      <c r="C94" s="48">
        <f t="shared" si="25"/>
        <v>29.939517374466604</v>
      </c>
      <c r="D94" s="45">
        <f t="shared" si="26"/>
        <v>0.86724875666638113</v>
      </c>
      <c r="E94" s="48">
        <f t="shared" si="32"/>
        <v>-81.47820728209615</v>
      </c>
      <c r="F94" s="48">
        <f t="shared" si="33"/>
        <v>84.588931437575056</v>
      </c>
      <c r="G94" s="48">
        <f t="shared" si="27"/>
        <v>3.1107241554789056</v>
      </c>
      <c r="I94" s="45"/>
      <c r="J94" s="48">
        <f t="shared" si="34"/>
        <v>0.55733112211707303</v>
      </c>
      <c r="Q94" s="8">
        <f t="shared" si="28"/>
        <v>100</v>
      </c>
      <c r="R94" s="9">
        <f t="shared" si="29"/>
        <v>6.2405982582995631E-3</v>
      </c>
      <c r="S94" s="8">
        <f t="shared" si="35"/>
        <v>-1</v>
      </c>
      <c r="T94" s="9">
        <f t="shared" si="36"/>
        <v>-3.0492601089512197E-2</v>
      </c>
      <c r="U94" s="9">
        <f t="shared" si="37"/>
        <v>-3.024055991825466E-2</v>
      </c>
      <c r="V94" s="9">
        <f t="shared" si="38"/>
        <v>4.5193543244660466E-3</v>
      </c>
    </row>
    <row r="95" spans="1:22">
      <c r="A95" s="8">
        <f t="shared" si="30"/>
        <v>0.42000000000000026</v>
      </c>
      <c r="B95" s="48">
        <f t="shared" si="31"/>
        <v>127.67426370828986</v>
      </c>
      <c r="C95" s="48">
        <f t="shared" si="25"/>
        <v>29.155240265553459</v>
      </c>
      <c r="D95" s="45">
        <f t="shared" si="26"/>
        <v>0.8628817966939647</v>
      </c>
      <c r="E95" s="48">
        <f t="shared" si="32"/>
        <v>-81.012557794634745</v>
      </c>
      <c r="F95" s="48">
        <f t="shared" si="33"/>
        <v>84.039842354555731</v>
      </c>
      <c r="G95" s="48">
        <f t="shared" si="27"/>
        <v>3.0272845599209859</v>
      </c>
      <c r="I95" s="45"/>
      <c r="J95" s="48">
        <f t="shared" si="34"/>
        <v>-0.55754839912184129</v>
      </c>
      <c r="Q95" s="8">
        <f t="shared" si="28"/>
        <v>100</v>
      </c>
      <c r="R95" s="9">
        <f t="shared" si="29"/>
        <v>6.4482166737304036E-3</v>
      </c>
      <c r="S95" s="8">
        <f t="shared" si="35"/>
        <v>-1</v>
      </c>
      <c r="T95" s="9">
        <f t="shared" si="36"/>
        <v>-3.0160583063037531E-2</v>
      </c>
      <c r="U95" s="9">
        <f t="shared" si="37"/>
        <v>-2.9908295257541649E-2</v>
      </c>
      <c r="V95" s="9">
        <f t="shared" si="38"/>
        <v>-6.2142554013458586E-3</v>
      </c>
    </row>
    <row r="96" spans="1:22">
      <c r="A96" s="8">
        <f t="shared" si="30"/>
        <v>0.42500000000000027</v>
      </c>
      <c r="B96" s="48">
        <f t="shared" si="31"/>
        <v>129.06795009890121</v>
      </c>
      <c r="C96" s="48">
        <f t="shared" si="25"/>
        <v>30.482158827933233</v>
      </c>
      <c r="D96" s="45">
        <f t="shared" si="26"/>
        <v>0.87233083602707473</v>
      </c>
      <c r="E96" s="48">
        <f t="shared" si="32"/>
        <v>-82.107793986142013</v>
      </c>
      <c r="F96" s="48">
        <f t="shared" si="33"/>
        <v>85.267814896132819</v>
      </c>
      <c r="G96" s="48">
        <f t="shared" si="27"/>
        <v>3.1600209099908056</v>
      </c>
      <c r="I96" s="45"/>
      <c r="J96" s="48">
        <f t="shared" si="34"/>
        <v>1.2195681371284004</v>
      </c>
      <c r="Q96" s="8">
        <f t="shared" si="28"/>
        <v>100</v>
      </c>
      <c r="R96" s="9">
        <f t="shared" si="29"/>
        <v>6.0986265787661594E-3</v>
      </c>
      <c r="S96" s="8">
        <f t="shared" si="35"/>
        <v>-1</v>
      </c>
      <c r="T96" s="9">
        <f t="shared" si="36"/>
        <v>-2.5060337520007359E-2</v>
      </c>
      <c r="U96" s="9">
        <f t="shared" si="37"/>
        <v>-2.4848227396191677E-2</v>
      </c>
      <c r="V96" s="9">
        <f t="shared" si="38"/>
        <v>1.0915954007736787E-2</v>
      </c>
    </row>
    <row r="97" spans="1:22">
      <c r="A97" s="8">
        <f t="shared" si="30"/>
        <v>0.43000000000000027</v>
      </c>
      <c r="B97" s="48">
        <f t="shared" si="31"/>
        <v>132.93077837869072</v>
      </c>
      <c r="C97" s="48">
        <f t="shared" si="25"/>
        <v>34.227141166904985</v>
      </c>
      <c r="D97" s="45">
        <f t="shared" si="26"/>
        <v>0.89480949851929259</v>
      </c>
      <c r="E97" s="48">
        <f t="shared" si="32"/>
        <v>-84.720581971910477</v>
      </c>
      <c r="F97" s="48">
        <f t="shared" si="33"/>
        <v>88.264448205978127</v>
      </c>
      <c r="G97" s="48">
        <f t="shared" si="27"/>
        <v>3.5438662340676501</v>
      </c>
      <c r="I97" s="45"/>
      <c r="J97" s="48">
        <f t="shared" si="34"/>
        <v>2.9881061020024</v>
      </c>
      <c r="Q97" s="8">
        <f t="shared" si="28"/>
        <v>100</v>
      </c>
      <c r="R97" s="9">
        <f t="shared" si="29"/>
        <v>5.1834356826921711E-3</v>
      </c>
      <c r="S97" s="8">
        <f t="shared" si="35"/>
        <v>1</v>
      </c>
      <c r="T97" s="9">
        <f t="shared" si="36"/>
        <v>1.2970840956466136E-2</v>
      </c>
      <c r="U97" s="9">
        <f t="shared" si="37"/>
        <v>1.2859770013860133E-2</v>
      </c>
      <c r="V97" s="9">
        <f t="shared" si="38"/>
        <v>2.992864050935598E-2</v>
      </c>
    </row>
    <row r="98" spans="1:22">
      <c r="A98" s="8">
        <f t="shared" si="30"/>
        <v>0.43500000000000028</v>
      </c>
      <c r="B98" s="48">
        <f t="shared" si="31"/>
        <v>134.29737045518601</v>
      </c>
      <c r="C98" s="48">
        <f t="shared" si="25"/>
        <v>35.553945620813266</v>
      </c>
      <c r="D98" s="45">
        <f t="shared" si="26"/>
        <v>0.90240569915711188</v>
      </c>
      <c r="E98" s="48">
        <f t="shared" si="32"/>
        <v>-85.636766859760527</v>
      </c>
      <c r="F98" s="48">
        <f t="shared" si="33"/>
        <v>89.293424863244809</v>
      </c>
      <c r="G98" s="48">
        <f t="shared" si="27"/>
        <v>3.6566580034842815</v>
      </c>
      <c r="I98" s="45"/>
      <c r="J98" s="48">
        <f t="shared" si="34"/>
        <v>1.0201497711091381</v>
      </c>
      <c r="Q98" s="8">
        <f t="shared" si="28"/>
        <v>100</v>
      </c>
      <c r="R98" s="9">
        <f t="shared" si="29"/>
        <v>4.879485637308399E-3</v>
      </c>
      <c r="S98" s="8">
        <f t="shared" si="35"/>
        <v>-1</v>
      </c>
      <c r="T98" s="9">
        <f t="shared" si="36"/>
        <v>-2.2301072168339639E-2</v>
      </c>
      <c r="U98" s="9">
        <f t="shared" si="37"/>
        <v>-2.2107894382311654E-2</v>
      </c>
      <c r="V98" s="9">
        <f t="shared" si="38"/>
        <v>1.0280479006917212E-2</v>
      </c>
    </row>
    <row r="99" spans="1:22">
      <c r="A99" s="8">
        <f t="shared" si="30"/>
        <v>0.44000000000000028</v>
      </c>
      <c r="B99" s="48">
        <f t="shared" si="31"/>
        <v>135.73999369745493</v>
      </c>
      <c r="C99" s="48">
        <f t="shared" si="25"/>
        <v>36.960652426030421</v>
      </c>
      <c r="D99" s="45">
        <f t="shared" si="26"/>
        <v>0.90994154398052896</v>
      </c>
      <c r="E99" s="48">
        <f t="shared" si="32"/>
        <v>-86.554807018938988</v>
      </c>
      <c r="F99" s="48">
        <f t="shared" si="33"/>
        <v>90.325270181048765</v>
      </c>
      <c r="G99" s="48">
        <f t="shared" si="27"/>
        <v>3.7704631621097775</v>
      </c>
      <c r="I99" s="45"/>
      <c r="J99" s="48">
        <f t="shared" si="34"/>
        <v>1.0229155288356315</v>
      </c>
      <c r="Q99" s="8">
        <f t="shared" si="28"/>
        <v>100</v>
      </c>
      <c r="R99" s="9">
        <f t="shared" si="29"/>
        <v>4.5698335935411803E-3</v>
      </c>
      <c r="S99" s="8">
        <f t="shared" si="35"/>
        <v>-1</v>
      </c>
      <c r="T99" s="9">
        <f t="shared" si="36"/>
        <v>-2.0928491318258607E-2</v>
      </c>
      <c r="U99" s="9">
        <f t="shared" si="37"/>
        <v>-2.074512857403191E-2</v>
      </c>
      <c r="V99" s="9">
        <f t="shared" si="38"/>
        <v>1.0742006618441682E-2</v>
      </c>
    </row>
    <row r="100" spans="1:22">
      <c r="A100" s="8">
        <f t="shared" si="30"/>
        <v>0.44500000000000028</v>
      </c>
      <c r="B100" s="48">
        <f t="shared" si="31"/>
        <v>134.58075684382158</v>
      </c>
      <c r="C100" s="48">
        <f t="shared" si="25"/>
        <v>35.805829425696828</v>
      </c>
      <c r="D100" s="45">
        <f t="shared" si="26"/>
        <v>0.90523450423316643</v>
      </c>
      <c r="E100" s="48">
        <f t="shared" si="32"/>
        <v>-86.021315275144318</v>
      </c>
      <c r="F100" s="48">
        <f t="shared" si="33"/>
        <v>89.70082618801429</v>
      </c>
      <c r="G100" s="48">
        <f t="shared" si="27"/>
        <v>3.6795109128699721</v>
      </c>
      <c r="I100" s="45"/>
      <c r="J100" s="48">
        <f t="shared" si="34"/>
        <v>-0.63347697169399986</v>
      </c>
      <c r="Q100" s="8">
        <f t="shared" si="28"/>
        <v>100</v>
      </c>
      <c r="R100" s="9">
        <f t="shared" si="29"/>
        <v>4.8077910199048829E-3</v>
      </c>
      <c r="S100" s="8">
        <f t="shared" si="35"/>
        <v>-1</v>
      </c>
      <c r="T100" s="9">
        <f t="shared" si="36"/>
        <v>-2.3492339756568552E-2</v>
      </c>
      <c r="U100" s="9">
        <f t="shared" si="37"/>
        <v>-2.32841855927532E-2</v>
      </c>
      <c r="V100" s="9">
        <f t="shared" si="38"/>
        <v>-8.5401275044783998E-3</v>
      </c>
    </row>
    <row r="101" spans="1:22">
      <c r="A101" s="8">
        <f t="shared" si="30"/>
        <v>0.45000000000000029</v>
      </c>
      <c r="B101" s="48">
        <f t="shared" si="31"/>
        <v>134.16559907909965</v>
      </c>
      <c r="C101" s="48">
        <f t="shared" si="25"/>
        <v>35.384112830115825</v>
      </c>
      <c r="D101" s="45">
        <f t="shared" si="26"/>
        <v>0.90395987621798901</v>
      </c>
      <c r="E101" s="48">
        <f t="shared" si="32"/>
        <v>-85.896205506139438</v>
      </c>
      <c r="F101" s="48">
        <f t="shared" si="33"/>
        <v>89.538785487892895</v>
      </c>
      <c r="G101" s="48">
        <f t="shared" si="27"/>
        <v>3.6425799817534568</v>
      </c>
      <c r="I101" s="45"/>
      <c r="J101" s="48">
        <f t="shared" si="34"/>
        <v>-0.17101123125928158</v>
      </c>
      <c r="Q101" s="8">
        <f t="shared" si="28"/>
        <v>100</v>
      </c>
      <c r="R101" s="9">
        <f t="shared" si="29"/>
        <v>4.89242123389029E-3</v>
      </c>
      <c r="S101" s="8">
        <f t="shared" si="35"/>
        <v>-1</v>
      </c>
      <c r="T101" s="9">
        <f t="shared" si="36"/>
        <v>-2.6551061549026176E-2</v>
      </c>
      <c r="U101" s="9">
        <f t="shared" si="37"/>
        <v>-2.6313174094369049E-2</v>
      </c>
      <c r="V101" s="9">
        <f t="shared" si="38"/>
        <v>-3.0848226333257162E-3</v>
      </c>
    </row>
    <row r="102" spans="1:22">
      <c r="A102" s="8">
        <f t="shared" si="30"/>
        <v>0.45500000000000029</v>
      </c>
      <c r="B102" s="48">
        <f t="shared" si="31"/>
        <v>135.37452868637467</v>
      </c>
      <c r="C102" s="48">
        <f t="shared" si="25"/>
        <v>36.561456700587257</v>
      </c>
      <c r="D102" s="45">
        <f t="shared" si="26"/>
        <v>0.91045542054764794</v>
      </c>
      <c r="E102" s="48">
        <f t="shared" si="32"/>
        <v>-86.69101674600563</v>
      </c>
      <c r="F102" s="48">
        <f t="shared" si="33"/>
        <v>90.427071066339565</v>
      </c>
      <c r="G102" s="48">
        <f t="shared" si="27"/>
        <v>3.7360543203339347</v>
      </c>
      <c r="I102" s="45"/>
      <c r="J102" s="48">
        <f t="shared" si="34"/>
        <v>0.8793312521890313</v>
      </c>
      <c r="Q102" s="8">
        <f t="shared" si="28"/>
        <v>100</v>
      </c>
      <c r="R102" s="9">
        <f t="shared" si="29"/>
        <v>4.6250847731931976E-3</v>
      </c>
      <c r="S102" s="8">
        <f t="shared" si="35"/>
        <v>-1</v>
      </c>
      <c r="T102" s="9">
        <f t="shared" si="36"/>
        <v>-2.2516920165801063E-2</v>
      </c>
      <c r="U102" s="9">
        <f t="shared" si="37"/>
        <v>-2.2312945683777442E-2</v>
      </c>
      <c r="V102" s="9">
        <f t="shared" si="38"/>
        <v>9.0107271578780714E-3</v>
      </c>
    </row>
    <row r="103" spans="1:22">
      <c r="A103" s="8">
        <f t="shared" si="30"/>
        <v>0.4600000000000003</v>
      </c>
      <c r="B103" s="48">
        <f t="shared" si="31"/>
        <v>134.87208658847959</v>
      </c>
      <c r="C103" s="48">
        <f t="shared" si="25"/>
        <v>36.053157488735351</v>
      </c>
      <c r="D103" s="45">
        <f t="shared" si="26"/>
        <v>0.90885442755846302</v>
      </c>
      <c r="E103" s="48">
        <f t="shared" si="32"/>
        <v>-86.525935561252723</v>
      </c>
      <c r="F103" s="48">
        <f t="shared" si="33"/>
        <v>90.220184960531725</v>
      </c>
      <c r="G103" s="48">
        <f t="shared" si="27"/>
        <v>3.694249399279002</v>
      </c>
      <c r="I103" s="45"/>
      <c r="J103" s="48">
        <f t="shared" si="34"/>
        <v>-0.21592926506489782</v>
      </c>
      <c r="Q103" s="8">
        <f t="shared" si="28"/>
        <v>100</v>
      </c>
      <c r="R103" s="9">
        <f t="shared" si="29"/>
        <v>4.7255398949875779E-3</v>
      </c>
      <c r="S103" s="8">
        <f t="shared" si="35"/>
        <v>-1</v>
      </c>
      <c r="T103" s="9">
        <f t="shared" si="36"/>
        <v>-2.5733143035139353E-2</v>
      </c>
      <c r="U103" s="9">
        <f t="shared" si="37"/>
        <v>-2.5497483813814861E-2</v>
      </c>
      <c r="V103" s="9">
        <f t="shared" si="38"/>
        <v>-3.7114965626887141E-3</v>
      </c>
    </row>
    <row r="104" spans="1:22">
      <c r="A104" s="8">
        <f t="shared" si="30"/>
        <v>0.4650000000000003</v>
      </c>
      <c r="B104" s="48">
        <f t="shared" si="31"/>
        <v>133.55219799867538</v>
      </c>
      <c r="C104" s="48">
        <f t="shared" si="25"/>
        <v>34.740668547532849</v>
      </c>
      <c r="D104" s="45">
        <f t="shared" si="26"/>
        <v>0.90319084978428865</v>
      </c>
      <c r="E104" s="48">
        <f t="shared" si="32"/>
        <v>-85.882454653450338</v>
      </c>
      <c r="F104" s="48">
        <f t="shared" si="33"/>
        <v>89.472824169866314</v>
      </c>
      <c r="G104" s="48">
        <f t="shared" si="27"/>
        <v>3.5903695164159757</v>
      </c>
      <c r="I104" s="45"/>
      <c r="J104" s="48">
        <f t="shared" si="34"/>
        <v>-0.75638326027743219</v>
      </c>
      <c r="Q104" s="8">
        <f t="shared" si="28"/>
        <v>100</v>
      </c>
      <c r="R104" s="9">
        <f t="shared" si="29"/>
        <v>5.0126062193989653E-3</v>
      </c>
      <c r="S104" s="8">
        <f t="shared" si="35"/>
        <v>-1</v>
      </c>
      <c r="T104" s="9">
        <f t="shared" si="36"/>
        <v>-2.3099319234871712E-2</v>
      </c>
      <c r="U104" s="9">
        <f t="shared" si="37"/>
        <v>-2.288549140655095E-2</v>
      </c>
      <c r="V104" s="9">
        <f t="shared" si="38"/>
        <v>-9.7862250313620423E-3</v>
      </c>
    </row>
    <row r="105" spans="1:22">
      <c r="A105" s="8">
        <f t="shared" si="30"/>
        <v>0.47000000000000031</v>
      </c>
      <c r="B105" s="48">
        <f t="shared" si="31"/>
        <v>135.41189027701682</v>
      </c>
      <c r="C105" s="48">
        <f t="shared" si="25"/>
        <v>36.559666470179181</v>
      </c>
      <c r="D105" s="45">
        <f t="shared" si="26"/>
        <v>0.91288625828068926</v>
      </c>
      <c r="E105" s="48">
        <f t="shared" si="32"/>
        <v>-87.055987371521951</v>
      </c>
      <c r="F105" s="48">
        <f t="shared" si="33"/>
        <v>90.794645491167785</v>
      </c>
      <c r="G105" s="48">
        <f t="shared" si="27"/>
        <v>3.7386581196458337</v>
      </c>
      <c r="I105" s="45"/>
      <c r="J105" s="48">
        <f t="shared" si="34"/>
        <v>1.3128735915054552</v>
      </c>
      <c r="Q105" s="8">
        <f t="shared" si="28"/>
        <v>100</v>
      </c>
      <c r="R105" s="9">
        <f t="shared" si="29"/>
        <v>4.5935937514929373E-3</v>
      </c>
      <c r="S105" s="8">
        <f t="shared" si="35"/>
        <v>-1</v>
      </c>
      <c r="T105" s="9">
        <f t="shared" si="36"/>
        <v>-1.7629271041211876E-2</v>
      </c>
      <c r="U105" s="9">
        <f t="shared" si="37"/>
        <v>-1.7464332319911593E-2</v>
      </c>
      <c r="V105" s="9">
        <f t="shared" si="38"/>
        <v>1.3924834680443721E-2</v>
      </c>
    </row>
    <row r="106" spans="1:22">
      <c r="A106" s="8">
        <f t="shared" si="30"/>
        <v>0.47500000000000031</v>
      </c>
      <c r="B106" s="48">
        <f t="shared" si="31"/>
        <v>133.12455403719383</v>
      </c>
      <c r="C106" s="48">
        <f t="shared" si="25"/>
        <v>34.293257393135562</v>
      </c>
      <c r="D106" s="45">
        <f t="shared" si="26"/>
        <v>0.90258473490248736</v>
      </c>
      <c r="E106" s="48">
        <f t="shared" si="32"/>
        <v>-85.862932921536881</v>
      </c>
      <c r="F106" s="48">
        <f t="shared" si="33"/>
        <v>89.432339704078416</v>
      </c>
      <c r="G106" s="48">
        <f t="shared" si="27"/>
        <v>3.5694067825415345</v>
      </c>
      <c r="I106" s="45"/>
      <c r="J106" s="48">
        <f t="shared" si="34"/>
        <v>-1.3713857056268535</v>
      </c>
      <c r="Q106" s="8">
        <f t="shared" si="28"/>
        <v>100</v>
      </c>
      <c r="R106" s="9">
        <f t="shared" si="29"/>
        <v>5.0996820039000594E-3</v>
      </c>
      <c r="S106" s="8">
        <f t="shared" si="35"/>
        <v>-1</v>
      </c>
      <c r="T106" s="9">
        <f t="shared" si="36"/>
        <v>-1.4784403000927725E-2</v>
      </c>
      <c r="U106" s="9">
        <f t="shared" si="37"/>
        <v>-1.4644616210982718E-2</v>
      </c>
      <c r="V106" s="9">
        <f t="shared" si="38"/>
        <v>-1.6891694186852484E-2</v>
      </c>
    </row>
    <row r="107" spans="1:22">
      <c r="A107" s="8">
        <f t="shared" si="30"/>
        <v>0.48000000000000032</v>
      </c>
      <c r="B107" s="48">
        <f t="shared" si="31"/>
        <v>137.57970226207684</v>
      </c>
      <c r="C107" s="48">
        <f t="shared" si="25"/>
        <v>38.678704067825791</v>
      </c>
      <c r="D107" s="45">
        <f t="shared" si="26"/>
        <v>0.9238502013125941</v>
      </c>
      <c r="E107" s="48">
        <f t="shared" si="32"/>
        <v>-88.424331563520653</v>
      </c>
      <c r="F107" s="48">
        <f t="shared" si="33"/>
        <v>92.366979922392119</v>
      </c>
      <c r="G107" s="48">
        <f>F107+E107</f>
        <v>3.942648358871466</v>
      </c>
      <c r="I107" s="45"/>
      <c r="J107" s="48">
        <f t="shared" si="34"/>
        <v>2.9256965371666808</v>
      </c>
      <c r="Q107" s="8">
        <f t="shared" si="28"/>
        <v>100</v>
      </c>
      <c r="R107" s="9">
        <f t="shared" ref="R107:R138" si="39">CallGamma(B107,$E$6,0,PL_r, PL_K, PL_T-A107)</f>
        <v>4.1241719306523055E-3</v>
      </c>
      <c r="S107" s="8">
        <f t="shared" si="35"/>
        <v>1</v>
      </c>
      <c r="T107" s="9">
        <f t="shared" si="36"/>
        <v>1.9807487401974976E-2</v>
      </c>
      <c r="U107" s="9">
        <f t="shared" si="37"/>
        <v>1.9618245338198961E-2</v>
      </c>
      <c r="V107" s="9">
        <f t="shared" si="38"/>
        <v>3.3466014268399159E-2</v>
      </c>
    </row>
    <row r="108" spans="1:22">
      <c r="A108" s="8">
        <f t="shared" ref="A108:A139" si="40">A107+dt</f>
        <v>0.48500000000000032</v>
      </c>
      <c r="B108" s="48">
        <f t="shared" ref="B108:B139" si="41">B107*EXP((PL_r-0.5*Vol_a^2)*dt+Vol_a*SQRT(dt)*NormalRN())</f>
        <v>135.1707244715555</v>
      </c>
      <c r="C108" s="48">
        <f t="shared" si="25"/>
        <v>36.283208760178553</v>
      </c>
      <c r="D108" s="45">
        <f t="shared" si="26"/>
        <v>0.9140997142116295</v>
      </c>
      <c r="E108" s="48">
        <f t="shared" si="32"/>
        <v>-87.27631184904925</v>
      </c>
      <c r="F108" s="48">
        <f t="shared" si="33"/>
        <v>91.058236676846718</v>
      </c>
      <c r="G108" s="48">
        <f>F108+E108</f>
        <v>3.781924827797468</v>
      </c>
      <c r="I108" s="45"/>
      <c r="J108" s="48">
        <f t="shared" si="34"/>
        <v>-1.3179804053879418</v>
      </c>
      <c r="Q108" s="8">
        <f t="shared" si="28"/>
        <v>100</v>
      </c>
      <c r="R108" s="9">
        <f t="shared" si="39"/>
        <v>4.6196242945289448E-3</v>
      </c>
      <c r="S108" s="8">
        <f t="shared" ref="S108:S139" si="42">IF(V108^2 &lt; ($E$6^2*dt), -1, 1)</f>
        <v>-1</v>
      </c>
      <c r="T108" s="9">
        <f t="shared" ref="T108:T139" si="43">0.5*R108*(B108^2)*(V108^2-$E$6^2*dt)</f>
        <v>-1.291031219008767E-2</v>
      </c>
      <c r="U108" s="9">
        <f t="shared" ref="U108:U139" si="44">T108*EXP(-PL_r*A108)</f>
        <v>-1.2785687568418271E-2</v>
      </c>
      <c r="V108" s="9">
        <f t="shared" si="38"/>
        <v>-1.7509688936035418E-2</v>
      </c>
    </row>
    <row r="109" spans="1:22">
      <c r="A109" s="8">
        <f t="shared" si="40"/>
        <v>0.49000000000000032</v>
      </c>
      <c r="B109" s="48">
        <f t="shared" si="41"/>
        <v>133.53465354008489</v>
      </c>
      <c r="C109" s="48">
        <f t="shared" si="25"/>
        <v>34.656600645380124</v>
      </c>
      <c r="D109" s="45">
        <f t="shared" si="26"/>
        <v>0.90704531550371648</v>
      </c>
      <c r="E109" s="48">
        <f t="shared" si="32"/>
        <v>-86.465381305565643</v>
      </c>
      <c r="F109" s="48">
        <f t="shared" si="33"/>
        <v>90.125336268425968</v>
      </c>
      <c r="G109" s="48">
        <f>F109+E109</f>
        <v>3.6599549628603256</v>
      </c>
      <c r="I109" s="45"/>
      <c r="J109" s="48">
        <f t="shared" si="34"/>
        <v>-0.9420066873947881</v>
      </c>
      <c r="Q109" s="8">
        <f t="shared" si="28"/>
        <v>100</v>
      </c>
      <c r="R109" s="9">
        <f t="shared" si="39"/>
        <v>4.9832356918523557E-3</v>
      </c>
      <c r="S109" s="8">
        <f t="shared" si="42"/>
        <v>-1</v>
      </c>
      <c r="T109" s="9">
        <f t="shared" si="43"/>
        <v>-2.0704030235717163E-2</v>
      </c>
      <c r="U109" s="9">
        <f t="shared" si="44"/>
        <v>-2.0502121707135855E-2</v>
      </c>
      <c r="V109" s="9">
        <f t="shared" si="38"/>
        <v>-1.2103737239456E-2</v>
      </c>
    </row>
    <row r="110" spans="1:22">
      <c r="A110" s="8">
        <f t="shared" si="40"/>
        <v>0.49500000000000033</v>
      </c>
      <c r="B110" s="48">
        <f t="shared" si="41"/>
        <v>135.96797600691087</v>
      </c>
      <c r="C110" s="48">
        <f t="shared" si="25"/>
        <v>37.046099006128088</v>
      </c>
      <c r="D110" s="45">
        <f t="shared" si="26"/>
        <v>0.91928543505517712</v>
      </c>
      <c r="E110" s="48">
        <f t="shared" si="32"/>
        <v>-87.947280970956854</v>
      </c>
      <c r="F110" s="48">
        <f t="shared" si="33"/>
        <v>91.798613534189244</v>
      </c>
      <c r="G110" s="48">
        <f>F110+E110</f>
        <v>3.8513325632323898</v>
      </c>
      <c r="I110" s="45"/>
      <c r="J110" s="48">
        <f t="shared" si="34"/>
        <v>1.6642642814947222</v>
      </c>
      <c r="Q110" s="8">
        <f t="shared" si="28"/>
        <v>100</v>
      </c>
      <c r="R110" s="9">
        <f t="shared" si="39"/>
        <v>4.4256789965018964E-3</v>
      </c>
      <c r="S110" s="8">
        <f t="shared" si="42"/>
        <v>-1</v>
      </c>
      <c r="T110" s="9">
        <f t="shared" si="43"/>
        <v>-1.1472796632842589E-2</v>
      </c>
      <c r="U110" s="9">
        <f t="shared" si="44"/>
        <v>-1.1359776319818814E-2</v>
      </c>
      <c r="V110" s="9">
        <f t="shared" si="38"/>
        <v>1.8222404464437701E-2</v>
      </c>
    </row>
    <row r="111" spans="1:22">
      <c r="A111" s="8">
        <f t="shared" si="40"/>
        <v>0.50000000000000033</v>
      </c>
      <c r="B111" s="48">
        <f t="shared" si="41"/>
        <v>133.61816259166616</v>
      </c>
      <c r="C111" s="48">
        <f t="shared" si="25"/>
        <v>34.712517340432285</v>
      </c>
      <c r="D111" s="45">
        <f t="shared" si="26"/>
        <v>0.90909176027359251</v>
      </c>
      <c r="E111" s="48">
        <f t="shared" si="32"/>
        <v>-86.758653294548594</v>
      </c>
      <c r="F111" s="48">
        <f t="shared" si="33"/>
        <v>90.445733760178697</v>
      </c>
      <c r="G111" s="48">
        <f>F111+E111</f>
        <v>3.6870804656301033</v>
      </c>
      <c r="I111" s="45"/>
      <c r="J111" s="48">
        <f t="shared" si="34"/>
        <v>-1.3620600943723402</v>
      </c>
      <c r="Q111" s="8">
        <f t="shared" si="28"/>
        <v>100</v>
      </c>
      <c r="R111" s="9">
        <f t="shared" si="39"/>
        <v>4.9474337997548112E-3</v>
      </c>
      <c r="S111" s="8">
        <f t="shared" si="42"/>
        <v>-1</v>
      </c>
      <c r="T111" s="9">
        <f t="shared" si="43"/>
        <v>-1.3860332368324098E-2</v>
      </c>
      <c r="U111" s="9">
        <f t="shared" si="44"/>
        <v>-1.3722419756967485E-2</v>
      </c>
      <c r="V111" s="9">
        <f t="shared" si="38"/>
        <v>-1.7282109245527612E-2</v>
      </c>
    </row>
    <row r="112" spans="1:22">
      <c r="A112" s="8">
        <f t="shared" si="40"/>
        <v>0.50500000000000034</v>
      </c>
      <c r="B112" s="48">
        <f t="shared" si="41"/>
        <v>125.65533841813092</v>
      </c>
      <c r="C112" s="48">
        <f t="shared" si="25"/>
        <v>26.931651634639678</v>
      </c>
      <c r="D112" s="45">
        <f t="shared" si="26"/>
        <v>0.862306352771948</v>
      </c>
      <c r="E112" s="48">
        <f t="shared" si="32"/>
        <v>-81.42174494302364</v>
      </c>
      <c r="F112" s="48">
        <f t="shared" si="33"/>
        <v>84.575942573149163</v>
      </c>
      <c r="G112" s="48">
        <f t="shared" ref="G112:G175" si="45">F112+E112</f>
        <v>3.1541976301255232</v>
      </c>
      <c r="J112" s="48">
        <f t="shared" si="34"/>
        <v>-5.8788362126493015</v>
      </c>
      <c r="Q112" s="8">
        <f t="shared" si="28"/>
        <v>100</v>
      </c>
      <c r="R112" s="9">
        <f t="shared" si="39"/>
        <v>7.1123861808850214E-3</v>
      </c>
      <c r="S112" s="8">
        <f t="shared" si="42"/>
        <v>1</v>
      </c>
      <c r="T112" s="9">
        <f t="shared" si="43"/>
        <v>0.16501995615715517</v>
      </c>
      <c r="U112" s="9">
        <f t="shared" si="44"/>
        <v>0.16336164317753329</v>
      </c>
      <c r="V112" s="9">
        <f t="shared" si="38"/>
        <v>-5.9593875705875668E-2</v>
      </c>
    </row>
    <row r="113" spans="1:22">
      <c r="A113" s="8">
        <f t="shared" si="40"/>
        <v>0.51000000000000034</v>
      </c>
      <c r="B113" s="48">
        <f t="shared" si="41"/>
        <v>120.99660645053933</v>
      </c>
      <c r="C113" s="48">
        <f t="shared" si="25"/>
        <v>22.495115596614554</v>
      </c>
      <c r="D113" s="45">
        <f t="shared" si="26"/>
        <v>0.8265009351014343</v>
      </c>
      <c r="E113" s="48">
        <f t="shared" si="32"/>
        <v>-77.508692778856442</v>
      </c>
      <c r="F113" s="48">
        <f t="shared" si="33"/>
        <v>80.252066559623955</v>
      </c>
      <c r="G113" s="48">
        <f t="shared" si="45"/>
        <v>2.7433737807675129</v>
      </c>
      <c r="J113" s="48">
        <f t="shared" si="34"/>
        <v>-4.3323340306763338</v>
      </c>
      <c r="Q113" s="8">
        <f t="shared" si="28"/>
        <v>100</v>
      </c>
      <c r="R113" s="9">
        <f t="shared" si="39"/>
        <v>8.6481817009913427E-3</v>
      </c>
      <c r="S113" s="8">
        <f t="shared" si="42"/>
        <v>1</v>
      </c>
      <c r="T113" s="9">
        <f t="shared" si="43"/>
        <v>4.8244536712782893E-2</v>
      </c>
      <c r="U113" s="9">
        <f t="shared" si="44"/>
        <v>4.7754943607912208E-2</v>
      </c>
      <c r="V113" s="9">
        <f t="shared" si="38"/>
        <v>-3.7075479850200932E-2</v>
      </c>
    </row>
    <row r="114" spans="1:22">
      <c r="A114" s="8">
        <f t="shared" si="40"/>
        <v>0.51500000000000035</v>
      </c>
      <c r="B114" s="48">
        <f t="shared" si="41"/>
        <v>123.28628869174122</v>
      </c>
      <c r="C114" s="48">
        <f t="shared" si="25"/>
        <v>24.632382178909666</v>
      </c>
      <c r="D114" s="45">
        <f t="shared" si="26"/>
        <v>0.84625590566275921</v>
      </c>
      <c r="E114" s="48">
        <f t="shared" si="32"/>
        <v>-79.699367713720193</v>
      </c>
      <c r="F114" s="48">
        <f t="shared" si="33"/>
        <v>82.695609171273972</v>
      </c>
      <c r="G114" s="48">
        <f t="shared" si="45"/>
        <v>2.9962414575537792</v>
      </c>
      <c r="J114" s="48">
        <f t="shared" si="34"/>
        <v>2.4355170037203524</v>
      </c>
      <c r="Q114" s="8">
        <f t="shared" si="28"/>
        <v>100</v>
      </c>
      <c r="R114" s="9">
        <f t="shared" si="39"/>
        <v>7.8869996684279332E-3</v>
      </c>
      <c r="S114" s="8">
        <f t="shared" si="42"/>
        <v>-1</v>
      </c>
      <c r="T114" s="9">
        <f t="shared" si="43"/>
        <v>-1.5248561351482271E-2</v>
      </c>
      <c r="U114" s="9">
        <f t="shared" si="44"/>
        <v>-1.5092307259549399E-2</v>
      </c>
      <c r="V114" s="9">
        <f t="shared" si="38"/>
        <v>1.8923524455521468E-2</v>
      </c>
    </row>
    <row r="115" spans="1:22">
      <c r="A115" s="8">
        <f t="shared" si="40"/>
        <v>0.52000000000000035</v>
      </c>
      <c r="B115" s="48">
        <f t="shared" si="41"/>
        <v>122.41557736579263</v>
      </c>
      <c r="C115" s="48">
        <f t="shared" si="25"/>
        <v>23.788756968962886</v>
      </c>
      <c r="D115" s="45">
        <f t="shared" si="26"/>
        <v>0.84010855982547195</v>
      </c>
      <c r="E115" s="48">
        <f t="shared" si="32"/>
        <v>-79.053617432016793</v>
      </c>
      <c r="F115" s="48">
        <f t="shared" si="33"/>
        <v>81.951348255744207</v>
      </c>
      <c r="G115" s="48">
        <f t="shared" si="45"/>
        <v>2.8977308237274144</v>
      </c>
      <c r="J115" s="48">
        <f t="shared" si="34"/>
        <v>-0.75253088993872252</v>
      </c>
      <c r="Q115" s="8">
        <f t="shared" si="28"/>
        <v>100</v>
      </c>
      <c r="R115" s="9">
        <f t="shared" si="39"/>
        <v>8.1930372355704974E-3</v>
      </c>
      <c r="S115" s="8">
        <f t="shared" si="42"/>
        <v>-1</v>
      </c>
      <c r="T115" s="9">
        <f t="shared" si="43"/>
        <v>-3.453855349891484E-2</v>
      </c>
      <c r="U115" s="9">
        <f t="shared" si="44"/>
        <v>-3.418121392910399E-2</v>
      </c>
      <c r="V115" s="9">
        <f t="shared" si="38"/>
        <v>-7.062515509130729E-3</v>
      </c>
    </row>
    <row r="116" spans="1:22">
      <c r="A116" s="8">
        <f t="shared" si="40"/>
        <v>0.52500000000000036</v>
      </c>
      <c r="B116" s="48">
        <f t="shared" si="41"/>
        <v>126.94012340199144</v>
      </c>
      <c r="C116" s="48">
        <f t="shared" si="25"/>
        <v>28.106153263648523</v>
      </c>
      <c r="D116" s="45">
        <f t="shared" si="26"/>
        <v>0.87470170649429979</v>
      </c>
      <c r="E116" s="48">
        <f t="shared" si="32"/>
        <v>-82.928589298670389</v>
      </c>
      <c r="F116" s="48">
        <f t="shared" si="33"/>
        <v>86.350802107344379</v>
      </c>
      <c r="G116" s="48">
        <f t="shared" si="45"/>
        <v>3.42221280867399</v>
      </c>
      <c r="J116" s="48">
        <f t="shared" si="34"/>
        <v>4.3912583070041959</v>
      </c>
      <c r="Q116" s="8">
        <f t="shared" si="28"/>
        <v>100</v>
      </c>
      <c r="R116" s="9">
        <f t="shared" si="39"/>
        <v>6.7339099524201694E-3</v>
      </c>
      <c r="S116" s="8">
        <f t="shared" si="42"/>
        <v>1</v>
      </c>
      <c r="T116" s="9">
        <f t="shared" si="43"/>
        <v>4.0885135958559561E-2</v>
      </c>
      <c r="U116" s="9">
        <f t="shared" si="44"/>
        <v>4.0458087956501798E-2</v>
      </c>
      <c r="V116" s="9">
        <f t="shared" si="38"/>
        <v>3.6960541571265229E-2</v>
      </c>
    </row>
    <row r="117" spans="1:22">
      <c r="A117" s="8">
        <f t="shared" si="40"/>
        <v>0.53000000000000036</v>
      </c>
      <c r="B117" s="48">
        <f t="shared" si="41"/>
        <v>123.69552904880162</v>
      </c>
      <c r="C117" s="48">
        <f t="shared" si="25"/>
        <v>24.967418572005514</v>
      </c>
      <c r="D117" s="45">
        <f t="shared" si="26"/>
        <v>0.85207985173509193</v>
      </c>
      <c r="E117" s="48">
        <f t="shared" si="32"/>
        <v>-80.43104948019112</v>
      </c>
      <c r="F117" s="48">
        <f t="shared" si="33"/>
        <v>83.561215326818143</v>
      </c>
      <c r="G117" s="48">
        <f t="shared" si="45"/>
        <v>3.1301658466270226</v>
      </c>
      <c r="J117" s="48">
        <f t="shared" si="34"/>
        <v>-2.798222292505367</v>
      </c>
      <c r="Q117" s="8">
        <f t="shared" si="28"/>
        <v>100</v>
      </c>
      <c r="R117" s="9">
        <f t="shared" si="39"/>
        <v>7.7826837578132951E-3</v>
      </c>
      <c r="S117" s="8">
        <f t="shared" si="42"/>
        <v>1</v>
      </c>
      <c r="T117" s="9">
        <f t="shared" si="43"/>
        <v>2.4301487685029575E-3</v>
      </c>
      <c r="U117" s="9">
        <f t="shared" si="44"/>
        <v>2.4045252361992605E-3</v>
      </c>
      <c r="V117" s="9">
        <f t="shared" si="38"/>
        <v>-2.5560037805500698E-2</v>
      </c>
    </row>
    <row r="118" spans="1:22">
      <c r="A118" s="8">
        <f t="shared" si="40"/>
        <v>0.53500000000000036</v>
      </c>
      <c r="B118" s="48">
        <f t="shared" si="41"/>
        <v>123.42009766558606</v>
      </c>
      <c r="C118" s="48">
        <f t="shared" si="25"/>
        <v>24.686651809101875</v>
      </c>
      <c r="D118" s="45">
        <f t="shared" si="26"/>
        <v>0.85082041253161944</v>
      </c>
      <c r="E118" s="48">
        <f t="shared" si="32"/>
        <v>-80.321686601424815</v>
      </c>
      <c r="F118" s="48">
        <f t="shared" si="33"/>
        <v>83.414131756674394</v>
      </c>
      <c r="G118" s="48">
        <f t="shared" si="45"/>
        <v>3.0924451552495782</v>
      </c>
      <c r="J118" s="48">
        <f t="shared" si="34"/>
        <v>-0.15544010949644263</v>
      </c>
      <c r="Q118" s="8">
        <f t="shared" si="28"/>
        <v>100</v>
      </c>
      <c r="R118" s="9">
        <f t="shared" si="39"/>
        <v>7.8864563077665015E-3</v>
      </c>
      <c r="S118" s="8">
        <f t="shared" si="42"/>
        <v>-1</v>
      </c>
      <c r="T118" s="9">
        <f t="shared" si="43"/>
        <v>-3.6492186305706081E-2</v>
      </c>
      <c r="U118" s="9">
        <f t="shared" si="44"/>
        <v>-3.6103801476578712E-2</v>
      </c>
      <c r="V118" s="9">
        <f t="shared" si="38"/>
        <v>-2.2266882670180887E-3</v>
      </c>
    </row>
    <row r="119" spans="1:22">
      <c r="A119" s="8">
        <f t="shared" si="40"/>
        <v>0.54000000000000037</v>
      </c>
      <c r="B119" s="48">
        <f t="shared" si="41"/>
        <v>125.46132038219768</v>
      </c>
      <c r="C119" s="48">
        <f t="shared" si="25"/>
        <v>26.627396416093873</v>
      </c>
      <c r="D119" s="45">
        <f t="shared" si="26"/>
        <v>0.86714271542114063</v>
      </c>
      <c r="E119" s="48">
        <f t="shared" si="32"/>
        <v>-82.165473620446718</v>
      </c>
      <c r="F119" s="48">
        <f t="shared" si="33"/>
        <v>85.470291259132125</v>
      </c>
      <c r="G119" s="48">
        <f t="shared" si="45"/>
        <v>3.3048176386854067</v>
      </c>
      <c r="J119" s="48">
        <f t="shared" si="34"/>
        <v>2.047817672197489</v>
      </c>
      <c r="Q119" s="8">
        <f t="shared" si="28"/>
        <v>100</v>
      </c>
      <c r="R119" s="9">
        <f t="shared" si="39"/>
        <v>7.2104902383930743E-3</v>
      </c>
      <c r="S119" s="8">
        <f t="shared" si="42"/>
        <v>-1</v>
      </c>
      <c r="T119" s="9">
        <f t="shared" si="43"/>
        <v>-1.9235899587565459E-2</v>
      </c>
      <c r="U119" s="9">
        <f t="shared" si="44"/>
        <v>-1.902926968194886E-2</v>
      </c>
      <c r="V119" s="9">
        <f t="shared" si="38"/>
        <v>1.6538819489046588E-2</v>
      </c>
    </row>
    <row r="120" spans="1:22">
      <c r="A120" s="8">
        <f t="shared" si="40"/>
        <v>0.54500000000000037</v>
      </c>
      <c r="B120" s="48">
        <f t="shared" si="41"/>
        <v>122.04511699775659</v>
      </c>
      <c r="C120" s="48">
        <f t="shared" si="25"/>
        <v>23.343189633125547</v>
      </c>
      <c r="D120" s="45">
        <f t="shared" si="26"/>
        <v>0.84144868884558977</v>
      </c>
      <c r="E120" s="48">
        <f t="shared" si="32"/>
        <v>-79.351514044643338</v>
      </c>
      <c r="F120" s="48">
        <f t="shared" si="33"/>
        <v>82.343008236067163</v>
      </c>
      <c r="G120" s="48">
        <f t="shared" si="45"/>
        <v>2.9914941914238256</v>
      </c>
      <c r="J120" s="48">
        <f t="shared" si="34"/>
        <v>-3.1358304795565726</v>
      </c>
      <c r="Q120" s="8">
        <f t="shared" si="28"/>
        <v>100</v>
      </c>
      <c r="R120" s="9">
        <f t="shared" si="39"/>
        <v>8.3942524476347483E-3</v>
      </c>
      <c r="S120" s="8">
        <f t="shared" si="42"/>
        <v>1</v>
      </c>
      <c r="T120" s="9">
        <f t="shared" si="43"/>
        <v>8.0599599381243042E-3</v>
      </c>
      <c r="U120" s="9">
        <f t="shared" si="44"/>
        <v>7.9725834418021193E-3</v>
      </c>
      <c r="V120" s="9">
        <f t="shared" si="38"/>
        <v>-2.7229136231263766E-2</v>
      </c>
    </row>
    <row r="121" spans="1:22">
      <c r="A121" s="8">
        <f t="shared" si="40"/>
        <v>0.55000000000000038</v>
      </c>
      <c r="B121" s="48">
        <f t="shared" si="41"/>
        <v>118.77616976042036</v>
      </c>
      <c r="C121" s="48">
        <f t="shared" si="25"/>
        <v>20.266995229857969</v>
      </c>
      <c r="D121" s="45">
        <f t="shared" si="26"/>
        <v>0.81289243247483967</v>
      </c>
      <c r="E121" s="48">
        <f t="shared" si="32"/>
        <v>-76.285254326734631</v>
      </c>
      <c r="F121" s="48">
        <f t="shared" si="33"/>
        <v>78.959440194205243</v>
      </c>
      <c r="G121" s="48">
        <f t="shared" si="45"/>
        <v>2.6741858674706123</v>
      </c>
      <c r="J121" s="48">
        <f t="shared" si="34"/>
        <v>-3.3918027544142992</v>
      </c>
      <c r="Q121" s="8">
        <f t="shared" si="28"/>
        <v>100</v>
      </c>
      <c r="R121" s="9">
        <f t="shared" si="39"/>
        <v>9.6392392170706522E-3</v>
      </c>
      <c r="S121" s="8">
        <f t="shared" si="42"/>
        <v>1</v>
      </c>
      <c r="T121" s="9">
        <f t="shared" si="43"/>
        <v>7.1341150927818515E-3</v>
      </c>
      <c r="U121" s="9">
        <f t="shared" si="44"/>
        <v>7.056069862482384E-3</v>
      </c>
      <c r="V121" s="9">
        <f t="shared" si="38"/>
        <v>-2.678474418109103E-2</v>
      </c>
    </row>
    <row r="122" spans="1:22">
      <c r="A122" s="8">
        <f t="shared" si="40"/>
        <v>0.55500000000000038</v>
      </c>
      <c r="B122" s="48">
        <f t="shared" si="41"/>
        <v>122.12871027133815</v>
      </c>
      <c r="C122" s="48">
        <f t="shared" si="25"/>
        <v>23.384439413235583</v>
      </c>
      <c r="D122" s="45">
        <f t="shared" si="26"/>
        <v>0.84400629046512987</v>
      </c>
      <c r="E122" s="48">
        <f t="shared" si="32"/>
        <v>-79.692960302167137</v>
      </c>
      <c r="F122" s="48">
        <f t="shared" si="33"/>
        <v>82.767231880954739</v>
      </c>
      <c r="G122" s="48">
        <f t="shared" si="45"/>
        <v>3.0742715787876023</v>
      </c>
      <c r="J122" s="48">
        <f t="shared" si="34"/>
        <v>3.799895347919712</v>
      </c>
      <c r="Q122" s="8">
        <f t="shared" si="28"/>
        <v>100</v>
      </c>
      <c r="R122" s="9">
        <f t="shared" si="39"/>
        <v>8.3920267186180317E-3</v>
      </c>
      <c r="S122" s="8">
        <f t="shared" si="42"/>
        <v>1</v>
      </c>
      <c r="T122" s="9">
        <f t="shared" si="43"/>
        <v>1.1527596227212732E-2</v>
      </c>
      <c r="U122" s="9">
        <f t="shared" si="44"/>
        <v>1.1400347446348642E-2</v>
      </c>
      <c r="V122" s="9">
        <f t="shared" si="38"/>
        <v>2.8225699798874588E-2</v>
      </c>
    </row>
    <row r="123" spans="1:22">
      <c r="A123" s="8">
        <f t="shared" si="40"/>
        <v>0.56000000000000039</v>
      </c>
      <c r="B123" s="48">
        <f t="shared" si="41"/>
        <v>120.16910081245049</v>
      </c>
      <c r="C123" s="48">
        <f t="shared" si="25"/>
        <v>21.518275923972993</v>
      </c>
      <c r="D123" s="45">
        <f t="shared" si="26"/>
        <v>0.82776402775275493</v>
      </c>
      <c r="E123" s="48">
        <f t="shared" si="32"/>
        <v>-77.953382975967884</v>
      </c>
      <c r="F123" s="48">
        <f t="shared" si="33"/>
        <v>80.823690912687098</v>
      </c>
      <c r="G123" s="48">
        <f t="shared" si="45"/>
        <v>2.8703079367192146</v>
      </c>
      <c r="J123" s="48">
        <f t="shared" si="34"/>
        <v>-1.9518181053056902</v>
      </c>
      <c r="Q123" s="8">
        <f t="shared" si="28"/>
        <v>100</v>
      </c>
      <c r="R123" s="9">
        <f t="shared" si="39"/>
        <v>9.1464940789848827E-3</v>
      </c>
      <c r="S123" s="8">
        <f t="shared" si="42"/>
        <v>-1</v>
      </c>
      <c r="T123" s="9">
        <f t="shared" si="43"/>
        <v>-2.3447260238541136E-2</v>
      </c>
      <c r="U123" s="9">
        <f t="shared" si="44"/>
        <v>-2.3186116061084658E-2</v>
      </c>
      <c r="V123" s="9">
        <f t="shared" si="38"/>
        <v>-1.6045444634057906E-2</v>
      </c>
    </row>
    <row r="124" spans="1:22">
      <c r="A124" s="8">
        <f t="shared" si="40"/>
        <v>0.56500000000000039</v>
      </c>
      <c r="B124" s="48">
        <f t="shared" si="41"/>
        <v>122.67432238935038</v>
      </c>
      <c r="C124" s="48">
        <f t="shared" si="25"/>
        <v>23.866169962847636</v>
      </c>
      <c r="D124" s="45">
        <f t="shared" si="26"/>
        <v>0.85045953486710268</v>
      </c>
      <c r="E124" s="48">
        <f t="shared" si="32"/>
        <v>-80.463377196536285</v>
      </c>
      <c r="F124" s="48">
        <f t="shared" si="33"/>
        <v>83.615929642445579</v>
      </c>
      <c r="G124" s="48">
        <f t="shared" si="45"/>
        <v>3.1525524459092935</v>
      </c>
      <c r="J124" s="48">
        <f t="shared" si="34"/>
        <v>2.784155956535292</v>
      </c>
      <c r="Q124" s="8">
        <f t="shared" si="28"/>
        <v>100</v>
      </c>
      <c r="R124" s="9">
        <f t="shared" si="39"/>
        <v>8.2166822643819776E-3</v>
      </c>
      <c r="S124" s="8">
        <f t="shared" si="42"/>
        <v>-1</v>
      </c>
      <c r="T124" s="9">
        <f t="shared" si="43"/>
        <v>-1.0997865140850842E-2</v>
      </c>
      <c r="U124" s="9">
        <f t="shared" si="44"/>
        <v>-1.0874288786116074E-2</v>
      </c>
      <c r="V124" s="9">
        <f t="shared" si="38"/>
        <v>2.0847468774937556E-2</v>
      </c>
    </row>
    <row r="125" spans="1:22">
      <c r="A125" s="8">
        <f t="shared" si="40"/>
        <v>0.5700000000000004</v>
      </c>
      <c r="B125" s="48">
        <f t="shared" si="41"/>
        <v>123.65277280732452</v>
      </c>
      <c r="C125" s="48">
        <f t="shared" si="25"/>
        <v>24.784466342316705</v>
      </c>
      <c r="D125" s="45">
        <f t="shared" si="26"/>
        <v>0.8593202511668977</v>
      </c>
      <c r="E125" s="48">
        <f t="shared" si="32"/>
        <v>-81.472865443956749</v>
      </c>
      <c r="F125" s="48">
        <f t="shared" si="33"/>
        <v>84.719943793032115</v>
      </c>
      <c r="G125" s="48">
        <f t="shared" si="45"/>
        <v>3.2470783490753661</v>
      </c>
      <c r="J125" s="48">
        <f t="shared" si="34"/>
        <v>1.09565213952871</v>
      </c>
      <c r="Q125" s="8">
        <f t="shared" si="28"/>
        <v>100</v>
      </c>
      <c r="R125" s="9">
        <f t="shared" si="39"/>
        <v>7.8686822493361196E-3</v>
      </c>
      <c r="S125" s="8">
        <f t="shared" si="42"/>
        <v>-1</v>
      </c>
      <c r="T125" s="9">
        <f t="shared" si="43"/>
        <v>-3.3018690438041412E-2</v>
      </c>
      <c r="U125" s="9">
        <f t="shared" si="44"/>
        <v>-3.2644414791628759E-2</v>
      </c>
      <c r="V125" s="9">
        <f t="shared" si="38"/>
        <v>7.9760001842006188E-3</v>
      </c>
    </row>
    <row r="126" spans="1:22">
      <c r="A126" s="8">
        <f t="shared" si="40"/>
        <v>0.5750000000000004</v>
      </c>
      <c r="B126" s="48">
        <f t="shared" si="41"/>
        <v>122.49940967283712</v>
      </c>
      <c r="C126" s="48">
        <f t="shared" si="25"/>
        <v>23.662619925071937</v>
      </c>
      <c r="D126" s="45">
        <f t="shared" si="26"/>
        <v>0.85100131180055016</v>
      </c>
      <c r="E126" s="48">
        <f t="shared" si="32"/>
        <v>-80.584538401305451</v>
      </c>
      <c r="F126" s="48">
        <f t="shared" si="33"/>
        <v>83.709351049543557</v>
      </c>
      <c r="G126" s="48">
        <f t="shared" si="45"/>
        <v>3.1248126482381053</v>
      </c>
      <c r="J126" s="48">
        <f t="shared" si="34"/>
        <v>-1.0190651614816986</v>
      </c>
      <c r="Q126" s="8">
        <f t="shared" si="28"/>
        <v>100</v>
      </c>
      <c r="R126" s="9">
        <f t="shared" si="39"/>
        <v>8.3045064369148269E-3</v>
      </c>
      <c r="S126" s="8">
        <f t="shared" si="42"/>
        <v>-1</v>
      </c>
      <c r="T126" s="9">
        <f t="shared" si="43"/>
        <v>-3.2743393561420309E-2</v>
      </c>
      <c r="U126" s="9">
        <f t="shared" si="44"/>
        <v>-3.2369001416402164E-2</v>
      </c>
      <c r="V126" s="9">
        <f t="shared" si="38"/>
        <v>-9.3274344626672837E-3</v>
      </c>
    </row>
    <row r="127" spans="1:22">
      <c r="A127" s="8">
        <f t="shared" si="40"/>
        <v>0.5800000000000004</v>
      </c>
      <c r="B127" s="48">
        <f t="shared" si="41"/>
        <v>125.08217906143084</v>
      </c>
      <c r="C127" s="48">
        <f t="shared" si="25"/>
        <v>26.128868751964987</v>
      </c>
      <c r="D127" s="45">
        <f t="shared" si="26"/>
        <v>0.87225355800937543</v>
      </c>
      <c r="E127" s="48">
        <f t="shared" si="32"/>
        <v>-82.974506977933856</v>
      </c>
      <c r="F127" s="48">
        <f t="shared" si="33"/>
        <v>86.375999668959125</v>
      </c>
      <c r="G127" s="48">
        <f t="shared" si="45"/>
        <v>3.4014926910252683</v>
      </c>
      <c r="J127" s="48">
        <f t="shared" si="34"/>
        <v>2.6582772657498963</v>
      </c>
      <c r="Q127" s="8">
        <f t="shared" si="28"/>
        <v>100</v>
      </c>
      <c r="R127" s="9">
        <f t="shared" si="39"/>
        <v>7.3662586540864123E-3</v>
      </c>
      <c r="S127" s="8">
        <f t="shared" si="42"/>
        <v>-1</v>
      </c>
      <c r="T127" s="9">
        <f t="shared" si="43"/>
        <v>-9.6790729320037523E-3</v>
      </c>
      <c r="U127" s="9">
        <f t="shared" si="44"/>
        <v>-9.5674443833003078E-3</v>
      </c>
      <c r="V127" s="9">
        <f t="shared" si="38"/>
        <v>2.1083933347038963E-2</v>
      </c>
    </row>
    <row r="128" spans="1:22">
      <c r="A128" s="8">
        <f t="shared" si="40"/>
        <v>0.58500000000000041</v>
      </c>
      <c r="B128" s="48">
        <f t="shared" si="41"/>
        <v>128.62036697633872</v>
      </c>
      <c r="C128" s="48">
        <f t="shared" si="25"/>
        <v>29.564475134060444</v>
      </c>
      <c r="D128" s="45">
        <f t="shared" si="26"/>
        <v>0.89721681742991899</v>
      </c>
      <c r="E128" s="48">
        <f t="shared" si="32"/>
        <v>-85.835881181118424</v>
      </c>
      <c r="F128" s="48">
        <f t="shared" si="33"/>
        <v>89.595421288416276</v>
      </c>
      <c r="G128" s="48">
        <f t="shared" si="45"/>
        <v>3.7595401072978518</v>
      </c>
      <c r="J128" s="48">
        <f t="shared" si="34"/>
        <v>3.210783587595857</v>
      </c>
      <c r="Q128" s="8">
        <f t="shared" si="28"/>
        <v>100</v>
      </c>
      <c r="R128" s="9">
        <f t="shared" si="39"/>
        <v>6.1738461107519816E-3</v>
      </c>
      <c r="S128" s="8">
        <f t="shared" si="42"/>
        <v>1</v>
      </c>
      <c r="T128" s="9">
        <f t="shared" si="43"/>
        <v>9.5827849604207399E-3</v>
      </c>
      <c r="U128" s="9">
        <f t="shared" si="44"/>
        <v>9.4713197195795719E-3</v>
      </c>
      <c r="V128" s="9">
        <f t="shared" si="38"/>
        <v>2.828690658778971E-2</v>
      </c>
    </row>
    <row r="129" spans="1:22">
      <c r="A129" s="8">
        <f t="shared" si="40"/>
        <v>0.59000000000000041</v>
      </c>
      <c r="B129" s="48">
        <f t="shared" si="41"/>
        <v>129.73551389038863</v>
      </c>
      <c r="C129" s="48">
        <f t="shared" si="25"/>
        <v>30.646791777532485</v>
      </c>
      <c r="D129" s="45">
        <f t="shared" si="26"/>
        <v>0.90494498349774277</v>
      </c>
      <c r="E129" s="48">
        <f t="shared" si="32"/>
        <v>-86.756710699076436</v>
      </c>
      <c r="F129" s="48">
        <f t="shared" si="33"/>
        <v>90.606998874776551</v>
      </c>
      <c r="G129" s="48">
        <f t="shared" si="45"/>
        <v>3.8502881757001148</v>
      </c>
      <c r="J129" s="48">
        <f t="shared" si="34"/>
        <v>1.0026175962393824</v>
      </c>
      <c r="Q129" s="8">
        <f t="shared" si="28"/>
        <v>100</v>
      </c>
      <c r="R129" s="9">
        <f t="shared" si="39"/>
        <v>5.8156770920914517E-3</v>
      </c>
      <c r="S129" s="8">
        <f t="shared" si="42"/>
        <v>-1</v>
      </c>
      <c r="T129" s="9">
        <f t="shared" si="43"/>
        <v>-2.6298386987230252E-2</v>
      </c>
      <c r="U129" s="9">
        <f t="shared" si="44"/>
        <v>-2.5989889734162188E-2</v>
      </c>
      <c r="V129" s="9">
        <f t="shared" si="38"/>
        <v>8.6700647826254522E-3</v>
      </c>
    </row>
    <row r="130" spans="1:22">
      <c r="A130" s="8">
        <f t="shared" si="40"/>
        <v>0.59500000000000042</v>
      </c>
      <c r="B130" s="48">
        <f t="shared" si="41"/>
        <v>129.86199076592771</v>
      </c>
      <c r="C130" s="48">
        <f t="shared" si="25"/>
        <v>30.757811595553818</v>
      </c>
      <c r="D130" s="45">
        <f t="shared" si="26"/>
        <v>0.90672724845184249</v>
      </c>
      <c r="E130" s="48">
        <f t="shared" si="32"/>
        <v>-86.991593970114394</v>
      </c>
      <c r="F130" s="48">
        <f t="shared" si="33"/>
        <v>90.847508502725859</v>
      </c>
      <c r="G130" s="48">
        <f t="shared" si="45"/>
        <v>3.8559145326114646</v>
      </c>
      <c r="J130" s="48">
        <f t="shared" si="34"/>
        <v>0.23144847501173463</v>
      </c>
      <c r="Q130" s="8">
        <f t="shared" si="28"/>
        <v>100</v>
      </c>
      <c r="R130" s="9">
        <f t="shared" si="39"/>
        <v>5.7647082503446282E-3</v>
      </c>
      <c r="S130" s="8">
        <f t="shared" si="42"/>
        <v>-1</v>
      </c>
      <c r="T130" s="9">
        <f t="shared" si="43"/>
        <v>-2.9726456237900503E-2</v>
      </c>
      <c r="U130" s="9">
        <f t="shared" si="44"/>
        <v>-2.937480786621505E-2</v>
      </c>
      <c r="V130" s="9">
        <f t="shared" si="38"/>
        <v>9.7488244927245956E-4</v>
      </c>
    </row>
    <row r="131" spans="1:22">
      <c r="A131" s="8">
        <f t="shared" si="40"/>
        <v>0.60000000000000042</v>
      </c>
      <c r="B131" s="48">
        <f t="shared" si="41"/>
        <v>126.03780777878332</v>
      </c>
      <c r="C131" s="48">
        <f t="shared" si="25"/>
        <v>26.993709075348548</v>
      </c>
      <c r="D131" s="45">
        <f t="shared" si="26"/>
        <v>0.88341473587903152</v>
      </c>
      <c r="E131" s="48">
        <f t="shared" si="32"/>
        <v>-84.349947594317456</v>
      </c>
      <c r="F131" s="48">
        <f t="shared" si="33"/>
        <v>87.918335729336405</v>
      </c>
      <c r="G131" s="48">
        <f t="shared" si="45"/>
        <v>3.5683881350189495</v>
      </c>
      <c r="J131" s="48">
        <f t="shared" si="34"/>
        <v>-2.9382579784924188</v>
      </c>
      <c r="Q131" s="8">
        <f t="shared" si="28"/>
        <v>100</v>
      </c>
      <c r="R131" s="9">
        <f t="shared" si="39"/>
        <v>7.0251326936139804E-3</v>
      </c>
      <c r="S131" s="8">
        <f t="shared" si="42"/>
        <v>1</v>
      </c>
      <c r="T131" s="9">
        <f t="shared" si="43"/>
        <v>1.4211324558758369E-2</v>
      </c>
      <c r="U131" s="9">
        <f t="shared" si="44"/>
        <v>1.4041807798809201E-2</v>
      </c>
      <c r="V131" s="9">
        <f t="shared" si="38"/>
        <v>-2.9448054543052327E-2</v>
      </c>
    </row>
    <row r="132" spans="1:22">
      <c r="A132" s="8">
        <f t="shared" si="40"/>
        <v>0.60500000000000043</v>
      </c>
      <c r="B132" s="48">
        <f t="shared" si="41"/>
        <v>123.81042109882584</v>
      </c>
      <c r="C132" s="48">
        <f t="shared" si="25"/>
        <v>24.815690458049389</v>
      </c>
      <c r="D132" s="45">
        <f t="shared" si="26"/>
        <v>0.86797055388141175</v>
      </c>
      <c r="E132" s="48">
        <f t="shared" si="32"/>
        <v>-82.648109319389306</v>
      </c>
      <c r="F132" s="48">
        <f t="shared" si="33"/>
        <v>86.01497732586347</v>
      </c>
      <c r="G132" s="48">
        <f t="shared" si="45"/>
        <v>3.3668680064741636</v>
      </c>
      <c r="J132" s="48">
        <f t="shared" si="34"/>
        <v>-1.9121506766522085</v>
      </c>
      <c r="Q132" s="8">
        <f t="shared" si="28"/>
        <v>100</v>
      </c>
      <c r="R132" s="9">
        <f t="shared" si="39"/>
        <v>7.8510400424751624E-3</v>
      </c>
      <c r="S132" s="8">
        <f t="shared" si="42"/>
        <v>-1</v>
      </c>
      <c r="T132" s="9">
        <f t="shared" si="43"/>
        <v>-1.8063587467070482E-2</v>
      </c>
      <c r="U132" s="9">
        <f t="shared" si="44"/>
        <v>-1.7846335086276355E-2</v>
      </c>
      <c r="V132" s="9">
        <f t="shared" si="38"/>
        <v>-1.7672369261348145E-2</v>
      </c>
    </row>
    <row r="133" spans="1:22">
      <c r="A133" s="8">
        <f t="shared" si="40"/>
        <v>0.61000000000000043</v>
      </c>
      <c r="B133" s="48">
        <f t="shared" si="41"/>
        <v>131.71685336247089</v>
      </c>
      <c r="C133" s="48">
        <f t="shared" si="25"/>
        <v>32.551106637044612</v>
      </c>
      <c r="D133" s="45">
        <f t="shared" si="26"/>
        <v>0.92003970630060206</v>
      </c>
      <c r="E133" s="48">
        <f t="shared" si="32"/>
        <v>-88.633628445402564</v>
      </c>
      <c r="F133" s="48">
        <f t="shared" si="33"/>
        <v>92.881964167591917</v>
      </c>
      <c r="G133" s="48">
        <f t="shared" si="45"/>
        <v>4.2483357221893527</v>
      </c>
      <c r="J133" s="48">
        <f t="shared" si="34"/>
        <v>6.8583849139066348</v>
      </c>
      <c r="Q133" s="8">
        <f t="shared" si="28"/>
        <v>100</v>
      </c>
      <c r="R133" s="9">
        <f t="shared" si="39"/>
        <v>5.1618738897605881E-3</v>
      </c>
      <c r="S133" s="8">
        <f t="shared" si="42"/>
        <v>1</v>
      </c>
      <c r="T133" s="9">
        <f t="shared" si="43"/>
        <v>0.15517629818865791</v>
      </c>
      <c r="U133" s="9">
        <f t="shared" si="44"/>
        <v>0.15329464875099333</v>
      </c>
      <c r="V133" s="9">
        <f t="shared" si="38"/>
        <v>6.3859182397369499E-2</v>
      </c>
    </row>
    <row r="134" spans="1:22">
      <c r="A134" s="8">
        <f t="shared" si="40"/>
        <v>0.61500000000000044</v>
      </c>
      <c r="B134" s="48">
        <f t="shared" si="41"/>
        <v>134.09484409528397</v>
      </c>
      <c r="C134" s="48">
        <f t="shared" si="25"/>
        <v>34.897809139555832</v>
      </c>
      <c r="D134" s="45">
        <f t="shared" si="26"/>
        <v>0.9325369320001764</v>
      </c>
      <c r="E134" s="48">
        <f t="shared" si="32"/>
        <v>-90.150585370102249</v>
      </c>
      <c r="F134" s="48">
        <f t="shared" si="33"/>
        <v>94.567066360241981</v>
      </c>
      <c r="G134" s="48">
        <f t="shared" si="45"/>
        <v>4.4164809901397319</v>
      </c>
      <c r="J134" s="48">
        <f t="shared" si="34"/>
        <v>1.6758135318079979</v>
      </c>
      <c r="Q134" s="8">
        <f t="shared" si="28"/>
        <v>100</v>
      </c>
      <c r="R134" s="9">
        <f t="shared" si="39"/>
        <v>4.4812483445413921E-3</v>
      </c>
      <c r="S134" s="8">
        <f t="shared" si="42"/>
        <v>-1</v>
      </c>
      <c r="T134" s="9">
        <f t="shared" si="43"/>
        <v>-1.1545394845196781E-2</v>
      </c>
      <c r="U134" s="9">
        <f t="shared" si="44"/>
        <v>-1.1404256270236961E-2</v>
      </c>
      <c r="V134" s="9">
        <f t="shared" si="38"/>
        <v>1.8053807634389119E-2</v>
      </c>
    </row>
    <row r="135" spans="1:22">
      <c r="A135" s="8">
        <f t="shared" si="40"/>
        <v>0.62000000000000044</v>
      </c>
      <c r="B135" s="48">
        <f t="shared" si="41"/>
        <v>135.68338100513151</v>
      </c>
      <c r="C135" s="48">
        <f t="shared" si="25"/>
        <v>36.46602633598286</v>
      </c>
      <c r="D135" s="45">
        <f t="shared" si="26"/>
        <v>0.94031928785019891</v>
      </c>
      <c r="E135" s="48">
        <f t="shared" si="32"/>
        <v>-91.119673863869608</v>
      </c>
      <c r="F135" s="48">
        <f t="shared" si="33"/>
        <v>95.632459893645233</v>
      </c>
      <c r="G135" s="48">
        <f t="shared" si="45"/>
        <v>4.5127860297756257</v>
      </c>
      <c r="J135" s="48">
        <f t="shared" si="34"/>
        <v>1.0559363539161191</v>
      </c>
      <c r="Q135" s="8">
        <f t="shared" si="28"/>
        <v>100</v>
      </c>
      <c r="R135" s="9">
        <f t="shared" si="39"/>
        <v>4.0522268836323851E-3</v>
      </c>
      <c r="S135" s="8">
        <f t="shared" si="42"/>
        <v>-1</v>
      </c>
      <c r="T135" s="9">
        <f t="shared" si="43"/>
        <v>-1.7612034870385027E-2</v>
      </c>
      <c r="U135" s="9">
        <f t="shared" si="44"/>
        <v>-1.7394994071951511E-2</v>
      </c>
      <c r="V135" s="9">
        <f t="shared" si="38"/>
        <v>1.1846368296746478E-2</v>
      </c>
    </row>
    <row r="136" spans="1:22">
      <c r="A136" s="8">
        <f t="shared" si="40"/>
        <v>0.62500000000000044</v>
      </c>
      <c r="B136" s="48">
        <f t="shared" si="41"/>
        <v>134.67161256155731</v>
      </c>
      <c r="C136" s="48">
        <f t="shared" si="25"/>
        <v>35.447875168451503</v>
      </c>
      <c r="D136" s="45">
        <f t="shared" si="26"/>
        <v>0.93711419489957837</v>
      </c>
      <c r="E136" s="48">
        <f t="shared" si="32"/>
        <v>-90.754804613000218</v>
      </c>
      <c r="F136" s="48">
        <f t="shared" si="33"/>
        <v>95.210388581743089</v>
      </c>
      <c r="G136" s="48">
        <f t="shared" si="45"/>
        <v>4.4555839687428715</v>
      </c>
      <c r="J136" s="48">
        <f t="shared" si="34"/>
        <v>-0.43163503606974885</v>
      </c>
      <c r="Q136" s="8">
        <f t="shared" si="28"/>
        <v>100</v>
      </c>
      <c r="R136" s="9">
        <f t="shared" si="39"/>
        <v>4.2812592816221301E-3</v>
      </c>
      <c r="S136" s="8">
        <f t="shared" si="42"/>
        <v>-1</v>
      </c>
      <c r="T136" s="9">
        <f t="shared" si="43"/>
        <v>-2.162058612656911E-2</v>
      </c>
      <c r="U136" s="9">
        <f t="shared" si="44"/>
        <v>-2.1352010892265648E-2</v>
      </c>
      <c r="V136" s="9">
        <f t="shared" si="38"/>
        <v>-7.456833962119009E-3</v>
      </c>
    </row>
    <row r="137" spans="1:22">
      <c r="A137" s="8">
        <f t="shared" si="40"/>
        <v>0.63000000000000045</v>
      </c>
      <c r="B137" s="48">
        <f t="shared" si="41"/>
        <v>136.18132287450845</v>
      </c>
      <c r="C137" s="48">
        <f t="shared" si="25"/>
        <v>36.939308284516102</v>
      </c>
      <c r="D137" s="45">
        <f t="shared" si="26"/>
        <v>0.94428022229653785</v>
      </c>
      <c r="E137" s="48">
        <f t="shared" si="32"/>
        <v>-91.654021552061323</v>
      </c>
      <c r="F137" s="48">
        <f t="shared" si="33"/>
        <v>96.195789187342001</v>
      </c>
      <c r="G137" s="48">
        <f t="shared" si="45"/>
        <v>4.541767635280678</v>
      </c>
      <c r="J137" s="48">
        <f t="shared" si="34"/>
        <v>0.9758790906729129</v>
      </c>
      <c r="Q137" s="8">
        <f t="shared" si="28"/>
        <v>100</v>
      </c>
      <c r="R137" s="9">
        <f t="shared" si="39"/>
        <v>3.8765061778615675E-3</v>
      </c>
      <c r="S137" s="8">
        <f t="shared" si="42"/>
        <v>-1</v>
      </c>
      <c r="T137" s="9">
        <f t="shared" si="43"/>
        <v>-1.7499353710611208E-2</v>
      </c>
      <c r="U137" s="9">
        <f t="shared" si="44"/>
        <v>-1.7280245136672086E-2</v>
      </c>
      <c r="V137" s="9">
        <f t="shared" si="38"/>
        <v>1.1210308425326576E-2</v>
      </c>
    </row>
    <row r="138" spans="1:22">
      <c r="A138" s="8">
        <f t="shared" si="40"/>
        <v>0.63500000000000045</v>
      </c>
      <c r="B138" s="48">
        <f t="shared" si="41"/>
        <v>133.52255726440143</v>
      </c>
      <c r="C138" s="48">
        <f t="shared" si="25"/>
        <v>34.282065274004026</v>
      </c>
      <c r="D138" s="45">
        <f t="shared" si="26"/>
        <v>0.93415303273291561</v>
      </c>
      <c r="E138" s="48">
        <f t="shared" si="32"/>
        <v>-90.448436532790964</v>
      </c>
      <c r="F138" s="48">
        <f t="shared" si="33"/>
        <v>94.853200998819517</v>
      </c>
      <c r="G138" s="48">
        <f t="shared" si="45"/>
        <v>4.4047644660285528</v>
      </c>
      <c r="J138" s="48">
        <f t="shared" si="34"/>
        <v>-1.3522082484361992</v>
      </c>
      <c r="Q138" s="8">
        <f t="shared" si="28"/>
        <v>100</v>
      </c>
      <c r="R138" s="9">
        <f t="shared" si="39"/>
        <v>4.5361834947045222E-3</v>
      </c>
      <c r="S138" s="8">
        <f t="shared" si="42"/>
        <v>-1</v>
      </c>
      <c r="T138" s="9">
        <f t="shared" si="43"/>
        <v>-9.3538733372376497E-3</v>
      </c>
      <c r="U138" s="9">
        <f t="shared" si="44"/>
        <v>-9.2358303056974591E-3</v>
      </c>
      <c r="V138" s="9">
        <f t="shared" si="38"/>
        <v>-1.9523717011892202E-2</v>
      </c>
    </row>
    <row r="139" spans="1:22">
      <c r="A139" s="8">
        <f t="shared" si="40"/>
        <v>0.64000000000000046</v>
      </c>
      <c r="B139" s="48">
        <f t="shared" si="41"/>
        <v>129.91693977633557</v>
      </c>
      <c r="C139" s="48">
        <f t="shared" ref="C139:C202" si="46">CallOption(B139,Vol_i,0,PL_r, PL_K,PL_T-A139)</f>
        <v>30.693487475736617</v>
      </c>
      <c r="D139" s="45">
        <f t="shared" ref="D139:D202" si="47">CallDelta(B139,$E$6,0,PL_r, PL_K, PL_T-A139)</f>
        <v>0.91706477664726738</v>
      </c>
      <c r="E139" s="48">
        <f t="shared" si="32"/>
        <v>-88.44876188294505</v>
      </c>
      <c r="F139" s="48">
        <f t="shared" si="33"/>
        <v>92.642632856439462</v>
      </c>
      <c r="G139" s="48">
        <f t="shared" si="45"/>
        <v>4.1938709734944126</v>
      </c>
      <c r="J139" s="48">
        <f t="shared" si="34"/>
        <v>-2.2200539367617615</v>
      </c>
      <c r="Q139" s="8">
        <f t="shared" ref="Q139:Q202" si="48">PL_K</f>
        <v>100</v>
      </c>
      <c r="R139" s="9">
        <f t="shared" ref="R139:R170" si="49">CallGamma(B139,$E$6,0,PL_r, PL_K, PL_T-A139)</f>
        <v>5.5992418539404986E-3</v>
      </c>
      <c r="S139" s="8">
        <f t="shared" si="42"/>
        <v>1</v>
      </c>
      <c r="T139" s="9">
        <f t="shared" si="43"/>
        <v>5.5147095790650767E-3</v>
      </c>
      <c r="U139" s="9">
        <f t="shared" si="44"/>
        <v>5.4445711400833985E-3</v>
      </c>
      <c r="V139" s="9">
        <f t="shared" si="38"/>
        <v>-2.700380791034443E-2</v>
      </c>
    </row>
    <row r="140" spans="1:22">
      <c r="A140" s="8">
        <f t="shared" ref="A140:A171" si="50">A139+dt</f>
        <v>0.64500000000000046</v>
      </c>
      <c r="B140" s="48">
        <f t="shared" ref="B140:B171" si="51">B139*EXP((PL_r-0.5*Vol_a^2)*dt+Vol_a*SQRT(dt)*NormalRN())</f>
        <v>128.19161432414919</v>
      </c>
      <c r="C140" s="48">
        <f t="shared" si="46"/>
        <v>28.975994682605503</v>
      </c>
      <c r="D140" s="45">
        <f t="shared" si="47"/>
        <v>0.90811913228953978</v>
      </c>
      <c r="E140" s="48">
        <f t="shared" ref="E140:E203" si="52">C140-D140*B140</f>
        <v>-87.437262884236191</v>
      </c>
      <c r="F140" s="48">
        <f t="shared" ref="F140:F203" si="53">J140+F139*EXP(PL_r*dt)</f>
        <v>91.50514099156689</v>
      </c>
      <c r="G140" s="48">
        <f t="shared" si="45"/>
        <v>4.0678781073306993</v>
      </c>
      <c r="J140" s="48">
        <f t="shared" ref="J140:J203" si="54">(D140-D139)*B140</f>
        <v>-1.1467565913868178</v>
      </c>
      <c r="Q140" s="8">
        <f t="shared" si="48"/>
        <v>100</v>
      </c>
      <c r="R140" s="9">
        <f t="shared" si="49"/>
        <v>6.1685451176613617E-3</v>
      </c>
      <c r="S140" s="8">
        <f t="shared" ref="S140:S171" si="55">IF(V140^2 &lt; ($E$6^2*dt), -1, 1)</f>
        <v>-1</v>
      </c>
      <c r="T140" s="9">
        <f t="shared" ref="T140:T171" si="56">0.5*R140*(B140^2)*(V140^2-$E$6^2*dt)</f>
        <v>-2.210516166511111E-2</v>
      </c>
      <c r="U140" s="9">
        <f t="shared" ref="U140:U171" si="57">T140*EXP(-PL_r*A140)</f>
        <v>-2.1821836456229898E-2</v>
      </c>
      <c r="V140" s="9">
        <f t="shared" si="38"/>
        <v>-1.3280219309019247E-2</v>
      </c>
    </row>
    <row r="141" spans="1:22">
      <c r="A141" s="8">
        <f t="shared" si="50"/>
        <v>0.65000000000000047</v>
      </c>
      <c r="B141" s="48">
        <f t="shared" si="51"/>
        <v>136.98759391066631</v>
      </c>
      <c r="C141" s="48">
        <f t="shared" si="46"/>
        <v>37.698870247304811</v>
      </c>
      <c r="D141" s="45">
        <f t="shared" si="47"/>
        <v>0.95126694744330142</v>
      </c>
      <c r="E141" s="48">
        <f t="shared" si="52"/>
        <v>-92.612900049697302</v>
      </c>
      <c r="F141" s="48">
        <f t="shared" si="53"/>
        <v>97.425007343622994</v>
      </c>
      <c r="G141" s="48">
        <f t="shared" si="45"/>
        <v>4.8121072939256919</v>
      </c>
      <c r="J141" s="48">
        <f t="shared" si="54"/>
        <v>5.9107153804159944</v>
      </c>
      <c r="Q141" s="8">
        <f t="shared" si="48"/>
        <v>100</v>
      </c>
      <c r="R141" s="9">
        <f t="shared" si="49"/>
        <v>3.5622695010092227E-3</v>
      </c>
      <c r="S141" s="8">
        <f t="shared" si="55"/>
        <v>1</v>
      </c>
      <c r="T141" s="9">
        <f t="shared" si="56"/>
        <v>0.13689286903321304</v>
      </c>
      <c r="U141" s="9">
        <f t="shared" si="57"/>
        <v>0.13512477922009461</v>
      </c>
      <c r="V141" s="9">
        <f t="shared" ref="V141:V204" si="58">(B141-B140)/B140</f>
        <v>6.8615873455461301E-2</v>
      </c>
    </row>
    <row r="142" spans="1:22">
      <c r="A142" s="8">
        <f t="shared" si="50"/>
        <v>0.65500000000000047</v>
      </c>
      <c r="B142" s="48">
        <f t="shared" si="51"/>
        <v>135.97419376884912</v>
      </c>
      <c r="C142" s="48">
        <f t="shared" si="46"/>
        <v>36.677512705809605</v>
      </c>
      <c r="D142" s="45">
        <f t="shared" si="47"/>
        <v>0.94856907807696766</v>
      </c>
      <c r="E142" s="48">
        <f t="shared" si="52"/>
        <v>-92.303402919766555</v>
      </c>
      <c r="F142" s="48">
        <f t="shared" si="53"/>
        <v>97.067909719517729</v>
      </c>
      <c r="G142" s="48">
        <f t="shared" si="45"/>
        <v>4.7645067997511745</v>
      </c>
      <c r="J142" s="48">
        <f t="shared" si="54"/>
        <v>-0.36684061198090895</v>
      </c>
      <c r="Q142" s="8">
        <f t="shared" si="48"/>
        <v>100</v>
      </c>
      <c r="R142" s="9">
        <f t="shared" si="49"/>
        <v>3.7734085821253525E-3</v>
      </c>
      <c r="S142" s="8">
        <f t="shared" si="55"/>
        <v>-1</v>
      </c>
      <c r="T142" s="9">
        <f t="shared" si="56"/>
        <v>-1.9456939349730428E-2</v>
      </c>
      <c r="U142" s="9">
        <f t="shared" si="57"/>
        <v>-1.9203715680581018E-2</v>
      </c>
      <c r="V142" s="9">
        <f t="shared" si="58"/>
        <v>-7.3977512334296109E-3</v>
      </c>
    </row>
    <row r="143" spans="1:22">
      <c r="A143" s="8">
        <f t="shared" si="50"/>
        <v>0.66000000000000048</v>
      </c>
      <c r="B143" s="48">
        <f t="shared" si="51"/>
        <v>138.200159501879</v>
      </c>
      <c r="C143" s="48">
        <f t="shared" si="46"/>
        <v>38.887152774733082</v>
      </c>
      <c r="D143" s="45">
        <f t="shared" si="47"/>
        <v>0.95734371334946822</v>
      </c>
      <c r="E143" s="48">
        <f t="shared" si="52"/>
        <v>-93.417901108284568</v>
      </c>
      <c r="F143" s="48">
        <f t="shared" si="53"/>
        <v>98.290272990075806</v>
      </c>
      <c r="G143" s="48">
        <f t="shared" si="45"/>
        <v>4.8723718817912385</v>
      </c>
      <c r="J143" s="48">
        <f t="shared" si="54"/>
        <v>1.2126559942303898</v>
      </c>
      <c r="Q143" s="8">
        <f t="shared" si="48"/>
        <v>100</v>
      </c>
      <c r="R143" s="9">
        <f t="shared" si="49"/>
        <v>3.2187923234663139E-3</v>
      </c>
      <c r="S143" s="8">
        <f t="shared" si="55"/>
        <v>-1</v>
      </c>
      <c r="T143" s="9">
        <f t="shared" si="56"/>
        <v>-1.0589554771154537E-2</v>
      </c>
      <c r="U143" s="9">
        <f t="shared" si="57"/>
        <v>-1.0450691164274422E-2</v>
      </c>
      <c r="V143" s="9">
        <f t="shared" si="58"/>
        <v>1.6370501426277523E-2</v>
      </c>
    </row>
    <row r="144" spans="1:22">
      <c r="A144" s="8">
        <f t="shared" si="50"/>
        <v>0.66500000000000048</v>
      </c>
      <c r="B144" s="48">
        <f t="shared" si="51"/>
        <v>132.8641950402307</v>
      </c>
      <c r="C144" s="48">
        <f t="shared" si="46"/>
        <v>33.557544324906445</v>
      </c>
      <c r="D144" s="45">
        <f t="shared" si="47"/>
        <v>0.9378623984245904</v>
      </c>
      <c r="E144" s="48">
        <f t="shared" si="52"/>
        <v>-91.050788300276892</v>
      </c>
      <c r="F144" s="48">
        <f t="shared" si="53"/>
        <v>95.711733283023449</v>
      </c>
      <c r="G144" s="48">
        <f t="shared" si="45"/>
        <v>4.6609449827465568</v>
      </c>
      <c r="J144" s="48">
        <f t="shared" si="54"/>
        <v>-2.5883692258191231</v>
      </c>
      <c r="Q144" s="8">
        <f t="shared" si="48"/>
        <v>100</v>
      </c>
      <c r="R144" s="9">
        <f t="shared" si="49"/>
        <v>4.548626718188899E-3</v>
      </c>
      <c r="S144" s="8">
        <f t="shared" si="55"/>
        <v>1</v>
      </c>
      <c r="T144" s="9">
        <f t="shared" si="56"/>
        <v>3.5260712812665726E-2</v>
      </c>
      <c r="U144" s="9">
        <f t="shared" si="57"/>
        <v>3.4794850185908298E-2</v>
      </c>
      <c r="V144" s="9">
        <f t="shared" si="58"/>
        <v>-3.8610407403876792E-2</v>
      </c>
    </row>
    <row r="145" spans="1:22">
      <c r="A145" s="8">
        <f t="shared" si="50"/>
        <v>0.67000000000000048</v>
      </c>
      <c r="B145" s="48">
        <f t="shared" si="51"/>
        <v>128.43708591148692</v>
      </c>
      <c r="C145" s="48">
        <f t="shared" si="46"/>
        <v>29.152092070012799</v>
      </c>
      <c r="D145" s="45">
        <f t="shared" si="47"/>
        <v>0.91591460475976194</v>
      </c>
      <c r="E145" s="48">
        <f t="shared" si="52"/>
        <v>-88.485310709102336</v>
      </c>
      <c r="F145" s="48">
        <f t="shared" si="53"/>
        <v>92.902394274429213</v>
      </c>
      <c r="G145" s="48">
        <f t="shared" si="45"/>
        <v>4.4170835653268767</v>
      </c>
      <c r="J145" s="48">
        <f t="shared" si="54"/>
        <v>-2.8189106604971617</v>
      </c>
      <c r="Q145" s="8">
        <f t="shared" si="48"/>
        <v>100</v>
      </c>
      <c r="R145" s="9">
        <f t="shared" si="49"/>
        <v>5.9771474842835659E-3</v>
      </c>
      <c r="S145" s="8">
        <f t="shared" si="55"/>
        <v>1</v>
      </c>
      <c r="T145" s="9">
        <f t="shared" si="56"/>
        <v>2.4539431671556828E-2</v>
      </c>
      <c r="U145" s="9">
        <f t="shared" si="57"/>
        <v>2.4212796629474304E-2</v>
      </c>
      <c r="V145" s="9">
        <f t="shared" si="58"/>
        <v>-3.332055808868048E-2</v>
      </c>
    </row>
    <row r="146" spans="1:22">
      <c r="A146" s="8">
        <f t="shared" si="50"/>
        <v>0.67500000000000049</v>
      </c>
      <c r="B146" s="48">
        <f t="shared" si="51"/>
        <v>125.66389061536377</v>
      </c>
      <c r="C146" s="48">
        <f t="shared" si="46"/>
        <v>26.403493600045721</v>
      </c>
      <c r="D146" s="45">
        <f t="shared" si="47"/>
        <v>0.89923964910298637</v>
      </c>
      <c r="E146" s="48">
        <f t="shared" si="52"/>
        <v>-86.598459301830061</v>
      </c>
      <c r="F146" s="48">
        <f t="shared" si="53"/>
        <v>90.816245174715036</v>
      </c>
      <c r="G146" s="48">
        <f t="shared" si="45"/>
        <v>4.2177858728849742</v>
      </c>
      <c r="J146" s="48">
        <f t="shared" si="54"/>
        <v>-2.0954398036690867</v>
      </c>
      <c r="Q146" s="8">
        <f t="shared" si="48"/>
        <v>100</v>
      </c>
      <c r="R146" s="9">
        <f t="shared" si="49"/>
        <v>7.0380638503881173E-3</v>
      </c>
      <c r="S146" s="8">
        <f t="shared" si="55"/>
        <v>-1</v>
      </c>
      <c r="T146" s="9">
        <f t="shared" si="56"/>
        <v>-8.12949983818817E-3</v>
      </c>
      <c r="U146" s="9">
        <f t="shared" si="57"/>
        <v>-8.0204890686629577E-3</v>
      </c>
      <c r="V146" s="9">
        <f t="shared" si="58"/>
        <v>-2.1591857806819988E-2</v>
      </c>
    </row>
    <row r="147" spans="1:22">
      <c r="A147" s="8">
        <f t="shared" si="50"/>
        <v>0.68000000000000049</v>
      </c>
      <c r="B147" s="48">
        <f t="shared" si="51"/>
        <v>124.442330348985</v>
      </c>
      <c r="C147" s="48">
        <f t="shared" si="46"/>
        <v>25.190047226996555</v>
      </c>
      <c r="D147" s="45">
        <f t="shared" si="47"/>
        <v>0.89172999877405168</v>
      </c>
      <c r="E147" s="48">
        <f t="shared" si="52"/>
        <v>-85.778911862543964</v>
      </c>
      <c r="F147" s="48">
        <f t="shared" si="53"/>
        <v>89.890808866290229</v>
      </c>
      <c r="G147" s="48">
        <f t="shared" si="45"/>
        <v>4.1118970037462645</v>
      </c>
      <c r="J147" s="48">
        <f t="shared" si="54"/>
        <v>-0.93451838703865475</v>
      </c>
      <c r="Q147" s="8">
        <f t="shared" si="48"/>
        <v>100</v>
      </c>
      <c r="R147" s="9">
        <f t="shared" si="49"/>
        <v>7.5453835274700331E-3</v>
      </c>
      <c r="S147" s="8">
        <f t="shared" si="55"/>
        <v>-1</v>
      </c>
      <c r="T147" s="9">
        <f t="shared" si="56"/>
        <v>-3.0263667224843031E-2</v>
      </c>
      <c r="U147" s="9">
        <f t="shared" si="57"/>
        <v>-2.9854867489731086E-2</v>
      </c>
      <c r="V147" s="9">
        <f t="shared" si="58"/>
        <v>-9.7208534639259738E-3</v>
      </c>
    </row>
    <row r="148" spans="1:22">
      <c r="A148" s="8">
        <f t="shared" si="50"/>
        <v>0.6850000000000005</v>
      </c>
      <c r="B148" s="48">
        <f t="shared" si="51"/>
        <v>123.91070707705394</v>
      </c>
      <c r="C148" s="48">
        <f t="shared" si="46"/>
        <v>24.654354673359393</v>
      </c>
      <c r="D148" s="45">
        <f t="shared" si="47"/>
        <v>0.88908714124971533</v>
      </c>
      <c r="E148" s="48">
        <f t="shared" si="52"/>
        <v>-85.51306165200937</v>
      </c>
      <c r="F148" s="48">
        <f t="shared" si="53"/>
        <v>89.57232005210146</v>
      </c>
      <c r="G148" s="48">
        <f t="shared" si="45"/>
        <v>4.0592584000920908</v>
      </c>
      <c r="J148" s="48">
        <f t="shared" si="54"/>
        <v>-0.32747834454442948</v>
      </c>
      <c r="Q148" s="8">
        <f t="shared" si="48"/>
        <v>100</v>
      </c>
      <c r="R148" s="9">
        <f t="shared" si="49"/>
        <v>7.7710715120532237E-3</v>
      </c>
      <c r="S148" s="8">
        <f t="shared" si="55"/>
        <v>-1</v>
      </c>
      <c r="T148" s="9">
        <f t="shared" si="56"/>
        <v>-3.5451735426213396E-2</v>
      </c>
      <c r="U148" s="9">
        <f t="shared" si="57"/>
        <v>-3.4969358477725268E-2</v>
      </c>
      <c r="V148" s="9">
        <f t="shared" si="58"/>
        <v>-4.2720452955210151E-3</v>
      </c>
    </row>
    <row r="149" spans="1:22">
      <c r="A149" s="8">
        <f t="shared" si="50"/>
        <v>0.6900000000000005</v>
      </c>
      <c r="B149" s="48">
        <f t="shared" si="51"/>
        <v>123.43771937233564</v>
      </c>
      <c r="C149" s="48">
        <f t="shared" si="46"/>
        <v>24.176338807342546</v>
      </c>
      <c r="D149" s="45">
        <f t="shared" si="47"/>
        <v>0.88682034069575055</v>
      </c>
      <c r="E149" s="48">
        <f t="shared" si="52"/>
        <v>-85.290741541138587</v>
      </c>
      <c r="F149" s="48">
        <f t="shared" si="53"/>
        <v>89.301469041329852</v>
      </c>
      <c r="G149" s="48">
        <f t="shared" si="45"/>
        <v>4.0107275001912654</v>
      </c>
      <c r="J149" s="48">
        <f t="shared" si="54"/>
        <v>-0.279808690653359</v>
      </c>
      <c r="Q149" s="8">
        <f t="shared" si="48"/>
        <v>100</v>
      </c>
      <c r="R149" s="9">
        <f t="shared" si="49"/>
        <v>7.9780721150403775E-3</v>
      </c>
      <c r="S149" s="8">
        <f t="shared" si="55"/>
        <v>-1</v>
      </c>
      <c r="T149" s="9">
        <f t="shared" si="56"/>
        <v>-3.6342394326236059E-2</v>
      </c>
      <c r="U149" s="9">
        <f t="shared" si="57"/>
        <v>-3.5844313943684189E-2</v>
      </c>
      <c r="V149" s="9">
        <f t="shared" si="58"/>
        <v>-3.81716573067555E-3</v>
      </c>
    </row>
    <row r="150" spans="1:22">
      <c r="A150" s="8">
        <f t="shared" si="50"/>
        <v>0.69500000000000051</v>
      </c>
      <c r="B150" s="48">
        <f t="shared" si="51"/>
        <v>122.21676604336758</v>
      </c>
      <c r="C150" s="48">
        <f t="shared" si="46"/>
        <v>22.969566062620572</v>
      </c>
      <c r="D150" s="45">
        <f t="shared" si="47"/>
        <v>0.87822065391475512</v>
      </c>
      <c r="E150" s="48">
        <f t="shared" si="52"/>
        <v>-84.363722131332352</v>
      </c>
      <c r="F150" s="48">
        <f t="shared" si="53"/>
        <v>88.259373727397062</v>
      </c>
      <c r="G150" s="48">
        <f t="shared" si="45"/>
        <v>3.8956515960647096</v>
      </c>
      <c r="J150" s="48">
        <f t="shared" si="54"/>
        <v>-1.0510259073591595</v>
      </c>
      <c r="Q150" s="8">
        <f t="shared" si="48"/>
        <v>100</v>
      </c>
      <c r="R150" s="9">
        <f t="shared" si="49"/>
        <v>8.5559354849602115E-3</v>
      </c>
      <c r="S150" s="8">
        <f t="shared" si="55"/>
        <v>-1</v>
      </c>
      <c r="T150" s="9">
        <f t="shared" si="56"/>
        <v>-3.2886842337595514E-2</v>
      </c>
      <c r="U150" s="9">
        <f t="shared" si="57"/>
        <v>-3.2432877593263194E-2</v>
      </c>
      <c r="V150" s="9">
        <f t="shared" si="58"/>
        <v>-9.8912498965181457E-3</v>
      </c>
    </row>
    <row r="151" spans="1:22">
      <c r="A151" s="8">
        <f t="shared" si="50"/>
        <v>0.70000000000000051</v>
      </c>
      <c r="B151" s="48">
        <f t="shared" si="51"/>
        <v>120.08471567227329</v>
      </c>
      <c r="C151" s="48">
        <f t="shared" si="46"/>
        <v>20.888285673854</v>
      </c>
      <c r="D151" s="45">
        <f t="shared" si="47"/>
        <v>0.86035021737529527</v>
      </c>
      <c r="E151" s="48">
        <f t="shared" si="52"/>
        <v>-82.42662555823685</v>
      </c>
      <c r="F151" s="48">
        <f t="shared" si="53"/>
        <v>86.122233815300945</v>
      </c>
      <c r="G151" s="48">
        <f t="shared" si="45"/>
        <v>3.6956082570640945</v>
      </c>
      <c r="J151" s="48">
        <f t="shared" si="54"/>
        <v>-2.1459662907804402</v>
      </c>
      <c r="Q151" s="8">
        <f t="shared" si="48"/>
        <v>100</v>
      </c>
      <c r="R151" s="9">
        <f t="shared" si="49"/>
        <v>9.6521450262036408E-3</v>
      </c>
      <c r="S151" s="8">
        <f t="shared" si="55"/>
        <v>-1</v>
      </c>
      <c r="T151" s="9">
        <f t="shared" si="56"/>
        <v>-2.1447217031802891E-2</v>
      </c>
      <c r="U151" s="9">
        <f t="shared" si="57"/>
        <v>-2.1149048046333458E-2</v>
      </c>
      <c r="V151" s="9">
        <f t="shared" si="58"/>
        <v>-1.7444827253388084E-2</v>
      </c>
    </row>
    <row r="152" spans="1:22">
      <c r="A152" s="8">
        <f t="shared" si="50"/>
        <v>0.70500000000000052</v>
      </c>
      <c r="B152" s="48">
        <f t="shared" si="51"/>
        <v>125.48122104566535</v>
      </c>
      <c r="C152" s="48">
        <f t="shared" si="46"/>
        <v>26.138864316595487</v>
      </c>
      <c r="D152" s="45">
        <f t="shared" si="47"/>
        <v>0.90660389506056049</v>
      </c>
      <c r="E152" s="48">
        <f t="shared" si="52"/>
        <v>-87.622899440359902</v>
      </c>
      <c r="F152" s="48">
        <f t="shared" si="53"/>
        <v>91.934814423107724</v>
      </c>
      <c r="G152" s="48">
        <f t="shared" si="45"/>
        <v>4.3119149827478225</v>
      </c>
      <c r="J152" s="48">
        <f t="shared" si="54"/>
        <v>5.8039679537997246</v>
      </c>
      <c r="Q152" s="8">
        <f t="shared" si="48"/>
        <v>100</v>
      </c>
      <c r="R152" s="9">
        <f t="shared" si="49"/>
        <v>6.9971501865319545E-3</v>
      </c>
      <c r="S152" s="8">
        <f t="shared" si="55"/>
        <v>1</v>
      </c>
      <c r="T152" s="9">
        <f t="shared" si="56"/>
        <v>7.7508840638835466E-2</v>
      </c>
      <c r="U152" s="9">
        <f t="shared" si="57"/>
        <v>7.6423634667019555E-2</v>
      </c>
      <c r="V152" s="9">
        <f t="shared" si="58"/>
        <v>4.4939152690504094E-2</v>
      </c>
    </row>
    <row r="153" spans="1:22">
      <c r="A153" s="8">
        <f t="shared" si="50"/>
        <v>0.71000000000000052</v>
      </c>
      <c r="B153" s="48">
        <f t="shared" si="51"/>
        <v>129.46699669186629</v>
      </c>
      <c r="C153" s="48">
        <f t="shared" si="46"/>
        <v>30.073695726723088</v>
      </c>
      <c r="D153" s="45">
        <f t="shared" si="47"/>
        <v>0.93257013547525214</v>
      </c>
      <c r="E153" s="48">
        <f t="shared" si="52"/>
        <v>-90.663358917784677</v>
      </c>
      <c r="F153" s="48">
        <f t="shared" si="53"/>
        <v>95.305779526108523</v>
      </c>
      <c r="G153" s="48">
        <f t="shared" si="45"/>
        <v>4.642420608323846</v>
      </c>
      <c r="J153" s="48">
        <f t="shared" si="54"/>
        <v>3.3617711618690875</v>
      </c>
      <c r="Q153" s="8">
        <f t="shared" si="48"/>
        <v>100</v>
      </c>
      <c r="R153" s="9">
        <f t="shared" si="49"/>
        <v>5.3458669820593951E-3</v>
      </c>
      <c r="S153" s="8">
        <f t="shared" si="55"/>
        <v>1</v>
      </c>
      <c r="T153" s="9">
        <f t="shared" si="56"/>
        <v>1.776196917216509E-2</v>
      </c>
      <c r="U153" s="9">
        <f t="shared" si="57"/>
        <v>1.7511531525385596E-2</v>
      </c>
      <c r="V153" s="9">
        <f t="shared" si="58"/>
        <v>3.1763921429728711E-2</v>
      </c>
    </row>
    <row r="154" spans="1:22">
      <c r="A154" s="8">
        <f t="shared" si="50"/>
        <v>0.71500000000000052</v>
      </c>
      <c r="B154" s="48">
        <f t="shared" si="51"/>
        <v>130.17264456356085</v>
      </c>
      <c r="C154" s="48">
        <f t="shared" si="46"/>
        <v>30.763652355634406</v>
      </c>
      <c r="D154" s="45">
        <f t="shared" si="47"/>
        <v>0.93763084344616121</v>
      </c>
      <c r="E154" s="48">
        <f t="shared" si="52"/>
        <v>-91.290234160114508</v>
      </c>
      <c r="F154" s="48">
        <f t="shared" si="53"/>
        <v>95.974076320543048</v>
      </c>
      <c r="G154" s="48">
        <f t="shared" si="45"/>
        <v>4.6838421604285401</v>
      </c>
      <c r="J154" s="48">
        <f t="shared" si="54"/>
        <v>0.65876573993712606</v>
      </c>
      <c r="Q154" s="8">
        <f t="shared" si="48"/>
        <v>100</v>
      </c>
      <c r="R154" s="9">
        <f t="shared" si="49"/>
        <v>5.0481059692323166E-3</v>
      </c>
      <c r="S154" s="8">
        <f t="shared" si="55"/>
        <v>-1</v>
      </c>
      <c r="T154" s="9">
        <f t="shared" si="56"/>
        <v>-2.4925982999395781E-2</v>
      </c>
      <c r="U154" s="9">
        <f t="shared" si="57"/>
        <v>-2.4572077894819491E-2</v>
      </c>
      <c r="V154" s="9">
        <f t="shared" si="58"/>
        <v>5.4504073603716978E-3</v>
      </c>
    </row>
    <row r="155" spans="1:22">
      <c r="A155" s="8">
        <f t="shared" si="50"/>
        <v>0.72000000000000053</v>
      </c>
      <c r="B155" s="48">
        <f t="shared" si="51"/>
        <v>132.69929310726175</v>
      </c>
      <c r="C155" s="48">
        <f t="shared" si="46"/>
        <v>33.26953612660563</v>
      </c>
      <c r="D155" s="45">
        <f t="shared" si="47"/>
        <v>0.95057334297948193</v>
      </c>
      <c r="E155" s="48">
        <f t="shared" si="52"/>
        <v>-92.870874533378299</v>
      </c>
      <c r="F155" s="48">
        <f t="shared" si="53"/>
        <v>97.701134747174208</v>
      </c>
      <c r="G155" s="48">
        <f t="shared" si="45"/>
        <v>4.8302602137959099</v>
      </c>
      <c r="J155" s="48">
        <f t="shared" si="54"/>
        <v>1.7174605391127242</v>
      </c>
      <c r="Q155" s="8">
        <f t="shared" si="48"/>
        <v>100</v>
      </c>
      <c r="R155" s="9">
        <f t="shared" si="49"/>
        <v>4.1581198411003864E-3</v>
      </c>
      <c r="S155" s="8">
        <f t="shared" si="55"/>
        <v>-1</v>
      </c>
      <c r="T155" s="9">
        <f t="shared" si="56"/>
        <v>-8.6309935691881046E-3</v>
      </c>
      <c r="U155" s="9">
        <f t="shared" si="57"/>
        <v>-8.5075978432890432E-3</v>
      </c>
      <c r="V155" s="9">
        <f t="shared" si="58"/>
        <v>1.9409980892469203E-2</v>
      </c>
    </row>
    <row r="156" spans="1:22">
      <c r="A156" s="8">
        <f t="shared" si="50"/>
        <v>0.72500000000000053</v>
      </c>
      <c r="B156" s="48">
        <f t="shared" si="51"/>
        <v>136.01930674165629</v>
      </c>
      <c r="C156" s="48">
        <f t="shared" si="46"/>
        <v>36.572693959215826</v>
      </c>
      <c r="D156" s="45">
        <f t="shared" si="47"/>
        <v>0.96389544238946023</v>
      </c>
      <c r="E156" s="48">
        <f t="shared" si="52"/>
        <v>-94.535695886040656</v>
      </c>
      <c r="F156" s="48">
        <f t="shared" si="53"/>
        <v>99.52296807525957</v>
      </c>
      <c r="G156" s="48">
        <f t="shared" si="45"/>
        <v>4.9872721892189134</v>
      </c>
      <c r="J156" s="48">
        <f t="shared" si="54"/>
        <v>1.8120627260886775</v>
      </c>
      <c r="Q156" s="8">
        <f t="shared" si="48"/>
        <v>100</v>
      </c>
      <c r="R156" s="9">
        <f t="shared" si="49"/>
        <v>3.174967951123897E-3</v>
      </c>
      <c r="S156" s="8">
        <f t="shared" si="55"/>
        <v>1</v>
      </c>
      <c r="T156" s="9">
        <f t="shared" si="56"/>
        <v>3.9515400386080549E-4</v>
      </c>
      <c r="U156" s="9">
        <f t="shared" si="57"/>
        <v>3.8946561131580356E-4</v>
      </c>
      <c r="V156" s="9">
        <f t="shared" si="58"/>
        <v>2.5019075510153258E-2</v>
      </c>
    </row>
    <row r="157" spans="1:22">
      <c r="A157" s="8">
        <f t="shared" si="50"/>
        <v>0.73000000000000054</v>
      </c>
      <c r="B157" s="48">
        <f t="shared" si="51"/>
        <v>138.57227574828684</v>
      </c>
      <c r="C157" s="48">
        <f t="shared" si="46"/>
        <v>39.113152138269641</v>
      </c>
      <c r="D157" s="45">
        <f t="shared" si="47"/>
        <v>0.97221425488628965</v>
      </c>
      <c r="E157" s="48">
        <f t="shared" si="52"/>
        <v>-95.608789676248506</v>
      </c>
      <c r="F157" s="48">
        <f t="shared" si="53"/>
        <v>100.68567764890747</v>
      </c>
      <c r="G157" s="48">
        <f t="shared" si="45"/>
        <v>5.076887972658966</v>
      </c>
      <c r="J157" s="48">
        <f t="shared" si="54"/>
        <v>1.1527567792089408</v>
      </c>
      <c r="Q157" s="8">
        <f t="shared" si="48"/>
        <v>100</v>
      </c>
      <c r="R157" s="9">
        <f t="shared" si="49"/>
        <v>2.5332123754826671E-3</v>
      </c>
      <c r="S157" s="8">
        <f t="shared" si="55"/>
        <v>-1</v>
      </c>
      <c r="T157" s="9">
        <f t="shared" si="56"/>
        <v>-6.3289591393431996E-3</v>
      </c>
      <c r="U157" s="9">
        <f t="shared" si="57"/>
        <v>-6.2372276055574476E-3</v>
      </c>
      <c r="V157" s="9">
        <f t="shared" si="58"/>
        <v>1.8769166435169706E-2</v>
      </c>
    </row>
    <row r="158" spans="1:22">
      <c r="A158" s="8">
        <f t="shared" si="50"/>
        <v>0.73500000000000054</v>
      </c>
      <c r="B158" s="48">
        <f t="shared" si="51"/>
        <v>135.98569872305103</v>
      </c>
      <c r="C158" s="48">
        <f t="shared" si="46"/>
        <v>36.51830245853408</v>
      </c>
      <c r="D158" s="45">
        <f t="shared" si="47"/>
        <v>0.96603893126237028</v>
      </c>
      <c r="E158" s="48">
        <f t="shared" si="52"/>
        <v>-94.8491766028488</v>
      </c>
      <c r="F158" s="48">
        <f t="shared" si="53"/>
        <v>99.855991022277905</v>
      </c>
      <c r="G158" s="48">
        <f t="shared" si="45"/>
        <v>5.0068144194291051</v>
      </c>
      <c r="J158" s="48">
        <f t="shared" si="54"/>
        <v>-0.83975569783963921</v>
      </c>
      <c r="Q158" s="8">
        <f t="shared" si="48"/>
        <v>100</v>
      </c>
      <c r="R158" s="9">
        <f t="shared" si="49"/>
        <v>3.076633848958509E-3</v>
      </c>
      <c r="S158" s="8">
        <f t="shared" si="55"/>
        <v>-1</v>
      </c>
      <c r="T158" s="9">
        <f t="shared" si="56"/>
        <v>-7.5123242731829762E-3</v>
      </c>
      <c r="U158" s="9">
        <f t="shared" si="57"/>
        <v>-7.4027008128380737E-3</v>
      </c>
      <c r="V158" s="9">
        <f t="shared" si="58"/>
        <v>-1.8665905652976832E-2</v>
      </c>
    </row>
    <row r="159" spans="1:22">
      <c r="A159" s="8">
        <f t="shared" si="50"/>
        <v>0.74000000000000055</v>
      </c>
      <c r="B159" s="48">
        <f t="shared" si="51"/>
        <v>139.36395083239827</v>
      </c>
      <c r="C159" s="48">
        <f t="shared" si="46"/>
        <v>39.884093285921608</v>
      </c>
      <c r="D159" s="45">
        <f t="shared" si="47"/>
        <v>0.97604789993735031</v>
      </c>
      <c r="E159" s="48">
        <f t="shared" si="52"/>
        <v>-96.141798251012858</v>
      </c>
      <c r="F159" s="48">
        <f t="shared" si="53"/>
        <v>101.26086653897966</v>
      </c>
      <c r="G159" s="48">
        <f t="shared" si="45"/>
        <v>5.1190682879667975</v>
      </c>
      <c r="J159" s="48">
        <f t="shared" si="54"/>
        <v>1.3948894183029306</v>
      </c>
      <c r="Q159" s="8">
        <f t="shared" si="48"/>
        <v>100</v>
      </c>
      <c r="R159" s="9">
        <f t="shared" si="49"/>
        <v>2.2669095926247111E-3</v>
      </c>
      <c r="S159" s="8">
        <f t="shared" si="55"/>
        <v>1</v>
      </c>
      <c r="T159" s="9">
        <f t="shared" si="56"/>
        <v>1.0258258123102204E-4</v>
      </c>
      <c r="U159" s="9">
        <f t="shared" si="57"/>
        <v>1.010755386523353E-4</v>
      </c>
      <c r="V159" s="9">
        <f t="shared" si="58"/>
        <v>2.4842701409560755E-2</v>
      </c>
    </row>
    <row r="160" spans="1:22">
      <c r="A160" s="8">
        <f t="shared" si="50"/>
        <v>0.74500000000000055</v>
      </c>
      <c r="B160" s="48">
        <f t="shared" si="51"/>
        <v>148.92862851614532</v>
      </c>
      <c r="C160" s="48">
        <f t="shared" si="46"/>
        <v>49.43741999391564</v>
      </c>
      <c r="D160" s="45">
        <f t="shared" si="47"/>
        <v>0.99112484269795442</v>
      </c>
      <c r="E160" s="48">
        <f t="shared" si="52"/>
        <v>-98.169443517370993</v>
      </c>
      <c r="F160" s="48">
        <f t="shared" si="53"/>
        <v>103.51638153950796</v>
      </c>
      <c r="G160" s="48">
        <f t="shared" si="45"/>
        <v>5.3469380221369676</v>
      </c>
      <c r="J160" s="48">
        <f t="shared" si="54"/>
        <v>2.2453884075531971</v>
      </c>
      <c r="Q160" s="8">
        <f t="shared" si="48"/>
        <v>100</v>
      </c>
      <c r="R160" s="9">
        <f t="shared" si="49"/>
        <v>9.1220204498747401E-4</v>
      </c>
      <c r="S160" s="8">
        <f t="shared" si="55"/>
        <v>1</v>
      </c>
      <c r="T160" s="9">
        <f t="shared" si="56"/>
        <v>4.145320191865156E-2</v>
      </c>
      <c r="U160" s="9">
        <f t="shared" si="57"/>
        <v>4.0840127953441746E-2</v>
      </c>
      <c r="V160" s="9">
        <f t="shared" si="58"/>
        <v>6.8630930930264109E-2</v>
      </c>
    </row>
    <row r="161" spans="1:22">
      <c r="A161" s="8">
        <f t="shared" si="50"/>
        <v>0.75000000000000056</v>
      </c>
      <c r="B161" s="48">
        <f t="shared" si="51"/>
        <v>146.86051778542384</v>
      </c>
      <c r="C161" s="48">
        <f t="shared" si="46"/>
        <v>47.359407365681264</v>
      </c>
      <c r="D161" s="45">
        <f t="shared" si="47"/>
        <v>0.98961521339307779</v>
      </c>
      <c r="E161" s="48">
        <f t="shared" si="52"/>
        <v>-97.975995281558838</v>
      </c>
      <c r="F161" s="48">
        <f t="shared" si="53"/>
        <v>103.30502875388284</v>
      </c>
      <c r="G161" s="48">
        <f t="shared" si="45"/>
        <v>5.3290334723239994</v>
      </c>
      <c r="J161" s="48">
        <f t="shared" si="54"/>
        <v>-0.22170494137823227</v>
      </c>
      <c r="Q161" s="8">
        <f t="shared" si="48"/>
        <v>100</v>
      </c>
      <c r="R161" s="9">
        <f t="shared" si="49"/>
        <v>1.0717498296440333E-3</v>
      </c>
      <c r="S161" s="8">
        <f t="shared" si="55"/>
        <v>-1</v>
      </c>
      <c r="T161" s="9">
        <f t="shared" si="56"/>
        <v>-4.8503584779439699E-3</v>
      </c>
      <c r="U161" s="9">
        <f t="shared" si="57"/>
        <v>-4.7781460479775426E-3</v>
      </c>
      <c r="V161" s="9">
        <f t="shared" si="58"/>
        <v>-1.3886589511547691E-2</v>
      </c>
    </row>
    <row r="162" spans="1:22">
      <c r="A162" s="8">
        <f t="shared" si="50"/>
        <v>0.75500000000000056</v>
      </c>
      <c r="B162" s="48">
        <f t="shared" si="51"/>
        <v>156.84103749342614</v>
      </c>
      <c r="C162" s="48">
        <f t="shared" si="46"/>
        <v>57.329844268422576</v>
      </c>
      <c r="D162" s="45">
        <f t="shared" si="47"/>
        <v>0.99666409463121608</v>
      </c>
      <c r="E162" s="48">
        <f t="shared" si="52"/>
        <v>-98.987986365983616</v>
      </c>
      <c r="F162" s="48">
        <f t="shared" si="53"/>
        <v>104.42091361985814</v>
      </c>
      <c r="G162" s="48">
        <f t="shared" si="45"/>
        <v>5.4329272538745244</v>
      </c>
      <c r="J162" s="48">
        <f t="shared" si="54"/>
        <v>1.1055538465575563</v>
      </c>
      <c r="Q162" s="8">
        <f t="shared" si="48"/>
        <v>100</v>
      </c>
      <c r="R162" s="9">
        <f t="shared" si="49"/>
        <v>3.7046698036614017E-4</v>
      </c>
      <c r="S162" s="8">
        <f t="shared" si="55"/>
        <v>1</v>
      </c>
      <c r="T162" s="9">
        <f t="shared" si="56"/>
        <v>1.8253426325071546E-2</v>
      </c>
      <c r="U162" s="9">
        <f t="shared" si="57"/>
        <v>1.7979870134577029E-2</v>
      </c>
      <c r="V162" s="9">
        <f t="shared" si="58"/>
        <v>6.7959175539505617E-2</v>
      </c>
    </row>
    <row r="163" spans="1:22">
      <c r="A163" s="8">
        <f t="shared" si="50"/>
        <v>0.76000000000000056</v>
      </c>
      <c r="B163" s="48">
        <f t="shared" si="51"/>
        <v>159.4836739345366</v>
      </c>
      <c r="C163" s="48">
        <f t="shared" si="46"/>
        <v>59.962525533023182</v>
      </c>
      <c r="D163" s="45">
        <f t="shared" si="47"/>
        <v>0.99771575901202059</v>
      </c>
      <c r="E163" s="48">
        <f t="shared" si="52"/>
        <v>-99.156849256598605</v>
      </c>
      <c r="F163" s="48">
        <f t="shared" si="53"/>
        <v>104.59907953253889</v>
      </c>
      <c r="G163" s="48">
        <f t="shared" si="45"/>
        <v>5.4422302759402896</v>
      </c>
      <c r="J163" s="48">
        <f t="shared" si="54"/>
        <v>0.16772329919679227</v>
      </c>
      <c r="Q163" s="8">
        <f t="shared" si="48"/>
        <v>100</v>
      </c>
      <c r="R163" s="9">
        <f t="shared" si="49"/>
        <v>2.6153935857026292E-4</v>
      </c>
      <c r="S163" s="8">
        <f t="shared" si="55"/>
        <v>-1</v>
      </c>
      <c r="T163" s="9">
        <f t="shared" si="56"/>
        <v>-1.0929887496330837E-3</v>
      </c>
      <c r="U163" s="9">
        <f t="shared" si="57"/>
        <v>-1.0765009453948401E-3</v>
      </c>
      <c r="V163" s="9">
        <f t="shared" si="58"/>
        <v>1.684913899668139E-2</v>
      </c>
    </row>
    <row r="164" spans="1:22">
      <c r="A164" s="8">
        <f t="shared" si="50"/>
        <v>0.76500000000000057</v>
      </c>
      <c r="B164" s="48">
        <f t="shared" si="51"/>
        <v>163.06314833545176</v>
      </c>
      <c r="C164" s="48">
        <f t="shared" si="46"/>
        <v>63.532045962569455</v>
      </c>
      <c r="D164" s="45">
        <f t="shared" si="47"/>
        <v>0.99862513410317433</v>
      </c>
      <c r="E164" s="48">
        <f t="shared" si="52"/>
        <v>-99.306912411206852</v>
      </c>
      <c r="F164" s="48">
        <f t="shared" si="53"/>
        <v>104.75782552888636</v>
      </c>
      <c r="G164" s="48">
        <f t="shared" si="45"/>
        <v>5.4509131176795051</v>
      </c>
      <c r="J164" s="48">
        <f t="shared" si="54"/>
        <v>0.14828556538136747</v>
      </c>
      <c r="Q164" s="8">
        <f t="shared" si="48"/>
        <v>100</v>
      </c>
      <c r="R164" s="9">
        <f t="shared" si="49"/>
        <v>1.6288427741647894E-4</v>
      </c>
      <c r="S164" s="8">
        <f t="shared" si="55"/>
        <v>-1</v>
      </c>
      <c r="T164" s="9">
        <f t="shared" si="56"/>
        <v>-2.355221586129557E-4</v>
      </c>
      <c r="U164" s="9">
        <f t="shared" si="57"/>
        <v>-2.3194609622322382E-4</v>
      </c>
      <c r="V164" s="9">
        <f t="shared" si="58"/>
        <v>2.2444143106362283E-2</v>
      </c>
    </row>
    <row r="165" spans="1:22">
      <c r="A165" s="8">
        <f t="shared" si="50"/>
        <v>0.77000000000000057</v>
      </c>
      <c r="B165" s="48">
        <f t="shared" si="51"/>
        <v>163.54235259348624</v>
      </c>
      <c r="C165" s="48">
        <f t="shared" si="46"/>
        <v>64.001296462144666</v>
      </c>
      <c r="D165" s="45">
        <f t="shared" si="47"/>
        <v>0.99882433934279591</v>
      </c>
      <c r="E165" s="48">
        <f t="shared" si="52"/>
        <v>-99.348785821610818</v>
      </c>
      <c r="F165" s="48">
        <f t="shared" si="53"/>
        <v>104.8008803287825</v>
      </c>
      <c r="G165" s="48">
        <f t="shared" si="45"/>
        <v>5.4520945071716795</v>
      </c>
      <c r="J165" s="48">
        <f t="shared" si="54"/>
        <v>3.2578493536662423E-2</v>
      </c>
      <c r="Q165" s="8">
        <f t="shared" si="48"/>
        <v>100</v>
      </c>
      <c r="R165" s="9">
        <f t="shared" si="49"/>
        <v>1.4226516652412921E-4</v>
      </c>
      <c r="S165" s="8">
        <f t="shared" si="55"/>
        <v>-1</v>
      </c>
      <c r="T165" s="9">
        <f t="shared" si="56"/>
        <v>-1.1488622468415794E-3</v>
      </c>
      <c r="U165" s="9">
        <f t="shared" si="57"/>
        <v>-1.1313053036848741E-3</v>
      </c>
      <c r="V165" s="9">
        <f t="shared" si="58"/>
        <v>2.9387649074987298E-3</v>
      </c>
    </row>
    <row r="166" spans="1:22">
      <c r="A166" s="8">
        <f t="shared" si="50"/>
        <v>0.77500000000000058</v>
      </c>
      <c r="B166" s="48">
        <f t="shared" si="51"/>
        <v>157.99587701652922</v>
      </c>
      <c r="C166" s="48">
        <f t="shared" si="46"/>
        <v>58.444867299237686</v>
      </c>
      <c r="D166" s="45">
        <f t="shared" si="47"/>
        <v>0.99791623332727575</v>
      </c>
      <c r="E166" s="48">
        <f t="shared" si="52"/>
        <v>-99.221783174336665</v>
      </c>
      <c r="F166" s="48">
        <f t="shared" si="53"/>
        <v>104.66788393449116</v>
      </c>
      <c r="G166" s="48">
        <f t="shared" si="45"/>
        <v>5.4461007601544935</v>
      </c>
      <c r="J166" s="48">
        <f t="shared" si="54"/>
        <v>-0.14347700634609364</v>
      </c>
      <c r="Q166" s="8">
        <f t="shared" si="48"/>
        <v>100</v>
      </c>
      <c r="R166" s="9">
        <f t="shared" si="49"/>
        <v>2.508750221733181E-4</v>
      </c>
      <c r="S166" s="8">
        <f t="shared" si="55"/>
        <v>1</v>
      </c>
      <c r="T166" s="9">
        <f t="shared" si="56"/>
        <v>1.6836807761232884E-3</v>
      </c>
      <c r="U166" s="9">
        <f t="shared" si="57"/>
        <v>1.6577849353138871E-3</v>
      </c>
      <c r="V166" s="9">
        <f t="shared" si="58"/>
        <v>-3.3914612875502521E-2</v>
      </c>
    </row>
    <row r="167" spans="1:22">
      <c r="A167" s="8">
        <f t="shared" si="50"/>
        <v>0.78000000000000058</v>
      </c>
      <c r="B167" s="48">
        <f t="shared" si="51"/>
        <v>150.71296105405176</v>
      </c>
      <c r="C167" s="48">
        <f t="shared" si="46"/>
        <v>51.152006192091818</v>
      </c>
      <c r="D167" s="45">
        <f t="shared" si="47"/>
        <v>0.99544151533270397</v>
      </c>
      <c r="E167" s="48">
        <f t="shared" si="52"/>
        <v>-98.873932139832277</v>
      </c>
      <c r="F167" s="48">
        <f t="shared" si="53"/>
        <v>104.30537916950583</v>
      </c>
      <c r="G167" s="48">
        <f t="shared" si="45"/>
        <v>5.4314470296735493</v>
      </c>
      <c r="J167" s="48">
        <f t="shared" si="54"/>
        <v>-0.37297207673565674</v>
      </c>
      <c r="Q167" s="8">
        <f t="shared" si="48"/>
        <v>100</v>
      </c>
      <c r="R167" s="9">
        <f t="shared" si="49"/>
        <v>5.381782322299223E-4</v>
      </c>
      <c r="S167" s="8">
        <f t="shared" si="55"/>
        <v>1</v>
      </c>
      <c r="T167" s="9">
        <f t="shared" si="56"/>
        <v>9.2435062425617869E-3</v>
      </c>
      <c r="U167" s="9">
        <f t="shared" si="57"/>
        <v>9.1004264690571959E-3</v>
      </c>
      <c r="V167" s="9">
        <f t="shared" si="58"/>
        <v>-4.6095607682949451E-2</v>
      </c>
    </row>
    <row r="168" spans="1:22">
      <c r="A168" s="8">
        <f t="shared" si="50"/>
        <v>0.78500000000000059</v>
      </c>
      <c r="B168" s="48">
        <f t="shared" si="51"/>
        <v>146.46961357799071</v>
      </c>
      <c r="C168" s="48">
        <f t="shared" si="46"/>
        <v>46.898728835739973</v>
      </c>
      <c r="D168" s="45">
        <f t="shared" si="47"/>
        <v>0.99303968738343418</v>
      </c>
      <c r="E168" s="48">
        <f t="shared" si="52"/>
        <v>-98.551410442920343</v>
      </c>
      <c r="F168" s="48">
        <f t="shared" si="53"/>
        <v>103.96401541735671</v>
      </c>
      <c r="G168" s="48">
        <f t="shared" si="45"/>
        <v>5.4126049744363627</v>
      </c>
      <c r="J168" s="48">
        <f t="shared" si="54"/>
        <v>-0.35179481161036502</v>
      </c>
      <c r="Q168" s="8">
        <f t="shared" si="48"/>
        <v>100</v>
      </c>
      <c r="R168" s="9">
        <f t="shared" si="49"/>
        <v>8.1569719460926251E-4</v>
      </c>
      <c r="S168" s="8">
        <f t="shared" si="55"/>
        <v>1</v>
      </c>
      <c r="T168" s="9">
        <f t="shared" si="56"/>
        <v>1.5768130063491764E-3</v>
      </c>
      <c r="U168" s="9">
        <f t="shared" si="57"/>
        <v>1.5522503634314798E-3</v>
      </c>
      <c r="V168" s="9">
        <f t="shared" si="58"/>
        <v>-2.8155159625184528E-2</v>
      </c>
    </row>
    <row r="169" spans="1:22">
      <c r="A169" s="8">
        <f t="shared" si="50"/>
        <v>0.79000000000000059</v>
      </c>
      <c r="B169" s="48">
        <f t="shared" si="51"/>
        <v>145.0814459537747</v>
      </c>
      <c r="C169" s="48">
        <f t="shared" si="46"/>
        <v>45.500613932113353</v>
      </c>
      <c r="D169" s="45">
        <f t="shared" si="47"/>
        <v>0.99237749355495697</v>
      </c>
      <c r="E169" s="48">
        <f t="shared" si="52"/>
        <v>-98.474947764822545</v>
      </c>
      <c r="F169" s="48">
        <f t="shared" si="53"/>
        <v>103.87834030059871</v>
      </c>
      <c r="G169" s="48">
        <f t="shared" si="45"/>
        <v>5.4033925357761632</v>
      </c>
      <c r="J169" s="48">
        <f t="shared" si="54"/>
        <v>-9.607203813713934E-2</v>
      </c>
      <c r="Q169" s="8">
        <f t="shared" si="48"/>
        <v>100</v>
      </c>
      <c r="R169" s="9">
        <f t="shared" si="49"/>
        <v>9.0276118119801425E-4</v>
      </c>
      <c r="S169" s="8">
        <f t="shared" si="55"/>
        <v>-1</v>
      </c>
      <c r="T169" s="9">
        <f t="shared" si="56"/>
        <v>-4.9659211043409333E-3</v>
      </c>
      <c r="U169" s="9">
        <f t="shared" si="57"/>
        <v>-4.8880761454951176E-3</v>
      </c>
      <c r="V169" s="9">
        <f t="shared" si="58"/>
        <v>-9.477512709329651E-3</v>
      </c>
    </row>
    <row r="170" spans="1:22">
      <c r="A170" s="8">
        <f t="shared" si="50"/>
        <v>0.7950000000000006</v>
      </c>
      <c r="B170" s="48">
        <f t="shared" si="51"/>
        <v>139.33872090493986</v>
      </c>
      <c r="C170" s="48">
        <f t="shared" si="46"/>
        <v>39.748147468607186</v>
      </c>
      <c r="D170" s="45">
        <f t="shared" si="47"/>
        <v>0.98604313302207625</v>
      </c>
      <c r="E170" s="48">
        <f t="shared" si="52"/>
        <v>-97.645841443788385</v>
      </c>
      <c r="F170" s="48">
        <f t="shared" si="53"/>
        <v>103.00610695963546</v>
      </c>
      <c r="G170" s="48">
        <f t="shared" si="45"/>
        <v>5.3602655158470753</v>
      </c>
      <c r="J170" s="48">
        <f t="shared" si="54"/>
        <v>-0.88262169440233318</v>
      </c>
      <c r="Q170" s="8">
        <f t="shared" si="48"/>
        <v>100</v>
      </c>
      <c r="R170" s="9">
        <f t="shared" si="49"/>
        <v>1.6118990202725891E-3</v>
      </c>
      <c r="S170" s="8">
        <f t="shared" si="55"/>
        <v>1</v>
      </c>
      <c r="T170" s="9">
        <f t="shared" si="56"/>
        <v>1.4932561746437763E-2</v>
      </c>
      <c r="U170" s="9">
        <f t="shared" si="57"/>
        <v>1.4697011600759331E-2</v>
      </c>
      <c r="V170" s="9">
        <f t="shared" si="58"/>
        <v>-3.9582766845765838E-2</v>
      </c>
    </row>
    <row r="171" spans="1:22">
      <c r="A171" s="8">
        <f t="shared" si="50"/>
        <v>0.8000000000000006</v>
      </c>
      <c r="B171" s="48">
        <f t="shared" si="51"/>
        <v>140.67813357574906</v>
      </c>
      <c r="C171" s="48">
        <f t="shared" si="46"/>
        <v>41.077473271028495</v>
      </c>
      <c r="D171" s="45">
        <f t="shared" si="47"/>
        <v>0.98882398883528333</v>
      </c>
      <c r="E171" s="48">
        <f t="shared" si="52"/>
        <v>-98.028439913246487</v>
      </c>
      <c r="F171" s="48">
        <f t="shared" si="53"/>
        <v>103.40761369092436</v>
      </c>
      <c r="G171" s="48">
        <f t="shared" si="45"/>
        <v>5.3791737776778774</v>
      </c>
      <c r="J171" s="48">
        <f t="shared" si="54"/>
        <v>0.39120560554524442</v>
      </c>
      <c r="Q171" s="8">
        <f t="shared" si="48"/>
        <v>100</v>
      </c>
      <c r="R171" s="9">
        <f t="shared" ref="R171:R202" si="59">CallGamma(B171,$E$6,0,PL_r, PL_K, PL_T-A171)</f>
        <v>1.3334896298591418E-3</v>
      </c>
      <c r="S171" s="8">
        <f t="shared" si="55"/>
        <v>-1</v>
      </c>
      <c r="T171" s="9">
        <f t="shared" si="56"/>
        <v>-6.8627369384026225E-3</v>
      </c>
      <c r="U171" s="9">
        <f t="shared" si="57"/>
        <v>-6.7538069114345851E-3</v>
      </c>
      <c r="V171" s="9">
        <f t="shared" si="58"/>
        <v>9.6126379093358742E-3</v>
      </c>
    </row>
    <row r="172" spans="1:22">
      <c r="A172" s="8">
        <f t="shared" ref="A172:A203" si="60">A171+dt</f>
        <v>0.8050000000000006</v>
      </c>
      <c r="B172" s="48">
        <f t="shared" ref="B172:B203" si="61">B171*EXP((PL_r-0.5*Vol_a^2)*dt+Vol_a*SQRT(dt)*NormalRN())</f>
        <v>135.02477208582064</v>
      </c>
      <c r="C172" s="48">
        <f t="shared" si="46"/>
        <v>35.414757626540251</v>
      </c>
      <c r="D172" s="45">
        <f t="shared" si="47"/>
        <v>0.97959341848904047</v>
      </c>
      <c r="E172" s="48">
        <f t="shared" si="52"/>
        <v>-96.85462044171237</v>
      </c>
      <c r="F172" s="48">
        <f t="shared" si="53"/>
        <v>102.1715993121252</v>
      </c>
      <c r="G172" s="48">
        <f t="shared" si="45"/>
        <v>5.3169788704128251</v>
      </c>
      <c r="J172" s="48">
        <f t="shared" si="54"/>
        <v>-1.2463556572235768</v>
      </c>
      <c r="Q172" s="8">
        <f t="shared" si="48"/>
        <v>100</v>
      </c>
      <c r="R172" s="9">
        <f t="shared" si="59"/>
        <v>2.3600515390723039E-3</v>
      </c>
      <c r="S172" s="8">
        <f t="shared" ref="S172:S203" si="62">IF(V172^2 &lt; ($E$6^2*dt), -1, 1)</f>
        <v>1</v>
      </c>
      <c r="T172" s="9">
        <f t="shared" ref="T172:T203" si="63">0.5*R172*(B172^2)*(V172^2-$E$6^2*dt)</f>
        <v>2.1566670786808365E-2</v>
      </c>
      <c r="U172" s="9">
        <f t="shared" ref="U172:U203" si="64">T172*EXP(-PL_r*A172)</f>
        <v>2.1222227595062142E-2</v>
      </c>
      <c r="V172" s="9">
        <f t="shared" si="58"/>
        <v>-4.0186497689666353E-2</v>
      </c>
    </row>
    <row r="173" spans="1:22">
      <c r="A173" s="8">
        <f t="shared" si="60"/>
        <v>0.81000000000000061</v>
      </c>
      <c r="B173" s="48">
        <f t="shared" si="61"/>
        <v>130.31168914228616</v>
      </c>
      <c r="C173" s="48">
        <f t="shared" si="46"/>
        <v>30.693811219813</v>
      </c>
      <c r="D173" s="45">
        <f t="shared" si="47"/>
        <v>0.96686660248146394</v>
      </c>
      <c r="E173" s="48">
        <f t="shared" si="52"/>
        <v>-95.300208924809894</v>
      </c>
      <c r="F173" s="48">
        <f t="shared" si="53"/>
        <v>100.52336409158106</v>
      </c>
      <c r="G173" s="48">
        <f t="shared" si="45"/>
        <v>5.2231551667711642</v>
      </c>
      <c r="J173" s="48">
        <f t="shared" si="54"/>
        <v>-1.6584528913503835</v>
      </c>
      <c r="Q173" s="8">
        <f t="shared" si="48"/>
        <v>100</v>
      </c>
      <c r="R173" s="9">
        <f t="shared" si="59"/>
        <v>3.7154506785990571E-3</v>
      </c>
      <c r="S173" s="8">
        <f t="shared" si="62"/>
        <v>1</v>
      </c>
      <c r="T173" s="9">
        <f t="shared" si="63"/>
        <v>1.9113308630346361E-2</v>
      </c>
      <c r="U173" s="9">
        <f t="shared" si="64"/>
        <v>1.8806167590105866E-2</v>
      </c>
      <c r="V173" s="9">
        <f t="shared" si="58"/>
        <v>-3.4905320488442602E-2</v>
      </c>
    </row>
    <row r="174" spans="1:22">
      <c r="A174" s="8">
        <f t="shared" si="60"/>
        <v>0.81500000000000061</v>
      </c>
      <c r="B174" s="48">
        <f t="shared" si="61"/>
        <v>129.62375615439313</v>
      </c>
      <c r="C174" s="48">
        <f t="shared" si="46"/>
        <v>29.996093961322515</v>
      </c>
      <c r="D174" s="45">
        <f t="shared" si="47"/>
        <v>0.96587926385994505</v>
      </c>
      <c r="E174" s="48">
        <f t="shared" si="52"/>
        <v>-95.204804211843751</v>
      </c>
      <c r="F174" s="48">
        <f t="shared" si="53"/>
        <v>100.40543438990622</v>
      </c>
      <c r="G174" s="48">
        <f t="shared" si="45"/>
        <v>5.2006301780624682</v>
      </c>
      <c r="J174" s="48">
        <f t="shared" si="54"/>
        <v>-0.12798254071758006</v>
      </c>
      <c r="Q174" s="8">
        <f t="shared" si="48"/>
        <v>100</v>
      </c>
      <c r="R174" s="9">
        <f t="shared" si="59"/>
        <v>3.877900022526319E-3</v>
      </c>
      <c r="S174" s="8">
        <f t="shared" si="62"/>
        <v>-1</v>
      </c>
      <c r="T174" s="9">
        <f t="shared" si="63"/>
        <v>-1.904659992074783E-2</v>
      </c>
      <c r="U174" s="9">
        <f t="shared" si="64"/>
        <v>-1.8738656895778142E-2</v>
      </c>
      <c r="V174" s="9">
        <f t="shared" si="58"/>
        <v>-5.2791349143043714E-3</v>
      </c>
    </row>
    <row r="175" spans="1:22">
      <c r="A175" s="8">
        <f t="shared" si="60"/>
        <v>0.82000000000000062</v>
      </c>
      <c r="B175" s="48">
        <f t="shared" si="61"/>
        <v>131.36446894817033</v>
      </c>
      <c r="C175" s="48">
        <f t="shared" si="46"/>
        <v>31.725270181586438</v>
      </c>
      <c r="D175" s="45">
        <f t="shared" si="47"/>
        <v>0.97354523977653562</v>
      </c>
      <c r="E175" s="48">
        <f t="shared" si="52"/>
        <v>-96.163983238677304</v>
      </c>
      <c r="F175" s="48">
        <f t="shared" si="53"/>
        <v>101.42251229064151</v>
      </c>
      <c r="G175" s="48">
        <f t="shared" si="45"/>
        <v>5.2585290519642029</v>
      </c>
      <c r="J175" s="48">
        <f t="shared" si="54"/>
        <v>1.0070368552523838</v>
      </c>
      <c r="Q175" s="8">
        <f t="shared" si="48"/>
        <v>100</v>
      </c>
      <c r="R175" s="9">
        <f t="shared" si="59"/>
        <v>3.1414276978128704E-3</v>
      </c>
      <c r="S175" s="8">
        <f t="shared" si="62"/>
        <v>-1</v>
      </c>
      <c r="T175" s="9">
        <f t="shared" si="63"/>
        <v>-1.1713870027899448E-2</v>
      </c>
      <c r="U175" s="9">
        <f t="shared" si="64"/>
        <v>-1.1523329264337608E-2</v>
      </c>
      <c r="V175" s="9">
        <f t="shared" si="58"/>
        <v>1.3428964299598384E-2</v>
      </c>
    </row>
    <row r="176" spans="1:22">
      <c r="A176" s="8">
        <f t="shared" si="60"/>
        <v>0.82500000000000062</v>
      </c>
      <c r="B176" s="48">
        <f t="shared" si="61"/>
        <v>124.28238334050401</v>
      </c>
      <c r="C176" s="48">
        <f t="shared" si="46"/>
        <v>24.643748484168711</v>
      </c>
      <c r="D176" s="45">
        <f t="shared" si="47"/>
        <v>0.94315610652616944</v>
      </c>
      <c r="E176" s="48">
        <f t="shared" si="52"/>
        <v>-92.573940297053923</v>
      </c>
      <c r="F176" s="48">
        <f t="shared" si="53"/>
        <v>97.655821140992387</v>
      </c>
      <c r="G176" s="48">
        <f t="shared" ref="G176:G211" si="65">F176+E176</f>
        <v>5.081880843938464</v>
      </c>
      <c r="J176" s="48">
        <f t="shared" si="54"/>
        <v>-3.7768339080076667</v>
      </c>
      <c r="Q176" s="8">
        <f t="shared" si="48"/>
        <v>100</v>
      </c>
      <c r="R176" s="9">
        <f t="shared" si="59"/>
        <v>6.2743506988882395E-3</v>
      </c>
      <c r="S176" s="8">
        <f t="shared" si="62"/>
        <v>1</v>
      </c>
      <c r="T176" s="9">
        <f t="shared" si="63"/>
        <v>0.11115948442611244</v>
      </c>
      <c r="U176" s="9">
        <f t="shared" si="64"/>
        <v>0.10934040163635064</v>
      </c>
      <c r="V176" s="9">
        <f t="shared" si="58"/>
        <v>-5.3911728676500355E-2</v>
      </c>
    </row>
    <row r="177" spans="1:22">
      <c r="A177" s="8">
        <f t="shared" si="60"/>
        <v>0.83000000000000063</v>
      </c>
      <c r="B177" s="48">
        <f t="shared" si="61"/>
        <v>123.4145229267517</v>
      </c>
      <c r="C177" s="48">
        <f t="shared" si="46"/>
        <v>23.767646634833469</v>
      </c>
      <c r="D177" s="45">
        <f t="shared" si="47"/>
        <v>0.93985436567789793</v>
      </c>
      <c r="E177" s="48">
        <f t="shared" si="52"/>
        <v>-92.224031525929149</v>
      </c>
      <c r="F177" s="48">
        <f t="shared" si="53"/>
        <v>97.258104439784674</v>
      </c>
      <c r="G177" s="48">
        <f t="shared" si="65"/>
        <v>5.0340729138555247</v>
      </c>
      <c r="J177" s="48">
        <f t="shared" si="54"/>
        <v>-0.40748277161719637</v>
      </c>
      <c r="Q177" s="8">
        <f t="shared" si="48"/>
        <v>100</v>
      </c>
      <c r="R177" s="9">
        <f t="shared" si="59"/>
        <v>6.7013307518210717E-3</v>
      </c>
      <c r="S177" s="8">
        <f t="shared" si="62"/>
        <v>-1</v>
      </c>
      <c r="T177" s="9">
        <f t="shared" si="63"/>
        <v>-2.8770074297741074E-2</v>
      </c>
      <c r="U177" s="9">
        <f t="shared" si="64"/>
        <v>-2.8296433162153276E-2</v>
      </c>
      <c r="V177" s="9">
        <f t="shared" si="58"/>
        <v>-6.9829720868369652E-3</v>
      </c>
    </row>
    <row r="178" spans="1:22">
      <c r="A178" s="8">
        <f t="shared" si="60"/>
        <v>0.83500000000000063</v>
      </c>
      <c r="B178" s="48">
        <f t="shared" si="61"/>
        <v>120.40030513500923</v>
      </c>
      <c r="C178" s="48">
        <f t="shared" si="46"/>
        <v>20.759942578825985</v>
      </c>
      <c r="D178" s="45">
        <f t="shared" si="47"/>
        <v>0.91926349659871165</v>
      </c>
      <c r="E178" s="48">
        <f t="shared" si="52"/>
        <v>-89.919662911134424</v>
      </c>
      <c r="F178" s="48">
        <f t="shared" si="53"/>
        <v>94.788683816406333</v>
      </c>
      <c r="G178" s="48">
        <f t="shared" si="65"/>
        <v>4.8690209052719098</v>
      </c>
      <c r="J178" s="48">
        <f t="shared" si="54"/>
        <v>-2.4791469201290548</v>
      </c>
      <c r="Q178" s="8">
        <f t="shared" si="48"/>
        <v>100</v>
      </c>
      <c r="R178" s="9">
        <f t="shared" si="59"/>
        <v>8.7454427128681473E-3</v>
      </c>
      <c r="S178" s="8">
        <f t="shared" si="62"/>
        <v>-1</v>
      </c>
      <c r="T178" s="9">
        <f t="shared" si="63"/>
        <v>-1.0136617318346898E-3</v>
      </c>
      <c r="U178" s="9">
        <f t="shared" si="64"/>
        <v>-9.968741473987291E-4</v>
      </c>
      <c r="V178" s="9">
        <f t="shared" si="58"/>
        <v>-2.4423525856283941E-2</v>
      </c>
    </row>
    <row r="179" spans="1:22">
      <c r="A179" s="8">
        <f t="shared" si="60"/>
        <v>0.84000000000000064</v>
      </c>
      <c r="B179" s="48">
        <f t="shared" si="61"/>
        <v>123.28605148412262</v>
      </c>
      <c r="C179" s="48">
        <f t="shared" si="46"/>
        <v>23.61635291726671</v>
      </c>
      <c r="D179" s="45">
        <f t="shared" si="47"/>
        <v>0.94387063000173921</v>
      </c>
      <c r="E179" s="48">
        <f t="shared" si="52"/>
        <v>-92.749730167478972</v>
      </c>
      <c r="F179" s="48">
        <f t="shared" si="53"/>
        <v>97.831879474349535</v>
      </c>
      <c r="G179" s="48">
        <f t="shared" si="65"/>
        <v>5.0821493068705621</v>
      </c>
      <c r="J179" s="48">
        <f t="shared" si="54"/>
        <v>3.0337163156023292</v>
      </c>
      <c r="Q179" s="8">
        <f t="shared" si="48"/>
        <v>100</v>
      </c>
      <c r="R179" s="9">
        <f t="shared" si="59"/>
        <v>6.5492888014520682E-3</v>
      </c>
      <c r="S179" s="8">
        <f t="shared" si="62"/>
        <v>-1</v>
      </c>
      <c r="T179" s="9">
        <f t="shared" si="63"/>
        <v>-1.8932688687213095E-3</v>
      </c>
      <c r="U179" s="9">
        <f t="shared" si="64"/>
        <v>-1.8617276398951437E-3</v>
      </c>
      <c r="V179" s="9">
        <f t="shared" si="58"/>
        <v>2.3967932189851993E-2</v>
      </c>
    </row>
    <row r="180" spans="1:22">
      <c r="A180" s="8">
        <f t="shared" si="60"/>
        <v>0.84500000000000064</v>
      </c>
      <c r="B180" s="48">
        <f t="shared" si="61"/>
        <v>122.4040828439057</v>
      </c>
      <c r="C180" s="48">
        <f t="shared" si="46"/>
        <v>22.72605338395222</v>
      </c>
      <c r="D180" s="45">
        <f t="shared" si="47"/>
        <v>0.9404405147787781</v>
      </c>
      <c r="E180" s="48">
        <f t="shared" si="52"/>
        <v>-92.38770529679465</v>
      </c>
      <c r="F180" s="48">
        <f t="shared" si="53"/>
        <v>97.421803043557205</v>
      </c>
      <c r="G180" s="48">
        <f t="shared" si="65"/>
        <v>5.0340977467625549</v>
      </c>
      <c r="J180" s="48">
        <f t="shared" si="54"/>
        <v>-0.41986010791547324</v>
      </c>
      <c r="Q180" s="8">
        <f t="shared" si="48"/>
        <v>100</v>
      </c>
      <c r="R180" s="9">
        <f t="shared" si="59"/>
        <v>7.0219616539366246E-3</v>
      </c>
      <c r="S180" s="8">
        <f t="shared" si="62"/>
        <v>-1</v>
      </c>
      <c r="T180" s="9">
        <f t="shared" si="63"/>
        <v>-2.9527914710131657E-2</v>
      </c>
      <c r="U180" s="9">
        <f t="shared" si="64"/>
        <v>-2.903308603114671E-2</v>
      </c>
      <c r="V180" s="9">
        <f t="shared" si="58"/>
        <v>-7.1538396241890316E-3</v>
      </c>
    </row>
    <row r="181" spans="1:22">
      <c r="A181" s="8">
        <f t="shared" si="60"/>
        <v>0.85000000000000064</v>
      </c>
      <c r="B181" s="48">
        <f t="shared" si="61"/>
        <v>123.00292534153367</v>
      </c>
      <c r="C181" s="48">
        <f t="shared" si="46"/>
        <v>23.31122304452407</v>
      </c>
      <c r="D181" s="45">
        <f t="shared" si="47"/>
        <v>0.9470879000815341</v>
      </c>
      <c r="E181" s="48">
        <f t="shared" si="52"/>
        <v>-93.183359221074767</v>
      </c>
      <c r="F181" s="48">
        <f t="shared" si="53"/>
        <v>98.249193549098109</v>
      </c>
      <c r="G181" s="48">
        <f t="shared" si="65"/>
        <v>5.0658343280233424</v>
      </c>
      <c r="J181" s="48">
        <f t="shared" si="54"/>
        <v>0.81764783811130359</v>
      </c>
      <c r="Q181" s="8">
        <f t="shared" si="48"/>
        <v>100</v>
      </c>
      <c r="R181" s="9">
        <f t="shared" si="59"/>
        <v>6.4704205162939748E-3</v>
      </c>
      <c r="S181" s="8">
        <f t="shared" si="62"/>
        <v>-1</v>
      </c>
      <c r="T181" s="9">
        <f t="shared" si="63"/>
        <v>-2.880897618257924E-2</v>
      </c>
      <c r="U181" s="9">
        <f t="shared" si="64"/>
        <v>-2.8323362994700306E-2</v>
      </c>
      <c r="V181" s="9">
        <f t="shared" si="58"/>
        <v>4.8923408738876526E-3</v>
      </c>
    </row>
    <row r="182" spans="1:22">
      <c r="A182" s="8">
        <f t="shared" si="60"/>
        <v>0.85500000000000065</v>
      </c>
      <c r="B182" s="48">
        <f t="shared" si="61"/>
        <v>126.56446085523085</v>
      </c>
      <c r="C182" s="48">
        <f t="shared" si="46"/>
        <v>26.856077677381862</v>
      </c>
      <c r="D182" s="45">
        <f t="shared" si="47"/>
        <v>0.9682746219802042</v>
      </c>
      <c r="E182" s="48">
        <f t="shared" si="52"/>
        <v>-95.693077813345141</v>
      </c>
      <c r="F182" s="48">
        <f t="shared" si="53"/>
        <v>100.94050499411026</v>
      </c>
      <c r="G182" s="48">
        <f t="shared" si="65"/>
        <v>5.2474271807651149</v>
      </c>
      <c r="J182" s="48">
        <f t="shared" si="54"/>
        <v>2.6814860343948945</v>
      </c>
      <c r="Q182" s="8">
        <f t="shared" si="48"/>
        <v>100</v>
      </c>
      <c r="R182" s="9">
        <f t="shared" si="59"/>
        <v>4.2248976150738426E-3</v>
      </c>
      <c r="S182" s="8">
        <f t="shared" si="62"/>
        <v>1</v>
      </c>
      <c r="T182" s="9">
        <f t="shared" si="63"/>
        <v>7.6435972383409358E-3</v>
      </c>
      <c r="U182" s="9">
        <f t="shared" si="64"/>
        <v>7.51400291490497E-3</v>
      </c>
      <c r="V182" s="9">
        <f t="shared" si="58"/>
        <v>2.8954884640410884E-2</v>
      </c>
    </row>
    <row r="183" spans="1:22">
      <c r="A183" s="8">
        <f t="shared" si="60"/>
        <v>0.86000000000000065</v>
      </c>
      <c r="B183" s="48">
        <f t="shared" si="61"/>
        <v>126.2710265759104</v>
      </c>
      <c r="C183" s="48">
        <f t="shared" si="46"/>
        <v>26.552472335898614</v>
      </c>
      <c r="D183" s="45">
        <f t="shared" si="47"/>
        <v>0.96912214415202669</v>
      </c>
      <c r="E183" s="48">
        <f t="shared" si="52"/>
        <v>-95.819575683625217</v>
      </c>
      <c r="F183" s="48">
        <f t="shared" si="53"/>
        <v>101.0576170440109</v>
      </c>
      <c r="G183" s="48">
        <f t="shared" si="65"/>
        <v>5.2380413603856795</v>
      </c>
      <c r="J183" s="48">
        <f t="shared" si="54"/>
        <v>0.10701749468187095</v>
      </c>
      <c r="Q183" s="8">
        <f t="shared" si="48"/>
        <v>100</v>
      </c>
      <c r="R183" s="9">
        <f t="shared" si="59"/>
        <v>4.2142396394114177E-3</v>
      </c>
      <c r="S183" s="8">
        <f t="shared" si="62"/>
        <v>-1</v>
      </c>
      <c r="T183" s="9">
        <f t="shared" si="63"/>
        <v>-2.0397389868238042E-2</v>
      </c>
      <c r="U183" s="9">
        <f t="shared" si="64"/>
        <v>-2.0049554720032486E-2</v>
      </c>
      <c r="V183" s="9">
        <f t="shared" si="58"/>
        <v>-2.3184571509066183E-3</v>
      </c>
    </row>
    <row r="184" spans="1:22">
      <c r="A184" s="8">
        <f t="shared" si="60"/>
        <v>0.86500000000000066</v>
      </c>
      <c r="B184" s="48">
        <f t="shared" si="61"/>
        <v>129.84551565182048</v>
      </c>
      <c r="C184" s="48">
        <f t="shared" si="46"/>
        <v>30.115490125826938</v>
      </c>
      <c r="D184" s="45">
        <f t="shared" si="47"/>
        <v>0.98283762524605078</v>
      </c>
      <c r="E184" s="48">
        <f t="shared" si="52"/>
        <v>-97.501568126257212</v>
      </c>
      <c r="F184" s="48">
        <f t="shared" si="53"/>
        <v>102.84861702608659</v>
      </c>
      <c r="G184" s="48">
        <f t="shared" si="65"/>
        <v>5.3470488998293746</v>
      </c>
      <c r="J184" s="48">
        <f t="shared" si="54"/>
        <v>1.7808937150663535</v>
      </c>
      <c r="Q184" s="8">
        <f t="shared" si="48"/>
        <v>100</v>
      </c>
      <c r="R184" s="9">
        <f t="shared" si="59"/>
        <v>2.5454554203663683E-3</v>
      </c>
      <c r="S184" s="8">
        <f t="shared" si="62"/>
        <v>1</v>
      </c>
      <c r="T184" s="9">
        <f t="shared" si="63"/>
        <v>4.0522769596140467E-3</v>
      </c>
      <c r="U184" s="9">
        <f t="shared" si="64"/>
        <v>3.9827754893464774E-3</v>
      </c>
      <c r="V184" s="9">
        <f t="shared" si="58"/>
        <v>2.8308070131679835E-2</v>
      </c>
    </row>
    <row r="185" spans="1:22">
      <c r="A185" s="8">
        <f t="shared" si="60"/>
        <v>0.87000000000000066</v>
      </c>
      <c r="B185" s="48">
        <f t="shared" si="61"/>
        <v>124.02345720979973</v>
      </c>
      <c r="C185" s="48">
        <f t="shared" si="46"/>
        <v>24.285954114850185</v>
      </c>
      <c r="D185" s="45">
        <f t="shared" si="47"/>
        <v>0.96325732534439312</v>
      </c>
      <c r="E185" s="48">
        <f t="shared" si="52"/>
        <v>-95.180549557026296</v>
      </c>
      <c r="F185" s="48">
        <f t="shared" si="53"/>
        <v>100.43048591504115</v>
      </c>
      <c r="G185" s="48">
        <f t="shared" si="65"/>
        <v>5.2499363580148497</v>
      </c>
      <c r="J185" s="48">
        <f t="shared" si="54"/>
        <v>-2.4284164870082847</v>
      </c>
      <c r="Q185" s="8">
        <f t="shared" si="48"/>
        <v>100</v>
      </c>
      <c r="R185" s="9">
        <f t="shared" si="59"/>
        <v>5.1375673365114541E-3</v>
      </c>
      <c r="S185" s="8">
        <f t="shared" si="62"/>
        <v>1</v>
      </c>
      <c r="T185" s="9">
        <f t="shared" si="63"/>
        <v>5.5237672393286238E-2</v>
      </c>
      <c r="U185" s="9">
        <f t="shared" si="64"/>
        <v>5.428485048383079E-2</v>
      </c>
      <c r="V185" s="9">
        <f t="shared" si="58"/>
        <v>-4.4838348192420767E-2</v>
      </c>
    </row>
    <row r="186" spans="1:22">
      <c r="A186" s="8">
        <f t="shared" si="60"/>
        <v>0.87500000000000067</v>
      </c>
      <c r="B186" s="48">
        <f t="shared" si="61"/>
        <v>124.58072869346756</v>
      </c>
      <c r="C186" s="48">
        <f t="shared" si="46"/>
        <v>24.832211805774548</v>
      </c>
      <c r="D186" s="45">
        <f t="shared" si="47"/>
        <v>0.96842945187543095</v>
      </c>
      <c r="E186" s="48">
        <f t="shared" si="52"/>
        <v>-95.815434997082022</v>
      </c>
      <c r="F186" s="48">
        <f t="shared" si="53"/>
        <v>101.08487675793333</v>
      </c>
      <c r="G186" s="48">
        <f t="shared" si="65"/>
        <v>5.2694417608513078</v>
      </c>
      <c r="J186" s="48">
        <f t="shared" si="54"/>
        <v>0.64434729213150865</v>
      </c>
      <c r="Q186" s="8">
        <f t="shared" si="48"/>
        <v>100</v>
      </c>
      <c r="R186" s="9">
        <f t="shared" si="59"/>
        <v>4.6041588532909957E-3</v>
      </c>
      <c r="S186" s="8">
        <f t="shared" si="62"/>
        <v>-1</v>
      </c>
      <c r="T186" s="9">
        <f t="shared" si="63"/>
        <v>-2.1162718484140228E-2</v>
      </c>
      <c r="U186" s="9">
        <f t="shared" si="64"/>
        <v>-2.0795592631190962E-2</v>
      </c>
      <c r="V186" s="9">
        <f t="shared" si="58"/>
        <v>4.4932748707782362E-3</v>
      </c>
    </row>
    <row r="187" spans="1:22">
      <c r="A187" s="8">
        <f t="shared" si="60"/>
        <v>0.88000000000000067</v>
      </c>
      <c r="B187" s="48">
        <f t="shared" si="61"/>
        <v>119.75247180102583</v>
      </c>
      <c r="C187" s="48">
        <f t="shared" si="46"/>
        <v>20.00204284477735</v>
      </c>
      <c r="D187" s="45">
        <f t="shared" si="47"/>
        <v>0.94146003185665106</v>
      </c>
      <c r="E187" s="48">
        <f t="shared" si="52"/>
        <v>-92.740123071929133</v>
      </c>
      <c r="F187" s="48">
        <f t="shared" si="53"/>
        <v>97.865331040761404</v>
      </c>
      <c r="G187" s="48">
        <f t="shared" si="65"/>
        <v>5.1252079688322709</v>
      </c>
      <c r="J187" s="48">
        <f t="shared" si="54"/>
        <v>-3.2296547102889601</v>
      </c>
      <c r="Q187" s="8">
        <f t="shared" si="48"/>
        <v>100</v>
      </c>
      <c r="R187" s="9">
        <f t="shared" si="59"/>
        <v>8.0475373354663305E-3</v>
      </c>
      <c r="S187" s="8">
        <f t="shared" si="62"/>
        <v>1</v>
      </c>
      <c r="T187" s="9">
        <f t="shared" si="63"/>
        <v>5.1329052616965243E-2</v>
      </c>
      <c r="U187" s="9">
        <f t="shared" si="64"/>
        <v>5.0433564699984841E-2</v>
      </c>
      <c r="V187" s="9">
        <f t="shared" si="58"/>
        <v>-3.8756049535732896E-2</v>
      </c>
    </row>
    <row r="188" spans="1:22">
      <c r="A188" s="8">
        <f t="shared" si="60"/>
        <v>0.88500000000000068</v>
      </c>
      <c r="B188" s="48">
        <f t="shared" si="61"/>
        <v>122.41993981732173</v>
      </c>
      <c r="C188" s="48">
        <f t="shared" si="46"/>
        <v>22.652374853649533</v>
      </c>
      <c r="D188" s="45">
        <f t="shared" si="47"/>
        <v>0.96271044805293349</v>
      </c>
      <c r="E188" s="48">
        <f t="shared" si="52"/>
        <v>-95.20258025849742</v>
      </c>
      <c r="F188" s="48">
        <f t="shared" si="53"/>
        <v>100.47659273505037</v>
      </c>
      <c r="G188" s="48">
        <f t="shared" si="65"/>
        <v>5.2740124765529544</v>
      </c>
      <c r="J188" s="48">
        <f t="shared" si="54"/>
        <v>2.6014746718419341</v>
      </c>
      <c r="Q188" s="8">
        <f t="shared" si="48"/>
        <v>100</v>
      </c>
      <c r="R188" s="9">
        <f t="shared" si="59"/>
        <v>5.6011443571714085E-3</v>
      </c>
      <c r="S188" s="8">
        <f t="shared" si="62"/>
        <v>-1</v>
      </c>
      <c r="T188" s="9">
        <f t="shared" si="63"/>
        <v>-4.8825559428197123E-3</v>
      </c>
      <c r="U188" s="9">
        <f t="shared" si="64"/>
        <v>-4.7968950380196784E-3</v>
      </c>
      <c r="V188" s="9">
        <f t="shared" si="58"/>
        <v>2.227484724263578E-2</v>
      </c>
    </row>
    <row r="189" spans="1:22">
      <c r="A189" s="8">
        <f t="shared" si="60"/>
        <v>0.89000000000000068</v>
      </c>
      <c r="B189" s="48">
        <f t="shared" si="61"/>
        <v>123.56889764250481</v>
      </c>
      <c r="C189" s="48">
        <f t="shared" si="46"/>
        <v>23.789903935596158</v>
      </c>
      <c r="D189" s="45">
        <f t="shared" si="47"/>
        <v>0.97128952162454607</v>
      </c>
      <c r="E189" s="48">
        <f t="shared" si="52"/>
        <v>-96.231271543264839</v>
      </c>
      <c r="F189" s="48">
        <f t="shared" si="53"/>
        <v>101.54674756076172</v>
      </c>
      <c r="G189" s="48">
        <f t="shared" si="65"/>
        <v>5.3154760174968771</v>
      </c>
      <c r="J189" s="48">
        <f t="shared" si="54"/>
        <v>1.0601066640381134</v>
      </c>
      <c r="Q189" s="8">
        <f t="shared" si="48"/>
        <v>100</v>
      </c>
      <c r="R189" s="9">
        <f t="shared" si="59"/>
        <v>4.5736120500498439E-3</v>
      </c>
      <c r="S189" s="8">
        <f t="shared" si="62"/>
        <v>-1</v>
      </c>
      <c r="T189" s="9">
        <f t="shared" si="63"/>
        <v>-1.8311438386925765E-2</v>
      </c>
      <c r="U189" s="9">
        <f t="shared" si="64"/>
        <v>-1.7988378546034044E-2</v>
      </c>
      <c r="V189" s="9">
        <f t="shared" si="58"/>
        <v>9.3853813920965826E-3</v>
      </c>
    </row>
    <row r="190" spans="1:22">
      <c r="A190" s="8">
        <f t="shared" si="60"/>
        <v>0.89500000000000068</v>
      </c>
      <c r="B190" s="48">
        <f t="shared" si="61"/>
        <v>126.24196869105126</v>
      </c>
      <c r="C190" s="48">
        <f t="shared" si="46"/>
        <v>26.452001425185713</v>
      </c>
      <c r="D190" s="45">
        <f t="shared" si="47"/>
        <v>0.98341130654792963</v>
      </c>
      <c r="E190" s="48">
        <f t="shared" si="52"/>
        <v>-97.695777946463821</v>
      </c>
      <c r="F190" s="48">
        <f t="shared" si="53"/>
        <v>103.08718073604591</v>
      </c>
      <c r="G190" s="48">
        <f t="shared" si="65"/>
        <v>5.391402789582088</v>
      </c>
      <c r="J190" s="48">
        <f t="shared" si="54"/>
        <v>1.5302779927774446</v>
      </c>
      <c r="Q190" s="8">
        <f t="shared" si="48"/>
        <v>100</v>
      </c>
      <c r="R190" s="9">
        <f t="shared" si="59"/>
        <v>2.8835953366384316E-3</v>
      </c>
      <c r="S190" s="8">
        <f t="shared" si="62"/>
        <v>-1</v>
      </c>
      <c r="T190" s="9">
        <f t="shared" si="63"/>
        <v>-3.3213874966967834E-3</v>
      </c>
      <c r="U190" s="9">
        <f t="shared" si="64"/>
        <v>-3.2624636026661572E-3</v>
      </c>
      <c r="V190" s="9">
        <f t="shared" si="58"/>
        <v>2.1632231892849494E-2</v>
      </c>
    </row>
    <row r="191" spans="1:22">
      <c r="A191" s="8">
        <f t="shared" si="60"/>
        <v>0.90000000000000069</v>
      </c>
      <c r="B191" s="48">
        <f t="shared" si="61"/>
        <v>123.41982631330083</v>
      </c>
      <c r="C191" s="48">
        <f t="shared" si="46"/>
        <v>23.620339076984266</v>
      </c>
      <c r="D191" s="45">
        <f t="shared" si="47"/>
        <v>0.97584247372933097</v>
      </c>
      <c r="E191" s="48">
        <f t="shared" si="52"/>
        <v>-96.817969539831594</v>
      </c>
      <c r="F191" s="48">
        <f t="shared" si="53"/>
        <v>102.16334593770675</v>
      </c>
      <c r="G191" s="48">
        <f t="shared" si="65"/>
        <v>5.3453763978751567</v>
      </c>
      <c r="J191" s="48">
        <f t="shared" si="54"/>
        <v>-0.93414403186585759</v>
      </c>
      <c r="Q191" s="8">
        <f t="shared" si="48"/>
        <v>100</v>
      </c>
      <c r="R191" s="9">
        <f t="shared" si="59"/>
        <v>4.1572154096575541E-3</v>
      </c>
      <c r="S191" s="8">
        <f t="shared" si="62"/>
        <v>-1</v>
      </c>
      <c r="T191" s="9">
        <f t="shared" si="63"/>
        <v>-3.5700141279924329E-3</v>
      </c>
      <c r="U191" s="9">
        <f t="shared" si="64"/>
        <v>-3.5063287614827666E-3</v>
      </c>
      <c r="V191" s="9">
        <f t="shared" si="58"/>
        <v>-2.2355025091988077E-2</v>
      </c>
    </row>
    <row r="192" spans="1:22">
      <c r="A192" s="8">
        <f t="shared" si="60"/>
        <v>0.90500000000000069</v>
      </c>
      <c r="B192" s="48">
        <f t="shared" si="61"/>
        <v>127.67781639703702</v>
      </c>
      <c r="C192" s="48">
        <f t="shared" si="46"/>
        <v>27.867686792191279</v>
      </c>
      <c r="D192" s="45">
        <f t="shared" si="47"/>
        <v>0.99026824550401282</v>
      </c>
      <c r="E192" s="48">
        <f t="shared" si="52"/>
        <v>-98.567600441086057</v>
      </c>
      <c r="F192" s="48">
        <f t="shared" si="53"/>
        <v>104.01541382316768</v>
      </c>
      <c r="G192" s="48">
        <f t="shared" si="65"/>
        <v>5.4478133820816197</v>
      </c>
      <c r="J192" s="48">
        <f t="shared" si="54"/>
        <v>1.8418510400333883</v>
      </c>
      <c r="Q192" s="8">
        <f t="shared" si="48"/>
        <v>100</v>
      </c>
      <c r="R192" s="9">
        <f t="shared" si="59"/>
        <v>1.8896242653961717E-3</v>
      </c>
      <c r="S192" s="8">
        <f t="shared" si="62"/>
        <v>1</v>
      </c>
      <c r="T192" s="9">
        <f t="shared" si="63"/>
        <v>8.8985421575798456E-3</v>
      </c>
      <c r="U192" s="9">
        <f t="shared" si="64"/>
        <v>8.7389274155348345E-3</v>
      </c>
      <c r="V192" s="9">
        <f t="shared" si="58"/>
        <v>3.4500049229750938E-2</v>
      </c>
    </row>
    <row r="193" spans="1:22">
      <c r="A193" s="8">
        <f t="shared" si="60"/>
        <v>0.9100000000000007</v>
      </c>
      <c r="B193" s="48">
        <f t="shared" si="61"/>
        <v>129.56293824624498</v>
      </c>
      <c r="C193" s="48">
        <f t="shared" si="46"/>
        <v>29.742786226880597</v>
      </c>
      <c r="D193" s="45">
        <f t="shared" si="47"/>
        <v>0.99439807465901442</v>
      </c>
      <c r="E193" s="48">
        <f t="shared" si="52"/>
        <v>-99.094350112350199</v>
      </c>
      <c r="F193" s="48">
        <f t="shared" si="53"/>
        <v>104.56088868442141</v>
      </c>
      <c r="G193" s="48">
        <f t="shared" si="65"/>
        <v>5.4665385720712152</v>
      </c>
      <c r="J193" s="48">
        <f t="shared" si="54"/>
        <v>0.53507279977701394</v>
      </c>
      <c r="Q193" s="8">
        <f t="shared" si="48"/>
        <v>100</v>
      </c>
      <c r="R193" s="9">
        <f t="shared" si="59"/>
        <v>1.1759711992567843E-3</v>
      </c>
      <c r="S193" s="8">
        <f t="shared" si="62"/>
        <v>-1</v>
      </c>
      <c r="T193" s="9">
        <f t="shared" si="63"/>
        <v>-3.8938569203423403E-3</v>
      </c>
      <c r="U193" s="9">
        <f t="shared" si="64"/>
        <v>-3.8236297303151901E-3</v>
      </c>
      <c r="V193" s="9">
        <f t="shared" si="58"/>
        <v>1.4764678018504316E-2</v>
      </c>
    </row>
    <row r="194" spans="1:22">
      <c r="A194" s="8">
        <f t="shared" si="60"/>
        <v>0.9150000000000007</v>
      </c>
      <c r="B194" s="48">
        <f t="shared" si="61"/>
        <v>127.28344991687266</v>
      </c>
      <c r="C194" s="48">
        <f t="shared" si="46"/>
        <v>27.453327586603237</v>
      </c>
      <c r="D194" s="45">
        <f t="shared" si="47"/>
        <v>0.99248955389059434</v>
      </c>
      <c r="E194" s="48">
        <f t="shared" si="52"/>
        <v>-98.874166839049508</v>
      </c>
      <c r="F194" s="48">
        <f t="shared" si="53"/>
        <v>104.32842218846922</v>
      </c>
      <c r="G194" s="48">
        <f t="shared" si="65"/>
        <v>5.4542553494197108</v>
      </c>
      <c r="J194" s="48">
        <f t="shared" si="54"/>
        <v>-0.24292310764250785</v>
      </c>
      <c r="Q194" s="8">
        <f t="shared" si="48"/>
        <v>100</v>
      </c>
      <c r="R194" s="9">
        <f t="shared" si="59"/>
        <v>1.5964246076913442E-3</v>
      </c>
      <c r="S194" s="8">
        <f t="shared" si="62"/>
        <v>-1</v>
      </c>
      <c r="T194" s="9">
        <f t="shared" si="63"/>
        <v>-3.9178812941360747E-3</v>
      </c>
      <c r="U194" s="9">
        <f t="shared" si="64"/>
        <v>-3.8468361125472608E-3</v>
      </c>
      <c r="V194" s="9">
        <f t="shared" si="58"/>
        <v>-1.7593675785894675E-2</v>
      </c>
    </row>
    <row r="195" spans="1:22">
      <c r="A195" s="8">
        <f t="shared" si="60"/>
        <v>0.92000000000000071</v>
      </c>
      <c r="B195" s="48">
        <f t="shared" si="61"/>
        <v>124.2816276295392</v>
      </c>
      <c r="C195" s="48">
        <f t="shared" si="46"/>
        <v>24.441578617852386</v>
      </c>
      <c r="D195" s="45">
        <f t="shared" si="47"/>
        <v>0.98813679174654012</v>
      </c>
      <c r="E195" s="48">
        <f t="shared" si="52"/>
        <v>-98.365670181038638</v>
      </c>
      <c r="F195" s="48">
        <f t="shared" si="53"/>
        <v>103.79788718840027</v>
      </c>
      <c r="G195" s="48">
        <f t="shared" si="65"/>
        <v>5.4322170073616292</v>
      </c>
      <c r="J195" s="48">
        <f t="shared" si="54"/>
        <v>-0.54096836394730163</v>
      </c>
      <c r="Q195" s="8">
        <f t="shared" si="48"/>
        <v>100</v>
      </c>
      <c r="R195" s="9">
        <f t="shared" si="59"/>
        <v>2.513547893516059E-3</v>
      </c>
      <c r="S195" s="8">
        <f t="shared" si="62"/>
        <v>-1</v>
      </c>
      <c r="T195" s="9">
        <f t="shared" si="63"/>
        <v>-1.0930194334636315E-3</v>
      </c>
      <c r="U195" s="9">
        <f t="shared" si="64"/>
        <v>-1.0730917725904998E-3</v>
      </c>
      <c r="V195" s="9">
        <f t="shared" si="58"/>
        <v>-2.3583759626989283E-2</v>
      </c>
    </row>
    <row r="196" spans="1:22">
      <c r="A196" s="8">
        <f t="shared" si="60"/>
        <v>0.92500000000000071</v>
      </c>
      <c r="B196" s="48">
        <f t="shared" si="61"/>
        <v>122.82294373762441</v>
      </c>
      <c r="C196" s="48">
        <f t="shared" si="46"/>
        <v>22.97294312604572</v>
      </c>
      <c r="D196" s="45">
        <f t="shared" si="47"/>
        <v>0.98638787236545411</v>
      </c>
      <c r="E196" s="48">
        <f t="shared" si="52"/>
        <v>-98.178119024971494</v>
      </c>
      <c r="F196" s="48">
        <f t="shared" si="53"/>
        <v>103.59346006938108</v>
      </c>
      <c r="G196" s="48">
        <f t="shared" si="65"/>
        <v>5.4153410444095869</v>
      </c>
      <c r="J196" s="48">
        <f t="shared" si="54"/>
        <v>-0.2148074267447681</v>
      </c>
      <c r="Q196" s="8">
        <f t="shared" si="48"/>
        <v>100</v>
      </c>
      <c r="R196" s="9">
        <f t="shared" si="59"/>
        <v>2.9587453440629665E-3</v>
      </c>
      <c r="S196" s="8">
        <f t="shared" si="62"/>
        <v>-1</v>
      </c>
      <c r="T196" s="9">
        <f t="shared" si="63"/>
        <v>-1.0594895195469663E-2</v>
      </c>
      <c r="U196" s="9">
        <f t="shared" si="64"/>
        <v>-1.0400691556828916E-2</v>
      </c>
      <c r="V196" s="9">
        <f t="shared" si="58"/>
        <v>-1.1736922984810416E-2</v>
      </c>
    </row>
    <row r="197" spans="1:22">
      <c r="A197" s="8">
        <f t="shared" si="60"/>
        <v>0.93000000000000071</v>
      </c>
      <c r="B197" s="48">
        <f t="shared" si="61"/>
        <v>119.06576263150617</v>
      </c>
      <c r="C197" s="48">
        <f t="shared" si="46"/>
        <v>19.206333156123264</v>
      </c>
      <c r="D197" s="45">
        <f t="shared" si="47"/>
        <v>0.97416696536653291</v>
      </c>
      <c r="E197" s="48">
        <f t="shared" si="52"/>
        <v>-96.783599505663034</v>
      </c>
      <c r="F197" s="48">
        <f t="shared" si="53"/>
        <v>102.14872832149733</v>
      </c>
      <c r="G197" s="48">
        <f t="shared" si="65"/>
        <v>5.3651288158342965</v>
      </c>
      <c r="J197" s="48">
        <f t="shared" si="54"/>
        <v>-1.4550916118752639</v>
      </c>
      <c r="Q197" s="8">
        <f t="shared" si="48"/>
        <v>100</v>
      </c>
      <c r="R197" s="9">
        <f t="shared" si="59"/>
        <v>5.4483929819620228E-3</v>
      </c>
      <c r="S197" s="8">
        <f t="shared" si="62"/>
        <v>1</v>
      </c>
      <c r="T197" s="9">
        <f t="shared" si="63"/>
        <v>1.2484364705433218E-2</v>
      </c>
      <c r="U197" s="9">
        <f t="shared" si="64"/>
        <v>1.2254301740166189E-2</v>
      </c>
      <c r="V197" s="9">
        <f t="shared" si="58"/>
        <v>-3.059022192257797E-2</v>
      </c>
    </row>
    <row r="198" spans="1:22">
      <c r="A198" s="8">
        <f t="shared" si="60"/>
        <v>0.93500000000000072</v>
      </c>
      <c r="B198" s="48">
        <f t="shared" si="61"/>
        <v>118.96675078744903</v>
      </c>
      <c r="C198" s="48">
        <f t="shared" si="46"/>
        <v>19.097091575246864</v>
      </c>
      <c r="D198" s="45">
        <f t="shared" si="47"/>
        <v>0.97754445094650477</v>
      </c>
      <c r="E198" s="48">
        <f t="shared" si="52"/>
        <v>-97.198195504159656</v>
      </c>
      <c r="F198" s="48">
        <f t="shared" si="53"/>
        <v>102.56075219037086</v>
      </c>
      <c r="G198" s="48">
        <f t="shared" si="65"/>
        <v>5.3625566862112066</v>
      </c>
      <c r="J198" s="48">
        <f t="shared" si="54"/>
        <v>0.40180848528071522</v>
      </c>
      <c r="Q198" s="8">
        <f t="shared" si="48"/>
        <v>100</v>
      </c>
      <c r="R198" s="9">
        <f t="shared" si="59"/>
        <v>5.0303726430394108E-3</v>
      </c>
      <c r="S198" s="8">
        <f t="shared" si="62"/>
        <v>-1</v>
      </c>
      <c r="T198" s="9">
        <f t="shared" si="63"/>
        <v>-2.1778946106331642E-2</v>
      </c>
      <c r="U198" s="9">
        <f t="shared" si="64"/>
        <v>-2.1375464128369732E-2</v>
      </c>
      <c r="V198" s="9">
        <f t="shared" si="58"/>
        <v>-8.3157275331595067E-4</v>
      </c>
    </row>
    <row r="199" spans="1:22">
      <c r="A199" s="8">
        <f t="shared" si="60"/>
        <v>0.94000000000000072</v>
      </c>
      <c r="B199" s="48">
        <f t="shared" si="61"/>
        <v>118.14304152344003</v>
      </c>
      <c r="C199" s="48">
        <f t="shared" si="46"/>
        <v>18.263382751357696</v>
      </c>
      <c r="D199" s="45">
        <f t="shared" si="47"/>
        <v>0.97733585073986984</v>
      </c>
      <c r="E199" s="48">
        <f t="shared" si="52"/>
        <v>-97.202047244949341</v>
      </c>
      <c r="F199" s="48">
        <f t="shared" si="53"/>
        <v>102.54636411553649</v>
      </c>
      <c r="G199" s="48">
        <f t="shared" si="65"/>
        <v>5.34431687058715</v>
      </c>
      <c r="J199" s="48">
        <f t="shared" si="54"/>
        <v>-2.4644662874269252E-2</v>
      </c>
      <c r="Q199" s="8">
        <f t="shared" si="48"/>
        <v>100</v>
      </c>
      <c r="R199" s="9">
        <f t="shared" si="59"/>
        <v>5.3135453651470942E-3</v>
      </c>
      <c r="S199" s="8">
        <f t="shared" si="62"/>
        <v>-1</v>
      </c>
      <c r="T199" s="9">
        <f t="shared" si="63"/>
        <v>-2.0935382934375336E-2</v>
      </c>
      <c r="U199" s="9">
        <f t="shared" si="64"/>
        <v>-2.0545474359849193E-2</v>
      </c>
      <c r="V199" s="9">
        <f t="shared" si="58"/>
        <v>-6.923861150756906E-3</v>
      </c>
    </row>
    <row r="200" spans="1:22">
      <c r="A200" s="8">
        <f t="shared" si="60"/>
        <v>0.94500000000000073</v>
      </c>
      <c r="B200" s="48">
        <f t="shared" si="61"/>
        <v>115.08680156123179</v>
      </c>
      <c r="C200" s="48">
        <f t="shared" si="46"/>
        <v>15.198534707508529</v>
      </c>
      <c r="D200" s="45">
        <f t="shared" si="47"/>
        <v>0.96133063103467309</v>
      </c>
      <c r="E200" s="48">
        <f t="shared" si="52"/>
        <v>-95.437932861112628</v>
      </c>
      <c r="F200" s="48">
        <f t="shared" si="53"/>
        <v>100.71462972054107</v>
      </c>
      <c r="G200" s="48">
        <f t="shared" si="65"/>
        <v>5.2766968594284407</v>
      </c>
      <c r="J200" s="48">
        <f t="shared" si="54"/>
        <v>-1.8419895441558951</v>
      </c>
      <c r="Q200" s="8">
        <f t="shared" si="48"/>
        <v>100</v>
      </c>
      <c r="R200" s="9">
        <f t="shared" si="59"/>
        <v>8.8745253888856263E-3</v>
      </c>
      <c r="S200" s="8">
        <f t="shared" si="62"/>
        <v>1</v>
      </c>
      <c r="T200" s="9">
        <f t="shared" si="63"/>
        <v>3.3325815860354114E-3</v>
      </c>
      <c r="U200" s="9">
        <f t="shared" si="64"/>
        <v>3.2701872775857108E-3</v>
      </c>
      <c r="V200" s="9">
        <f t="shared" si="58"/>
        <v>-2.5868979863717733E-2</v>
      </c>
    </row>
    <row r="201" spans="1:22">
      <c r="A201" s="8">
        <f t="shared" si="60"/>
        <v>0.95000000000000073</v>
      </c>
      <c r="B201" s="48">
        <f t="shared" si="61"/>
        <v>116.53968173524453</v>
      </c>
      <c r="C201" s="48">
        <f t="shared" si="46"/>
        <v>16.639982058667641</v>
      </c>
      <c r="D201" s="45">
        <f t="shared" si="47"/>
        <v>0.97766028227356538</v>
      </c>
      <c r="E201" s="48">
        <f t="shared" si="52"/>
        <v>-97.296236082682995</v>
      </c>
      <c r="F201" s="48">
        <f t="shared" si="53"/>
        <v>102.62775404533112</v>
      </c>
      <c r="G201" s="48">
        <f t="shared" si="65"/>
        <v>5.3315179626481211</v>
      </c>
      <c r="J201" s="48">
        <f t="shared" si="54"/>
        <v>1.9030523582280496</v>
      </c>
      <c r="Q201" s="8">
        <f t="shared" si="48"/>
        <v>100</v>
      </c>
      <c r="R201" s="9">
        <f t="shared" si="59"/>
        <v>5.8294724152962397E-3</v>
      </c>
      <c r="S201" s="8">
        <f t="shared" si="62"/>
        <v>-1</v>
      </c>
      <c r="T201" s="9">
        <f t="shared" si="63"/>
        <v>-1.7937793935877057E-2</v>
      </c>
      <c r="U201" s="9">
        <f t="shared" si="64"/>
        <v>-1.7600193214046725E-2</v>
      </c>
      <c r="V201" s="9">
        <f t="shared" si="58"/>
        <v>1.2624211936585365E-2</v>
      </c>
    </row>
    <row r="202" spans="1:22">
      <c r="A202" s="8">
        <f t="shared" si="60"/>
        <v>0.95500000000000074</v>
      </c>
      <c r="B202" s="48">
        <f t="shared" si="61"/>
        <v>111.62706331973958</v>
      </c>
      <c r="C202" s="48">
        <f t="shared" si="46"/>
        <v>11.723297264175798</v>
      </c>
      <c r="D202" s="45">
        <f t="shared" si="47"/>
        <v>0.93707972039457299</v>
      </c>
      <c r="E202" s="48">
        <f t="shared" si="52"/>
        <v>-92.880160019953053</v>
      </c>
      <c r="F202" s="48">
        <f t="shared" si="53"/>
        <v>98.108128383474636</v>
      </c>
      <c r="G202" s="48">
        <f t="shared" si="65"/>
        <v>5.2279683635215832</v>
      </c>
      <c r="J202" s="48">
        <f t="shared" si="54"/>
        <v>-4.5298889504168942</v>
      </c>
      <c r="Q202" s="8">
        <f t="shared" si="48"/>
        <v>100</v>
      </c>
      <c r="R202" s="9">
        <f t="shared" si="59"/>
        <v>1.4916705059509551E-2</v>
      </c>
      <c r="S202" s="8">
        <f t="shared" si="62"/>
        <v>1</v>
      </c>
      <c r="T202" s="9">
        <f t="shared" si="63"/>
        <v>0.10822002635984769</v>
      </c>
      <c r="U202" s="9">
        <f t="shared" si="64"/>
        <v>0.10617263865090903</v>
      </c>
      <c r="V202" s="9">
        <f t="shared" si="58"/>
        <v>-4.2154040086238305E-2</v>
      </c>
    </row>
    <row r="203" spans="1:22">
      <c r="A203" s="8">
        <f t="shared" si="60"/>
        <v>0.96000000000000074</v>
      </c>
      <c r="B203" s="48">
        <f t="shared" si="61"/>
        <v>111.48994446866929</v>
      </c>
      <c r="C203" s="48">
        <f t="shared" ref="C203:C210" si="66">CallOption(B203,Vol_i,0,PL_r, PL_K,PL_T-A203)</f>
        <v>11.5738464080152</v>
      </c>
      <c r="D203" s="45">
        <f t="shared" ref="D203:D210" si="67">CallDelta(B203,$E$6,0,PL_r, PL_K, PL_T-A203)</f>
        <v>0.94522323409731157</v>
      </c>
      <c r="E203" s="48">
        <f t="shared" si="52"/>
        <v>-93.809039471990062</v>
      </c>
      <c r="F203" s="48">
        <f t="shared" si="53"/>
        <v>99.025859577368166</v>
      </c>
      <c r="G203" s="48">
        <f t="shared" si="65"/>
        <v>5.2168201053781047</v>
      </c>
      <c r="J203" s="48">
        <f t="shared" si="54"/>
        <v>0.90791989049817179</v>
      </c>
      <c r="Q203" s="8">
        <f t="shared" ref="Q203:Q211" si="68">PL_K</f>
        <v>100</v>
      </c>
      <c r="R203" s="9">
        <f t="shared" ref="R203:R210" si="69">CallGamma(B203,$E$6,0,PL_r, PL_K, PL_T-A203)</f>
        <v>1.4208173741453735E-2</v>
      </c>
      <c r="S203" s="8">
        <f t="shared" si="62"/>
        <v>-1</v>
      </c>
      <c r="T203" s="9">
        <f t="shared" si="63"/>
        <v>-5.3952870847260991E-2</v>
      </c>
      <c r="U203" s="9">
        <f t="shared" si="64"/>
        <v>-5.2926856979080492E-2</v>
      </c>
      <c r="V203" s="9">
        <f t="shared" si="58"/>
        <v>-1.2283656578649439E-3</v>
      </c>
    </row>
    <row r="204" spans="1:22">
      <c r="A204" s="8">
        <f t="shared" ref="A204:A211" si="70">A203+dt</f>
        <v>0.96500000000000075</v>
      </c>
      <c r="B204" s="48">
        <f t="shared" ref="B204:B211" si="71">B203*EXP((PL_r-0.5*Vol_a^2)*dt+Vol_a*SQRT(dt)*NormalRN())</f>
        <v>107.9686083060694</v>
      </c>
      <c r="C204" s="48">
        <f t="shared" si="66"/>
        <v>8.0660450361162646</v>
      </c>
      <c r="D204" s="45">
        <f t="shared" si="67"/>
        <v>0.88769188409228439</v>
      </c>
      <c r="E204" s="48">
        <f t="shared" ref="E204:E211" si="72">C204-D204*B204</f>
        <v>-87.776812293920344</v>
      </c>
      <c r="F204" s="48">
        <f t="shared" ref="F204:F211" si="73">J204+F203*EXP(PL_r*dt)</f>
        <v>92.824182864459544</v>
      </c>
      <c r="G204" s="48">
        <f t="shared" si="65"/>
        <v>5.0473705705392007</v>
      </c>
      <c r="J204" s="48">
        <f t="shared" ref="J204:J211" si="74">(D204-D203)*B204</f>
        <v>-6.211579794012164</v>
      </c>
      <c r="Q204" s="8">
        <f t="shared" si="68"/>
        <v>100</v>
      </c>
      <c r="R204" s="9">
        <f t="shared" si="69"/>
        <v>2.6995910211568219E-2</v>
      </c>
      <c r="S204" s="8">
        <f t="shared" ref="S204:S211" si="75">IF(V204^2 &lt; ($E$6^2*dt), -1, 1)</f>
        <v>1</v>
      </c>
      <c r="T204" s="9">
        <f t="shared" ref="T204:T211" si="76">0.5*R204*(B204^2)*(V204^2-$E$6^2*dt)</f>
        <v>6.0590310305102701E-2</v>
      </c>
      <c r="U204" s="9">
        <f t="shared" ref="U204:U211" si="77">T204*EXP(-PL_r*A204)</f>
        <v>5.9432129709628197E-2</v>
      </c>
      <c r="V204" s="9">
        <f t="shared" si="58"/>
        <v>-3.1584338653872536E-2</v>
      </c>
    </row>
    <row r="205" spans="1:22">
      <c r="A205" s="8">
        <f t="shared" si="70"/>
        <v>0.97000000000000075</v>
      </c>
      <c r="B205" s="48">
        <f t="shared" si="71"/>
        <v>107.76819626485694</v>
      </c>
      <c r="C205" s="48">
        <f t="shared" si="66"/>
        <v>7.8469304953244006</v>
      </c>
      <c r="D205" s="45">
        <f t="shared" si="67"/>
        <v>0.89872012335662499</v>
      </c>
      <c r="E205" s="48">
        <f t="shared" si="72"/>
        <v>-89.006516145748805</v>
      </c>
      <c r="F205" s="48">
        <f t="shared" si="73"/>
        <v>94.021959200377637</v>
      </c>
      <c r="G205" s="48">
        <f t="shared" si="65"/>
        <v>5.0154430546288324</v>
      </c>
      <c r="J205" s="48">
        <f t="shared" si="74"/>
        <v>1.1884934534952594</v>
      </c>
      <c r="Q205" s="8">
        <f t="shared" si="68"/>
        <v>100</v>
      </c>
      <c r="R205" s="9">
        <f t="shared" si="69"/>
        <v>2.7113289611414921E-2</v>
      </c>
      <c r="S205" s="8">
        <f t="shared" si="75"/>
        <v>-1</v>
      </c>
      <c r="T205" s="9">
        <f t="shared" si="76"/>
        <v>-9.5893594855968781E-2</v>
      </c>
      <c r="U205" s="9">
        <f t="shared" si="77"/>
        <v>-9.4051188243553671E-2</v>
      </c>
      <c r="V205" s="9">
        <f t="shared" ref="V205:V211" si="78">(B205-B204)/B204</f>
        <v>-1.8562065803824314E-3</v>
      </c>
    </row>
    <row r="206" spans="1:22">
      <c r="A206" s="8">
        <f t="shared" si="70"/>
        <v>0.97500000000000075</v>
      </c>
      <c r="B206" s="48">
        <f t="shared" si="71"/>
        <v>110.31392030176785</v>
      </c>
      <c r="C206" s="48">
        <f t="shared" si="66"/>
        <v>10.364732691305989</v>
      </c>
      <c r="D206" s="45">
        <f t="shared" si="67"/>
        <v>0.96488863329998409</v>
      </c>
      <c r="E206" s="48">
        <f t="shared" si="72"/>
        <v>-96.075915102630162</v>
      </c>
      <c r="F206" s="48">
        <f t="shared" si="73"/>
        <v>101.33066959880159</v>
      </c>
      <c r="G206" s="48">
        <f t="shared" si="65"/>
        <v>5.2547544961714294</v>
      </c>
      <c r="J206" s="48">
        <f t="shared" si="74"/>
        <v>7.2993077323784492</v>
      </c>
      <c r="Q206" s="8">
        <f t="shared" si="68"/>
        <v>100</v>
      </c>
      <c r="R206" s="9">
        <f t="shared" si="69"/>
        <v>1.2690410585298014E-2</v>
      </c>
      <c r="S206" s="8">
        <f t="shared" si="75"/>
        <v>-1</v>
      </c>
      <c r="T206" s="9">
        <f t="shared" si="76"/>
        <v>-4.2075462117898239E-3</v>
      </c>
      <c r="U206" s="9">
        <f t="shared" si="77"/>
        <v>-4.1262938458954202E-3</v>
      </c>
      <c r="V206" s="9">
        <f t="shared" si="78"/>
        <v>2.3622219960464055E-2</v>
      </c>
    </row>
    <row r="207" spans="1:22">
      <c r="A207" s="8">
        <f t="shared" si="70"/>
        <v>0.98000000000000076</v>
      </c>
      <c r="B207" s="48">
        <f t="shared" si="71"/>
        <v>112.7972678324557</v>
      </c>
      <c r="C207" s="48">
        <f t="shared" si="66"/>
        <v>12.837266031387429</v>
      </c>
      <c r="D207" s="45">
        <f t="shared" si="67"/>
        <v>0.99316309083293697</v>
      </c>
      <c r="E207" s="48">
        <f t="shared" si="72"/>
        <v>-99.188817126604889</v>
      </c>
      <c r="F207" s="48">
        <f t="shared" si="73"/>
        <v>104.5300847315936</v>
      </c>
      <c r="G207" s="48">
        <f t="shared" si="65"/>
        <v>5.3412676049887153</v>
      </c>
      <c r="J207" s="48">
        <f t="shared" si="74"/>
        <v>3.1892815591618806</v>
      </c>
      <c r="Q207" s="8">
        <f t="shared" si="68"/>
        <v>100</v>
      </c>
      <c r="R207" s="9">
        <f t="shared" si="69"/>
        <v>3.4183904104665161E-3</v>
      </c>
      <c r="S207" s="8">
        <f t="shared" si="75"/>
        <v>-1</v>
      </c>
      <c r="T207" s="9">
        <f t="shared" si="76"/>
        <v>-2.2991665934868522E-3</v>
      </c>
      <c r="U207" s="9">
        <f t="shared" si="77"/>
        <v>-2.2545416809801283E-3</v>
      </c>
      <c r="V207" s="9">
        <f t="shared" si="78"/>
        <v>2.2511642446343683E-2</v>
      </c>
    </row>
    <row r="208" spans="1:22">
      <c r="A208" s="8">
        <f t="shared" si="70"/>
        <v>0.98500000000000076</v>
      </c>
      <c r="B208" s="48">
        <f t="shared" si="71"/>
        <v>106.43046668367727</v>
      </c>
      <c r="C208" s="48">
        <f t="shared" si="66"/>
        <v>6.4647057343839975</v>
      </c>
      <c r="D208" s="45">
        <f t="shared" si="67"/>
        <v>0.93086992343535258</v>
      </c>
      <c r="E208" s="48">
        <f t="shared" si="72"/>
        <v>-92.60821463863951</v>
      </c>
      <c r="F208" s="48">
        <f t="shared" si="73"/>
        <v>97.910647385405284</v>
      </c>
      <c r="G208" s="48">
        <f t="shared" si="65"/>
        <v>5.3024327467657741</v>
      </c>
      <c r="J208" s="48">
        <f t="shared" si="74"/>
        <v>-6.6298908773293368</v>
      </c>
      <c r="Q208" s="8">
        <f t="shared" si="68"/>
        <v>100</v>
      </c>
      <c r="R208" s="9">
        <f t="shared" si="69"/>
        <v>2.9148127104399107E-2</v>
      </c>
      <c r="S208" s="8">
        <f t="shared" si="75"/>
        <v>1</v>
      </c>
      <c r="T208" s="9">
        <f t="shared" si="76"/>
        <v>0.42485068090862343</v>
      </c>
      <c r="U208" s="9">
        <f t="shared" si="77"/>
        <v>0.41656302394382577</v>
      </c>
      <c r="V208" s="9">
        <f t="shared" si="78"/>
        <v>-5.6444639760560626E-2</v>
      </c>
    </row>
    <row r="209" spans="1:22">
      <c r="A209" s="8">
        <f t="shared" si="70"/>
        <v>0.99000000000000077</v>
      </c>
      <c r="B209" s="48">
        <f t="shared" si="71"/>
        <v>106.09939293431231</v>
      </c>
      <c r="C209" s="48">
        <f t="shared" si="66"/>
        <v>6.1202643493897568</v>
      </c>
      <c r="D209" s="45">
        <f t="shared" si="67"/>
        <v>0.95681075523335779</v>
      </c>
      <c r="E209" s="48">
        <f t="shared" si="72"/>
        <v>-95.396775933890382</v>
      </c>
      <c r="F209" s="48">
        <f t="shared" si="73"/>
        <v>100.67274544569284</v>
      </c>
      <c r="G209" s="48">
        <f t="shared" si="65"/>
        <v>5.2759695118024581</v>
      </c>
      <c r="J209" s="48">
        <f t="shared" si="74"/>
        <v>2.7523065059794587</v>
      </c>
      <c r="Q209" s="8">
        <f t="shared" si="68"/>
        <v>100</v>
      </c>
      <c r="R209" s="9">
        <f t="shared" si="69"/>
        <v>2.4693668391984738E-2</v>
      </c>
      <c r="S209" s="8">
        <f t="shared" si="75"/>
        <v>-1</v>
      </c>
      <c r="T209" s="9">
        <f t="shared" si="76"/>
        <v>-8.3786027544629715E-2</v>
      </c>
      <c r="U209" s="9">
        <f t="shared" si="77"/>
        <v>-8.2143380074146052E-2</v>
      </c>
      <c r="V209" s="9">
        <f t="shared" si="78"/>
        <v>-3.1107046664461948E-3</v>
      </c>
    </row>
    <row r="210" spans="1:22">
      <c r="A210" s="8">
        <f t="shared" si="70"/>
        <v>0.99500000000000077</v>
      </c>
      <c r="B210" s="48">
        <f t="shared" si="71"/>
        <v>104.43574448307247</v>
      </c>
      <c r="C210" s="48">
        <f t="shared" si="66"/>
        <v>4.4461648070739415</v>
      </c>
      <c r="D210" s="45">
        <f t="shared" si="67"/>
        <v>0.96164588577380461</v>
      </c>
      <c r="E210" s="48">
        <f t="shared" si="72"/>
        <v>-95.984039202797007</v>
      </c>
      <c r="F210" s="48">
        <f t="shared" si="73"/>
        <v>101.18777368128232</v>
      </c>
      <c r="G210" s="48">
        <f t="shared" si="65"/>
        <v>5.2037344784853161</v>
      </c>
      <c r="J210" s="48">
        <f t="shared" si="74"/>
        <v>0.50496045766440412</v>
      </c>
      <c r="Q210" s="8">
        <f t="shared" si="68"/>
        <v>100</v>
      </c>
      <c r="R210" s="9">
        <f t="shared" si="69"/>
        <v>3.2219620563051339E-2</v>
      </c>
      <c r="S210" s="8">
        <f t="shared" si="75"/>
        <v>-1</v>
      </c>
      <c r="T210" s="9">
        <f t="shared" si="76"/>
        <v>-6.4420229940178E-2</v>
      </c>
      <c r="U210" s="9">
        <f t="shared" si="77"/>
        <v>-6.3150938699604378E-2</v>
      </c>
      <c r="V210" s="9">
        <f t="shared" si="78"/>
        <v>-1.568009396877347E-2</v>
      </c>
    </row>
    <row r="211" spans="1:22">
      <c r="A211" s="8">
        <f t="shared" si="70"/>
        <v>1.0000000000000007</v>
      </c>
      <c r="B211" s="48">
        <f t="shared" si="71"/>
        <v>106.65255170275557</v>
      </c>
      <c r="C211" s="60">
        <f>MAX(B211-PL_K,0)</f>
        <v>6.6525517027555736</v>
      </c>
      <c r="D211" s="46">
        <f>IF(B211&gt;PL_K,1,0)</f>
        <v>1</v>
      </c>
      <c r="E211" s="48">
        <f t="shared" si="72"/>
        <v>-100</v>
      </c>
      <c r="F211" s="48">
        <f t="shared" si="73"/>
        <v>105.28845711512888</v>
      </c>
      <c r="G211" s="48">
        <f t="shared" si="65"/>
        <v>5.2884571151288782</v>
      </c>
      <c r="J211" s="48">
        <f t="shared" si="74"/>
        <v>4.0905641505226971</v>
      </c>
      <c r="Q211" s="8">
        <f t="shared" si="68"/>
        <v>100</v>
      </c>
      <c r="R211" s="9">
        <v>0</v>
      </c>
      <c r="S211" s="8">
        <f t="shared" si="75"/>
        <v>-1</v>
      </c>
      <c r="T211" s="9">
        <f t="shared" si="76"/>
        <v>0</v>
      </c>
      <c r="U211" s="9">
        <f t="shared" si="77"/>
        <v>0</v>
      </c>
      <c r="V211" s="9">
        <f t="shared" si="78"/>
        <v>2.1226518091633055E-2</v>
      </c>
    </row>
  </sheetData>
  <phoneticPr fontId="4" type="noConversion"/>
  <conditionalFormatting sqref="D11:D210">
    <cfRule type="dataBar" priority="4">
      <dataBar>
        <cfvo type="num" val="$Q$1"/>
        <cfvo type="num" val="$Q$2"/>
        <color rgb="FFFFB628"/>
      </dataBar>
      <extLst>
        <ext xmlns:x14="http://schemas.microsoft.com/office/spreadsheetml/2009/9/main" uri="{B025F937-C7B1-47D3-B67F-A62EFF666E3E}">
          <x14:id>{D37C8063-4E24-ED40-812A-AD9B4592E30D}</x14:id>
        </ext>
      </extLst>
    </cfRule>
  </conditionalFormatting>
  <conditionalFormatting sqref="D211">
    <cfRule type="dataBar" priority="3">
      <dataBar>
        <cfvo type="num" val="$Q$1"/>
        <cfvo type="num" val="$Q$2"/>
        <color rgb="FFFFB628"/>
      </dataBar>
      <extLst>
        <ext xmlns:x14="http://schemas.microsoft.com/office/spreadsheetml/2009/9/main" uri="{B025F937-C7B1-47D3-B67F-A62EFF666E3E}">
          <x14:id>{29D72B28-E7E8-C44A-A4DC-FBD0CF8A327C}</x14:id>
        </ext>
      </extLst>
    </cfRule>
  </conditionalFormatting>
  <conditionalFormatting sqref="R11:R211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{EDB03965-2FBA-8347-8239-D5A3C6E9F9F5}</x14:id>
        </ext>
      </extLst>
    </cfRule>
  </conditionalFormatting>
  <conditionalFormatting sqref="S12:S211">
    <cfRule type="iconSet" priority="1">
      <iconSet iconSet="3Arrows"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E6" xr:uid="{00000000-0002-0000-0200-000000000000}">
      <formula1>$E$1:$E$2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Recalculate">
                <anchor moveWithCells="1" sizeWithCells="1">
                  <from>
                    <xdr:col>7</xdr:col>
                    <xdr:colOff>25400</xdr:colOff>
                    <xdr:row>6</xdr:row>
                    <xdr:rowOff>63500</xdr:rowOff>
                  </from>
                  <to>
                    <xdr:col>8</xdr:col>
                    <xdr:colOff>355600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7C8063-4E24-ED40-812A-AD9B4592E30D}">
            <x14:dataBar minLength="0" maxLength="100">
              <x14:cfvo type="num">
                <xm:f>$Q$1</xm:f>
              </x14:cfvo>
              <x14:cfvo type="num">
                <xm:f>$Q$2</xm:f>
              </x14:cfvo>
              <x14:negativeFillColor rgb="FFFF0000"/>
              <x14:axisColor rgb="FF000000"/>
            </x14:dataBar>
          </x14:cfRule>
          <xm:sqref>D11:D210</xm:sqref>
        </x14:conditionalFormatting>
        <x14:conditionalFormatting xmlns:xm="http://schemas.microsoft.com/office/excel/2006/main">
          <x14:cfRule type="dataBar" id="{29D72B28-E7E8-C44A-A4DC-FBD0CF8A327C}">
            <x14:dataBar minLength="0" maxLength="100">
              <x14:cfvo type="num">
                <xm:f>$Q$1</xm:f>
              </x14:cfvo>
              <x14:cfvo type="num">
                <xm:f>$Q$2</xm:f>
              </x14:cfvo>
              <x14:negativeFillColor rgb="FFFF0000"/>
              <x14:axisColor rgb="FF000000"/>
            </x14:dataBar>
          </x14:cfRule>
          <xm:sqref>D211</xm:sqref>
        </x14:conditionalFormatting>
        <x14:conditionalFormatting xmlns:xm="http://schemas.microsoft.com/office/excel/2006/main">
          <x14:cfRule type="dataBar" id="{EDB03965-2FBA-8347-8239-D5A3C6E9F9F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R11:R211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103"/>
  <sheetViews>
    <sheetView workbookViewId="0">
      <selection activeCell="K7" sqref="K7"/>
    </sheetView>
  </sheetViews>
  <sheetFormatPr baseColWidth="10" defaultColWidth="8.83203125" defaultRowHeight="13"/>
  <cols>
    <col min="1" max="1" width="15.5" style="1" bestFit="1" customWidth="1"/>
    <col min="2" max="2" width="12.5" style="1" customWidth="1"/>
    <col min="3" max="3" width="9.83203125" style="1" bestFit="1" customWidth="1"/>
    <col min="4" max="9" width="8.83203125" style="1"/>
    <col min="10" max="10" width="11.83203125" style="1" bestFit="1" customWidth="1"/>
    <col min="11" max="11" width="10.6640625" style="1" bestFit="1" customWidth="1"/>
    <col min="12" max="12" width="10.1640625" style="1" customWidth="1"/>
    <col min="13" max="13" width="11.6640625" style="1" bestFit="1" customWidth="1"/>
    <col min="14" max="14" width="11.6640625" style="1" customWidth="1"/>
    <col min="15" max="15" width="10.83203125" style="1" customWidth="1"/>
    <col min="16" max="16" width="8.83203125" style="1"/>
    <col min="17" max="17" width="10.33203125" style="1" customWidth="1"/>
    <col min="18" max="18" width="8.83203125" style="1"/>
    <col min="19" max="19" width="10.33203125" style="1" customWidth="1"/>
    <col min="20" max="16384" width="8.83203125" style="1"/>
  </cols>
  <sheetData>
    <row r="1" spans="1:22" ht="12.75" customHeight="1">
      <c r="A1" s="2" t="s">
        <v>0</v>
      </c>
      <c r="B1" s="3">
        <v>0.05</v>
      </c>
      <c r="K1" s="2" t="s">
        <v>3</v>
      </c>
      <c r="L1" s="2" t="s">
        <v>12</v>
      </c>
      <c r="M1" s="18" t="s">
        <v>36</v>
      </c>
      <c r="N1" s="2" t="s">
        <v>17</v>
      </c>
      <c r="O1" s="2" t="s">
        <v>13</v>
      </c>
      <c r="P1" s="2" t="s">
        <v>14</v>
      </c>
      <c r="Q1" s="2" t="s">
        <v>15</v>
      </c>
      <c r="R1" s="2" t="s">
        <v>16</v>
      </c>
      <c r="S1" s="64" t="s">
        <v>35</v>
      </c>
      <c r="T1" s="64"/>
      <c r="U1" s="64"/>
      <c r="V1" s="19"/>
    </row>
    <row r="2" spans="1:22">
      <c r="A2" s="2" t="s">
        <v>2</v>
      </c>
      <c r="B2" s="3">
        <v>0.2</v>
      </c>
      <c r="C2" s="22" t="s">
        <v>37</v>
      </c>
      <c r="J2" s="1">
        <v>0</v>
      </c>
      <c r="K2" s="4">
        <f t="array" ref="K2:M102">OneOptionPricing(B3,B2,B1,A9,B9,C9,B5,F9)</f>
        <v>0</v>
      </c>
      <c r="L2" s="4">
        <v>0</v>
      </c>
      <c r="M2" s="5">
        <v>0</v>
      </c>
      <c r="N2" s="5">
        <v>0</v>
      </c>
      <c r="O2" s="6">
        <v>0</v>
      </c>
      <c r="P2" s="6">
        <v>0</v>
      </c>
      <c r="Q2" s="6">
        <v>0</v>
      </c>
      <c r="R2" s="6">
        <v>0</v>
      </c>
      <c r="S2" s="64"/>
      <c r="T2" s="64"/>
      <c r="U2" s="64"/>
      <c r="V2" s="19"/>
    </row>
    <row r="3" spans="1:22">
      <c r="A3" s="2" t="s">
        <v>1</v>
      </c>
      <c r="B3" s="3">
        <v>0.3</v>
      </c>
      <c r="J3" s="1">
        <v>1</v>
      </c>
      <c r="K3" s="4">
        <v>2</v>
      </c>
      <c r="L3" s="4">
        <v>0</v>
      </c>
      <c r="M3" s="5">
        <v>2.2544624073056298E-40</v>
      </c>
      <c r="N3" s="5">
        <f>CallOption(K3,$B$2,0,$B$1,$B$9,$C$9)</f>
        <v>0</v>
      </c>
      <c r="O3" s="6">
        <v>6.5999928942209183E-41</v>
      </c>
      <c r="P3" s="6">
        <v>8.439180566126974E-30</v>
      </c>
      <c r="Q3" s="6">
        <v>2.8469608456769175E-29</v>
      </c>
      <c r="R3" s="6">
        <v>9.8333276650028909E-42</v>
      </c>
      <c r="S3" s="64"/>
      <c r="T3" s="64"/>
      <c r="U3" s="64"/>
      <c r="V3" s="19"/>
    </row>
    <row r="4" spans="1:22">
      <c r="A4" s="2" t="s">
        <v>3</v>
      </c>
      <c r="B4" s="4">
        <v>100</v>
      </c>
      <c r="J4" s="1">
        <v>2</v>
      </c>
      <c r="K4" s="4">
        <v>4</v>
      </c>
      <c r="L4" s="4">
        <v>0</v>
      </c>
      <c r="M4" s="5">
        <v>4.2958761208341698E-37</v>
      </c>
      <c r="N4" s="5">
        <f t="shared" ref="N4:N67" si="0">CallOption(K4,$B$2,0,$B$1,$B$9,$C$9)</f>
        <v>0</v>
      </c>
      <c r="O4" s="6">
        <v>1.2460186635953301E-37</v>
      </c>
      <c r="P4" s="6">
        <v>9.3311098560869905E-27</v>
      </c>
      <c r="Q4" s="6">
        <v>2.7984028060444071E-26</v>
      </c>
      <c r="R4" s="6">
        <v>2.1246789974367519E-38</v>
      </c>
      <c r="S4" s="64"/>
      <c r="T4" s="64"/>
      <c r="U4" s="64"/>
    </row>
    <row r="5" spans="1:22">
      <c r="A5" s="2" t="s">
        <v>11</v>
      </c>
      <c r="B5" s="4">
        <v>100</v>
      </c>
      <c r="J5" s="1">
        <v>3</v>
      </c>
      <c r="K5" s="4">
        <v>6</v>
      </c>
      <c r="L5" s="4">
        <v>0</v>
      </c>
      <c r="M5" s="5">
        <v>2.7443709690886624E-34</v>
      </c>
      <c r="N5" s="5">
        <f t="shared" si="0"/>
        <v>0</v>
      </c>
      <c r="O5" s="6">
        <v>7.8832618108765562E-35</v>
      </c>
      <c r="P5" s="6">
        <v>3.0024145466304735E-24</v>
      </c>
      <c r="Q5" s="6">
        <v>8.0401872655617652E-24</v>
      </c>
      <c r="R5" s="6">
        <v>1.5324398589953763E-35</v>
      </c>
      <c r="S5" s="64"/>
      <c r="T5" s="64"/>
      <c r="U5" s="64"/>
    </row>
    <row r="6" spans="1:22">
      <c r="J6" s="1">
        <v>4</v>
      </c>
      <c r="K6" s="4">
        <v>8</v>
      </c>
      <c r="L6" s="4">
        <v>0</v>
      </c>
      <c r="M6" s="5">
        <v>8.6558074255347441E-32</v>
      </c>
      <c r="N6" s="5">
        <f t="shared" si="0"/>
        <v>0</v>
      </c>
      <c r="O6" s="6">
        <v>2.4613143558263484E-32</v>
      </c>
      <c r="P6" s="6">
        <v>4.429153545729096E-22</v>
      </c>
      <c r="Q6" s="6">
        <v>1.0641048017496917E-21</v>
      </c>
      <c r="R6" s="6">
        <v>5.4325735835289068E-33</v>
      </c>
    </row>
    <row r="7" spans="1:22">
      <c r="J7" s="1">
        <v>5</v>
      </c>
      <c r="K7" s="4">
        <v>10</v>
      </c>
      <c r="L7" s="4">
        <v>0</v>
      </c>
      <c r="M7" s="5">
        <v>1.6051261312859586E-29</v>
      </c>
      <c r="N7" s="5">
        <f>CallOption(K7,$B$2,0,$B$1,$B$9,$C$9)</f>
        <v>0</v>
      </c>
      <c r="O7" s="6">
        <v>4.5160446488446657E-30</v>
      </c>
      <c r="P7" s="6">
        <v>3.6629299317025716E-20</v>
      </c>
      <c r="Q7" s="6">
        <v>7.9348226710877384E-20</v>
      </c>
      <c r="R7" s="6">
        <v>1.1271049325852272E-30</v>
      </c>
    </row>
    <row r="8" spans="1:22">
      <c r="A8" s="2" t="s">
        <v>5</v>
      </c>
      <c r="B8" s="2" t="s">
        <v>4</v>
      </c>
      <c r="C8" s="2" t="s">
        <v>7</v>
      </c>
      <c r="D8" s="2" t="s">
        <v>8</v>
      </c>
      <c r="E8" s="2" t="s">
        <v>9</v>
      </c>
      <c r="F8" s="2" t="s">
        <v>10</v>
      </c>
      <c r="J8" s="1">
        <v>6</v>
      </c>
      <c r="K8" s="4">
        <v>12</v>
      </c>
      <c r="L8" s="4">
        <v>0</v>
      </c>
      <c r="M8" s="5">
        <v>1.9369655663212971E-27</v>
      </c>
      <c r="N8" s="5">
        <f t="shared" si="0"/>
        <v>0</v>
      </c>
      <c r="O8" s="6">
        <v>5.3893947263842175E-28</v>
      </c>
      <c r="P8" s="6">
        <v>1.9054674509255224E-18</v>
      </c>
      <c r="Q8" s="6">
        <v>3.7415897790099209E-18</v>
      </c>
      <c r="R8" s="6">
        <v>1.5145152638345574E-28</v>
      </c>
    </row>
    <row r="9" spans="1:22">
      <c r="A9" s="1" t="s">
        <v>6</v>
      </c>
      <c r="B9" s="1">
        <v>100</v>
      </c>
      <c r="C9" s="1">
        <v>0.5</v>
      </c>
      <c r="D9" s="1">
        <v>0.39</v>
      </c>
      <c r="E9" s="1">
        <v>0.59</v>
      </c>
      <c r="F9" s="1">
        <v>1</v>
      </c>
      <c r="J9" s="1">
        <v>7</v>
      </c>
      <c r="K9" s="4">
        <v>14</v>
      </c>
      <c r="L9" s="4">
        <v>0</v>
      </c>
      <c r="M9" s="5">
        <v>1.6261350402759054E-25</v>
      </c>
      <c r="N9" s="5">
        <f t="shared" si="0"/>
        <v>0</v>
      </c>
      <c r="O9" s="6">
        <v>4.4720694373077566E-26</v>
      </c>
      <c r="P9" s="6">
        <v>6.7226935582013928E-17</v>
      </c>
      <c r="Q9" s="6">
        <v>1.2032672821429476E-16</v>
      </c>
      <c r="R9" s="6">
        <v>1.408908158962121E-26</v>
      </c>
    </row>
    <row r="10" spans="1:22">
      <c r="J10" s="1">
        <v>8</v>
      </c>
      <c r="K10" s="4">
        <v>16</v>
      </c>
      <c r="L10" s="4">
        <v>0</v>
      </c>
      <c r="M10" s="5">
        <v>9.9594533212179348E-24</v>
      </c>
      <c r="N10" s="5">
        <f t="shared" si="0"/>
        <v>0</v>
      </c>
      <c r="O10" s="6">
        <v>2.7056427496266355E-24</v>
      </c>
      <c r="P10" s="6">
        <v>1.6972132298728506E-15</v>
      </c>
      <c r="Q10" s="6">
        <v>2.7851094315051376E-15</v>
      </c>
      <c r="R10" s="6">
        <v>9.5137370760019889E-25</v>
      </c>
    </row>
    <row r="11" spans="1:22">
      <c r="J11" s="1">
        <v>9</v>
      </c>
      <c r="K11" s="4">
        <v>18</v>
      </c>
      <c r="L11" s="4">
        <v>0</v>
      </c>
      <c r="M11" s="5">
        <v>4.6112312897593474E-22</v>
      </c>
      <c r="N11" s="5">
        <f t="shared" si="0"/>
        <v>0</v>
      </c>
      <c r="O11" s="6">
        <v>1.2367088376263686E-22</v>
      </c>
      <c r="P11" s="6">
        <v>3.1929680220743E-14</v>
      </c>
      <c r="Q11" s="6">
        <v>4.8327823267387782E-14</v>
      </c>
      <c r="R11" s="6">
        <v>4.8314182914656649E-23</v>
      </c>
    </row>
    <row r="12" spans="1:22">
      <c r="J12" s="1">
        <v>10</v>
      </c>
      <c r="K12" s="4">
        <v>20</v>
      </c>
      <c r="L12" s="4">
        <v>0</v>
      </c>
      <c r="M12" s="5">
        <v>1.6594122098146663E-20</v>
      </c>
      <c r="N12" s="5">
        <f t="shared" si="0"/>
        <v>0</v>
      </c>
      <c r="O12" s="6">
        <v>4.3907170219930363E-21</v>
      </c>
      <c r="P12" s="6">
        <v>4.622539551804347E-13</v>
      </c>
      <c r="Q12" s="6">
        <v>6.4931125475793996E-13</v>
      </c>
      <c r="R12" s="6">
        <v>1.8969000184893488E-21</v>
      </c>
    </row>
    <row r="13" spans="1:22">
      <c r="J13" s="1">
        <v>11</v>
      </c>
      <c r="K13" s="4">
        <v>22</v>
      </c>
      <c r="L13" s="4">
        <v>0</v>
      </c>
      <c r="M13" s="5">
        <v>4.7461466385313518E-19</v>
      </c>
      <c r="N13" s="5">
        <f t="shared" si="0"/>
        <v>0</v>
      </c>
      <c r="O13" s="6">
        <v>1.2380819060867765E-19</v>
      </c>
      <c r="P13" s="6">
        <v>5.2879317307629288E-12</v>
      </c>
      <c r="Q13" s="6">
        <v>6.9364038657813055E-12</v>
      </c>
      <c r="R13" s="6">
        <v>5.8869908796606814E-20</v>
      </c>
    </row>
    <row r="14" spans="1:22">
      <c r="J14" s="1">
        <v>12</v>
      </c>
      <c r="K14" s="4">
        <v>24</v>
      </c>
      <c r="L14" s="4">
        <v>0</v>
      </c>
      <c r="M14" s="5">
        <v>1.0989369073054653E-17</v>
      </c>
      <c r="N14" s="5">
        <f t="shared" si="0"/>
        <v>0</v>
      </c>
      <c r="O14" s="6">
        <v>2.8241320476253375E-18</v>
      </c>
      <c r="P14" s="6">
        <v>4.8883259117164865E-11</v>
      </c>
      <c r="Q14" s="6">
        <v>6.0254777916618596E-11</v>
      </c>
      <c r="R14" s="6">
        <v>1.4708165039226892E-18</v>
      </c>
    </row>
    <row r="15" spans="1:22">
      <c r="J15" s="1">
        <v>13</v>
      </c>
      <c r="K15" s="4">
        <v>26</v>
      </c>
      <c r="L15" s="4">
        <v>0</v>
      </c>
      <c r="M15" s="5">
        <v>2.0921190069822161E-16</v>
      </c>
      <c r="N15" s="5">
        <f t="shared" si="0"/>
        <v>0</v>
      </c>
      <c r="O15" s="6">
        <v>5.2924799938537336E-17</v>
      </c>
      <c r="P15" s="6">
        <v>3.72376563596227E-10</v>
      </c>
      <c r="Q15" s="6">
        <v>4.3397656631423163E-10</v>
      </c>
      <c r="R15" s="6">
        <v>3.0041581187741855E-17</v>
      </c>
    </row>
    <row r="16" spans="1:22">
      <c r="J16" s="1">
        <v>14</v>
      </c>
      <c r="K16" s="4">
        <v>28</v>
      </c>
      <c r="L16" s="4">
        <v>0</v>
      </c>
      <c r="M16" s="5">
        <v>3.318687406954774E-15</v>
      </c>
      <c r="N16" s="5">
        <f t="shared" si="0"/>
        <v>0</v>
      </c>
      <c r="O16" s="6">
        <v>8.2572455604461484E-16</v>
      </c>
      <c r="P16" s="6">
        <v>2.3783147983616754E-9</v>
      </c>
      <c r="Q16" s="6">
        <v>2.6363403569271915E-9</v>
      </c>
      <c r="R16" s="6">
        <v>5.083015920614388E-16</v>
      </c>
    </row>
    <row r="17" spans="10:18">
      <c r="J17" s="1">
        <v>15</v>
      </c>
      <c r="K17" s="4">
        <v>30</v>
      </c>
      <c r="L17" s="4">
        <v>0</v>
      </c>
      <c r="M17" s="5">
        <v>4.43774415207013E-14</v>
      </c>
      <c r="N17" s="5">
        <f t="shared" si="0"/>
        <v>3.3306690738754696E-15</v>
      </c>
      <c r="O17" s="6">
        <v>1.0850273400968663E-14</v>
      </c>
      <c r="P17" s="6">
        <v>1.2935457939712045E-8</v>
      </c>
      <c r="Q17" s="6">
        <v>1.3716645824003039E-8</v>
      </c>
      <c r="R17" s="6">
        <v>7.2071218672916961E-15</v>
      </c>
    </row>
    <row r="18" spans="10:18">
      <c r="J18" s="1">
        <v>16</v>
      </c>
      <c r="K18" s="4">
        <v>32</v>
      </c>
      <c r="L18" s="4">
        <v>0</v>
      </c>
      <c r="M18" s="5">
        <v>5.0541655533939644E-13</v>
      </c>
      <c r="N18" s="5">
        <f t="shared" si="0"/>
        <v>5.7456340104937602E-15</v>
      </c>
      <c r="O18" s="6">
        <v>1.213189406858208E-13</v>
      </c>
      <c r="P18" s="6">
        <v>6.0766009012966164E-8</v>
      </c>
      <c r="Q18" s="6">
        <v>6.1973412317907725E-8</v>
      </c>
      <c r="R18" s="6">
        <v>8.6513817452525631E-14</v>
      </c>
    </row>
    <row r="19" spans="10:18">
      <c r="J19" s="1">
        <v>17</v>
      </c>
      <c r="K19" s="4">
        <v>34</v>
      </c>
      <c r="L19" s="4">
        <v>0</v>
      </c>
      <c r="M19" s="5">
        <v>4.9482258776300384E-12</v>
      </c>
      <c r="N19" s="5">
        <f t="shared" si="0"/>
        <v>5.3117304611292542E-14</v>
      </c>
      <c r="O19" s="6">
        <v>1.1649244973377972E-12</v>
      </c>
      <c r="P19" s="6">
        <v>2.4975711317990884E-7</v>
      </c>
      <c r="Q19" s="6">
        <v>2.4621783207207712E-7</v>
      </c>
      <c r="R19" s="6">
        <v>8.8734022056785264E-13</v>
      </c>
    </row>
    <row r="20" spans="10:18">
      <c r="J20" s="1">
        <v>18</v>
      </c>
      <c r="K20" s="4">
        <v>36</v>
      </c>
      <c r="L20" s="4">
        <v>0</v>
      </c>
      <c r="M20" s="5">
        <v>4.199738293320528E-11</v>
      </c>
      <c r="N20" s="5">
        <f t="shared" si="0"/>
        <v>1.0230951254565479E-12</v>
      </c>
      <c r="O20" s="6">
        <v>9.6869056117737397E-12</v>
      </c>
      <c r="P20" s="6">
        <v>9.088585896044854E-7</v>
      </c>
      <c r="Q20" s="6">
        <v>8.7006064957807724E-7</v>
      </c>
      <c r="R20" s="6">
        <v>7.841946130475175E-12</v>
      </c>
    </row>
    <row r="21" spans="10:18">
      <c r="J21" s="1">
        <v>19</v>
      </c>
      <c r="K21" s="4">
        <v>38</v>
      </c>
      <c r="L21" s="4">
        <v>0</v>
      </c>
      <c r="M21" s="5">
        <v>3.1141303493047954E-10</v>
      </c>
      <c r="N21" s="5">
        <f t="shared" si="0"/>
        <v>1.6095682188097928E-11</v>
      </c>
      <c r="O21" s="6">
        <v>7.0297001366058543E-11</v>
      </c>
      <c r="P21" s="6">
        <v>2.9601375585623226E-6</v>
      </c>
      <c r="Q21" s="6">
        <v>2.7632366059108677E-6</v>
      </c>
      <c r="R21" s="6">
        <v>6.0180686629940482E-11</v>
      </c>
    </row>
    <row r="22" spans="10:18">
      <c r="J22" s="1">
        <v>20</v>
      </c>
      <c r="K22" s="4">
        <v>40</v>
      </c>
      <c r="L22" s="4">
        <v>0</v>
      </c>
      <c r="M22" s="5">
        <v>2.0320158712333621E-9</v>
      </c>
      <c r="N22" s="5">
        <f t="shared" si="0"/>
        <v>1.930216996562394E-10</v>
      </c>
      <c r="O22" s="6">
        <v>4.4839866767771508E-10</v>
      </c>
      <c r="P22" s="6">
        <v>8.7153301929903514E-6</v>
      </c>
      <c r="Q22" s="6">
        <v>7.9624954890120631E-6</v>
      </c>
      <c r="R22" s="6">
        <v>4.0396142958558704E-10</v>
      </c>
    </row>
    <row r="23" spans="10:18">
      <c r="J23" s="1">
        <v>21</v>
      </c>
      <c r="K23" s="4">
        <v>42</v>
      </c>
      <c r="L23" s="4">
        <v>0</v>
      </c>
      <c r="M23" s="5">
        <v>1.1747213583690334E-8</v>
      </c>
      <c r="N23" s="5">
        <f t="shared" si="0"/>
        <v>1.8242997026938244E-9</v>
      </c>
      <c r="O23" s="6">
        <v>2.5309717956863414E-9</v>
      </c>
      <c r="P23" s="6">
        <v>2.3407764492898838E-5</v>
      </c>
      <c r="Q23" s="6">
        <v>2.0999067667156451E-5</v>
      </c>
      <c r="R23" s="6">
        <v>2.3880602475648454E-9</v>
      </c>
    </row>
    <row r="24" spans="10:18">
      <c r="J24" s="1">
        <v>22</v>
      </c>
      <c r="K24" s="4">
        <v>44</v>
      </c>
      <c r="L24" s="4">
        <v>0</v>
      </c>
      <c r="M24" s="5">
        <v>6.0554020816100939E-8</v>
      </c>
      <c r="N24" s="5">
        <f t="shared" si="0"/>
        <v>1.3970713350862492E-8</v>
      </c>
      <c r="O24" s="6">
        <v>1.2722352913728187E-8</v>
      </c>
      <c r="P24" s="6">
        <v>5.7828154313816793E-5</v>
      </c>
      <c r="Q24" s="6">
        <v>5.1084435161721125E-5</v>
      </c>
      <c r="R24" s="6">
        <v>1.251421006950886E-8</v>
      </c>
    </row>
    <row r="25" spans="10:18">
      <c r="J25" s="1">
        <v>23</v>
      </c>
      <c r="K25" s="4">
        <v>46</v>
      </c>
      <c r="L25" s="4">
        <v>0</v>
      </c>
      <c r="M25" s="5">
        <v>2.8002773172814576E-7</v>
      </c>
      <c r="N25" s="5">
        <f t="shared" si="0"/>
        <v>8.8771985901954796E-8</v>
      </c>
      <c r="O25" s="6">
        <v>5.7297288384834033E-8</v>
      </c>
      <c r="P25" s="6">
        <v>1.3240213521709696E-4</v>
      </c>
      <c r="Q25" s="6">
        <v>1.1545690972022434E-4</v>
      </c>
      <c r="R25" s="6">
        <v>5.8496100111616994E-8</v>
      </c>
    </row>
    <row r="26" spans="10:18">
      <c r="J26" s="1">
        <v>24</v>
      </c>
      <c r="K26" s="4">
        <v>48</v>
      </c>
      <c r="L26" s="4">
        <v>0</v>
      </c>
      <c r="M26" s="5">
        <v>1.168542195932668E-6</v>
      </c>
      <c r="N26" s="5">
        <f t="shared" si="0"/>
        <v>4.7763169975743993E-7</v>
      </c>
      <c r="O26" s="6">
        <v>2.3254312982911199E-7</v>
      </c>
      <c r="P26" s="6">
        <v>2.828761727001285E-4</v>
      </c>
      <c r="Q26" s="6">
        <v>2.4401169632162238E-4</v>
      </c>
      <c r="R26" s="6">
        <v>2.453741787817257E-7</v>
      </c>
    </row>
    <row r="27" spans="10:18">
      <c r="J27" s="1">
        <v>25</v>
      </c>
      <c r="K27" s="4">
        <v>50</v>
      </c>
      <c r="L27" s="4">
        <v>0</v>
      </c>
      <c r="M27" s="5">
        <v>4.4249463993535491E-6</v>
      </c>
      <c r="N27" s="5">
        <f t="shared" si="0"/>
        <v>2.2144978938359991E-6</v>
      </c>
      <c r="O27" s="6">
        <v>8.5524982188859132E-7</v>
      </c>
      <c r="P27" s="6">
        <v>5.6745625939128724E-4</v>
      </c>
      <c r="Q27" s="6">
        <v>4.8507944256955926E-4</v>
      </c>
      <c r="R27" s="6">
        <v>9.2904221520028428E-7</v>
      </c>
    </row>
    <row r="28" spans="10:18">
      <c r="J28" s="1">
        <v>26</v>
      </c>
      <c r="K28" s="4">
        <v>52</v>
      </c>
      <c r="L28" s="4">
        <v>0</v>
      </c>
      <c r="M28" s="5">
        <v>1.5287482192303919E-5</v>
      </c>
      <c r="N28" s="5">
        <f t="shared" si="0"/>
        <v>8.9829114202776179E-6</v>
      </c>
      <c r="O28" s="6">
        <v>2.8656967880624489E-6</v>
      </c>
      <c r="P28" s="6">
        <v>1.0748167958096546E-3</v>
      </c>
      <c r="Q28" s="6">
        <v>9.1187890820879016E-4</v>
      </c>
      <c r="R28" s="6">
        <v>3.192959088179189E-6</v>
      </c>
    </row>
    <row r="29" spans="10:18">
      <c r="J29" s="1">
        <v>27</v>
      </c>
      <c r="K29" s="4">
        <v>54</v>
      </c>
      <c r="L29" s="4">
        <v>0</v>
      </c>
      <c r="M29" s="5">
        <v>4.8438149616589388E-5</v>
      </c>
      <c r="N29" s="5">
        <f t="shared" si="0"/>
        <v>3.2305009845541533E-5</v>
      </c>
      <c r="O29" s="6">
        <v>8.7934563300850459E-6</v>
      </c>
      <c r="P29" s="6">
        <v>1.9319636786185596E-3</v>
      </c>
      <c r="Q29" s="6">
        <v>1.6288250102857696E-3</v>
      </c>
      <c r="R29" s="6">
        <v>1.0015516625744881E-5</v>
      </c>
    </row>
    <row r="30" spans="10:18">
      <c r="J30" s="1">
        <v>28</v>
      </c>
      <c r="K30" s="4">
        <v>56</v>
      </c>
      <c r="L30" s="4">
        <v>0</v>
      </c>
      <c r="M30" s="5">
        <v>1.4146230453167418E-4</v>
      </c>
      <c r="N30" s="5">
        <f t="shared" si="0"/>
        <v>1.0420191214526855E-4</v>
      </c>
      <c r="O30" s="6">
        <v>2.4833935410589716E-5</v>
      </c>
      <c r="P30" s="6">
        <v>3.3106187739334355E-3</v>
      </c>
      <c r="Q30" s="6">
        <v>2.7766204118528683E-3</v>
      </c>
      <c r="R30" s="6">
        <v>2.8825111675702651E-5</v>
      </c>
    </row>
    <row r="31" spans="10:18">
      <c r="J31" s="1">
        <v>29</v>
      </c>
      <c r="K31" s="4">
        <v>58</v>
      </c>
      <c r="L31" s="4">
        <v>0</v>
      </c>
      <c r="M31" s="5">
        <v>3.8264293422298471E-4</v>
      </c>
      <c r="N31" s="5">
        <f t="shared" si="0"/>
        <v>3.0456287098686377E-4</v>
      </c>
      <c r="O31" s="6">
        <v>6.4859561849831996E-5</v>
      </c>
      <c r="P31" s="6">
        <v>5.4306995795183229E-3</v>
      </c>
      <c r="Q31" s="6">
        <v>4.5349820775147948E-3</v>
      </c>
      <c r="R31" s="6">
        <v>7.6507706762930655E-5</v>
      </c>
    </row>
    <row r="32" spans="10:18">
      <c r="J32" s="1">
        <v>30</v>
      </c>
      <c r="K32" s="4">
        <v>60</v>
      </c>
      <c r="L32" s="4">
        <v>0</v>
      </c>
      <c r="M32" s="5">
        <v>9.6308600074236563E-4</v>
      </c>
      <c r="N32" s="5">
        <f t="shared" si="0"/>
        <v>8.139652850463891E-4</v>
      </c>
      <c r="O32" s="6">
        <v>1.5738112517821692E-4</v>
      </c>
      <c r="P32" s="6">
        <v>8.5596529901942765E-3</v>
      </c>
      <c r="Q32" s="6">
        <v>7.1219992643420495E-3</v>
      </c>
      <c r="R32" s="6">
        <v>1.8819823694429458E-4</v>
      </c>
    </row>
    <row r="33" spans="10:18">
      <c r="J33" s="1">
        <v>31</v>
      </c>
      <c r="K33" s="4">
        <v>62</v>
      </c>
      <c r="L33" s="4">
        <v>0</v>
      </c>
      <c r="M33" s="5">
        <v>2.2656529191287258E-3</v>
      </c>
      <c r="N33" s="5">
        <f t="shared" si="0"/>
        <v>2.0052025005018251E-3</v>
      </c>
      <c r="O33" s="6">
        <v>3.5637741633169184E-4</v>
      </c>
      <c r="P33" s="6">
        <v>1.300685080539769E-2</v>
      </c>
      <c r="Q33" s="6">
        <v>1.0789477026180029E-2</v>
      </c>
      <c r="R33" s="6">
        <v>4.3108144960674164E-4</v>
      </c>
    </row>
    <row r="34" spans="10:18">
      <c r="J34" s="1">
        <v>32</v>
      </c>
      <c r="K34" s="4">
        <v>64</v>
      </c>
      <c r="L34" s="4">
        <v>0</v>
      </c>
      <c r="M34" s="5">
        <v>5.0030663952406436E-3</v>
      </c>
      <c r="N34" s="5">
        <f t="shared" si="0"/>
        <v>4.5862166887150752E-3</v>
      </c>
      <c r="O34" s="6">
        <v>7.5630246995005796E-4</v>
      </c>
      <c r="P34" s="6">
        <v>1.9112887323807226E-2</v>
      </c>
      <c r="Q34" s="6">
        <v>1.5814128278877494E-2</v>
      </c>
      <c r="R34" s="6">
        <v>9.2365192790442089E-4</v>
      </c>
    </row>
    <row r="35" spans="10:18">
      <c r="J35" s="1">
        <v>33</v>
      </c>
      <c r="K35" s="4">
        <v>66</v>
      </c>
      <c r="L35" s="4">
        <v>0</v>
      </c>
      <c r="M35" s="5">
        <v>1.0412852416255015E-2</v>
      </c>
      <c r="N35" s="5">
        <f t="shared" si="0"/>
        <v>9.8014708990293298E-3</v>
      </c>
      <c r="O35" s="6">
        <v>1.5103479880940872E-3</v>
      </c>
      <c r="P35" s="6">
        <v>2.7234315543383892E-2</v>
      </c>
      <c r="Q35" s="6">
        <v>2.2485042420567886E-2</v>
      </c>
      <c r="R35" s="6">
        <v>1.8592870663584856E-3</v>
      </c>
    </row>
    <row r="36" spans="10:18">
      <c r="J36" s="1">
        <v>34</v>
      </c>
      <c r="K36" s="4">
        <v>68</v>
      </c>
      <c r="L36" s="4">
        <v>0</v>
      </c>
      <c r="M36" s="5">
        <v>2.0506313934113923E-2</v>
      </c>
      <c r="N36" s="5">
        <f t="shared" si="0"/>
        <v>1.9687169983491071E-2</v>
      </c>
      <c r="O36" s="6">
        <v>2.8493253727151077E-3</v>
      </c>
      <c r="P36" s="6">
        <v>3.77249893012684E-2</v>
      </c>
      <c r="Q36" s="6">
        <v>3.1088375330889113E-2</v>
      </c>
      <c r="R36" s="6">
        <v>3.5307580563708322E-3</v>
      </c>
    </row>
    <row r="37" spans="10:18">
      <c r="J37" s="1">
        <v>35</v>
      </c>
      <c r="K37" s="4">
        <v>70</v>
      </c>
      <c r="L37" s="4">
        <v>0</v>
      </c>
      <c r="M37" s="5">
        <v>3.8353211403568746E-2</v>
      </c>
      <c r="N37" s="5">
        <f t="shared" si="0"/>
        <v>3.7359440651769993E-2</v>
      </c>
      <c r="O37" s="6">
        <v>5.0967943605067139E-3</v>
      </c>
      <c r="P37" s="6">
        <v>5.0915637341290676E-2</v>
      </c>
      <c r="Q37" s="6">
        <v>4.1890586062971372E-2</v>
      </c>
      <c r="R37" s="6">
        <v>6.3500471990295066E-3</v>
      </c>
    </row>
    <row r="38" spans="10:18">
      <c r="J38" s="1">
        <v>36</v>
      </c>
      <c r="K38" s="4">
        <v>72</v>
      </c>
      <c r="L38" s="4">
        <v>0</v>
      </c>
      <c r="M38" s="5">
        <v>6.8366351210363857E-2</v>
      </c>
      <c r="N38" s="5">
        <f t="shared" si="0"/>
        <v>6.7297256549429418E-2</v>
      </c>
      <c r="O38" s="6">
        <v>8.674983735857034E-3</v>
      </c>
      <c r="P38" s="6">
        <v>6.7093517198530739E-2</v>
      </c>
      <c r="Q38" s="6">
        <v>5.5121734499412808E-2</v>
      </c>
      <c r="R38" s="6">
        <v>1.0856446367080323E-2</v>
      </c>
    </row>
    <row r="39" spans="10:18">
      <c r="J39" s="1">
        <v>37</v>
      </c>
      <c r="K39" s="4">
        <v>74</v>
      </c>
      <c r="L39" s="4">
        <v>0</v>
      </c>
      <c r="M39" s="5">
        <v>0.11653584021828281</v>
      </c>
      <c r="N39" s="5">
        <f t="shared" si="0"/>
        <v>0.11556871246050759</v>
      </c>
      <c r="O39" s="6">
        <v>1.4096279746250818E-2</v>
      </c>
      <c r="P39" s="6">
        <v>8.6483966495523368E-2</v>
      </c>
      <c r="Q39" s="6">
        <v>7.0960336278386396E-2</v>
      </c>
      <c r="R39" s="6">
        <v>1.7706226175402726E-2</v>
      </c>
    </row>
    <row r="40" spans="10:18">
      <c r="J40" s="1">
        <v>38</v>
      </c>
      <c r="K40" s="4">
        <v>76</v>
      </c>
      <c r="L40" s="4">
        <v>0</v>
      </c>
      <c r="M40" s="5">
        <v>0.19055670561792035</v>
      </c>
      <c r="N40" s="5">
        <f t="shared" si="0"/>
        <v>0.18994520352937494</v>
      </c>
      <c r="O40" s="6">
        <v>2.1936926366095288E-2</v>
      </c>
      <c r="P40" s="6">
        <v>0.10923541538082825</v>
      </c>
      <c r="Q40" s="6">
        <v>8.9521067748659158E-2</v>
      </c>
      <c r="R40" s="6">
        <v>2.7639590031120615E-2</v>
      </c>
    </row>
    <row r="41" spans="10:18">
      <c r="J41" s="1">
        <v>39</v>
      </c>
      <c r="K41" s="4">
        <v>78</v>
      </c>
      <c r="L41" s="4">
        <v>0</v>
      </c>
      <c r="M41" s="5">
        <v>0.29979963926572611</v>
      </c>
      <c r="N41" s="5">
        <f t="shared" si="0"/>
        <v>0.29985610463308454</v>
      </c>
      <c r="O41" s="6">
        <v>3.2792874616037443E-2</v>
      </c>
      <c r="P41" s="6">
        <v>0.13540900610310316</v>
      </c>
      <c r="Q41" s="6">
        <v>0.11084627264833334</v>
      </c>
      <c r="R41" s="6">
        <v>4.1424858482587229E-2</v>
      </c>
    </row>
    <row r="42" spans="10:18">
      <c r="J42" s="1">
        <v>40</v>
      </c>
      <c r="K42" s="4">
        <v>80</v>
      </c>
      <c r="L42" s="4">
        <v>0</v>
      </c>
      <c r="M42" s="5">
        <v>0.45509332595625035</v>
      </c>
      <c r="N42" s="5">
        <f t="shared" si="0"/>
        <v>0.45615635982011149</v>
      </c>
      <c r="O42" s="6">
        <v>4.7221681161481129E-2</v>
      </c>
      <c r="P42" s="6">
        <v>0.1649734588305041</v>
      </c>
      <c r="Q42" s="6">
        <v>0.13490180529424189</v>
      </c>
      <c r="R42" s="6">
        <v>5.9784879428052128E-2</v>
      </c>
    </row>
    <row r="43" spans="10:18">
      <c r="J43" s="1">
        <v>41</v>
      </c>
      <c r="K43" s="4">
        <v>82</v>
      </c>
      <c r="L43" s="4">
        <v>0</v>
      </c>
      <c r="M43" s="5">
        <v>0.66831497309454324</v>
      </c>
      <c r="N43" s="5">
        <f t="shared" si="0"/>
        <v>0.67070732469980854</v>
      </c>
      <c r="O43" s="6">
        <v>6.5677922612835768E-2</v>
      </c>
      <c r="P43" s="6">
        <v>0.19780530164126442</v>
      </c>
      <c r="Q43" s="6">
        <v>0.16157731484810486</v>
      </c>
      <c r="R43" s="6">
        <v>8.3315166498488816E-2</v>
      </c>
    </row>
    <row r="44" spans="10:18">
      <c r="J44" s="1">
        <v>42</v>
      </c>
      <c r="K44" s="4">
        <v>84</v>
      </c>
      <c r="L44" s="4">
        <v>0</v>
      </c>
      <c r="M44" s="5">
        <v>0.95181723131057627</v>
      </c>
      <c r="N44" s="5">
        <f t="shared" si="0"/>
        <v>0.95580132769995352</v>
      </c>
      <c r="O44" s="6">
        <v>8.8451746769961731E-2</v>
      </c>
      <c r="P44" s="6">
        <v>0.23369411084780381</v>
      </c>
      <c r="Q44" s="6">
        <v>0.1906906851161384</v>
      </c>
      <c r="R44" s="6">
        <v>0.11240596079555043</v>
      </c>
    </row>
    <row r="45" spans="10:18">
      <c r="J45" s="1">
        <v>43</v>
      </c>
      <c r="K45" s="4">
        <v>86</v>
      </c>
      <c r="L45" s="4">
        <v>0</v>
      </c>
      <c r="M45" s="5">
        <v>1.3177475971893169</v>
      </c>
      <c r="N45" s="5">
        <f t="shared" si="0"/>
        <v>1.3234862974145862</v>
      </c>
      <c r="O45" s="6">
        <v>0.11562031030834174</v>
      </c>
      <c r="P45" s="6">
        <v>0.27235203139871839</v>
      </c>
      <c r="Q45" s="6">
        <v>0.22199603260828735</v>
      </c>
      <c r="R45" s="6">
        <v>0.14718053537649087</v>
      </c>
    </row>
    <row r="46" spans="10:18">
      <c r="J46" s="1">
        <v>44</v>
      </c>
      <c r="K46" s="4">
        <v>88</v>
      </c>
      <c r="L46" s="4">
        <v>0</v>
      </c>
      <c r="M46" s="5">
        <v>1.7773345697251925</v>
      </c>
      <c r="N46" s="5">
        <f t="shared" si="0"/>
        <v>1.78486329032825</v>
      </c>
      <c r="O46" s="6">
        <v>0.14701992954651852</v>
      </c>
      <c r="P46" s="6">
        <v>0.31342659174745052</v>
      </c>
      <c r="Q46" s="6">
        <v>0.25519445322199003</v>
      </c>
      <c r="R46" s="6">
        <v>0.18745959665277701</v>
      </c>
    </row>
    <row r="47" spans="10:18">
      <c r="J47" s="1">
        <v>45</v>
      </c>
      <c r="K47" s="4">
        <v>90</v>
      </c>
      <c r="L47" s="4">
        <v>0</v>
      </c>
      <c r="M47" s="5">
        <v>2.3402198611316662</v>
      </c>
      <c r="N47" s="5">
        <f t="shared" si="0"/>
        <v>2.3494341850316296</v>
      </c>
      <c r="O47" s="6">
        <v>0.18224333245192104</v>
      </c>
      <c r="P47" s="6">
        <v>0.35651569973481778</v>
      </c>
      <c r="Q47" s="6">
        <v>0.28994659971090919</v>
      </c>
      <c r="R47" s="6">
        <v>0.23275724858709471</v>
      </c>
    </row>
    <row r="48" spans="10:18">
      <c r="J48" s="1">
        <v>46</v>
      </c>
      <c r="K48" s="4">
        <v>92</v>
      </c>
      <c r="L48" s="4">
        <v>0</v>
      </c>
      <c r="M48" s="5">
        <v>3.0139076707286923</v>
      </c>
      <c r="N48" s="5">
        <f t="shared" si="0"/>
        <v>3.0245693680775005</v>
      </c>
      <c r="O48" s="6">
        <v>0.22066231832569777</v>
      </c>
      <c r="P48" s="6">
        <v>0.40118369614261995</v>
      </c>
      <c r="Q48" s="6">
        <v>0.32588615981679375</v>
      </c>
      <c r="R48" s="6">
        <v>0.28230876832116253</v>
      </c>
    </row>
    <row r="49" spans="10:18">
      <c r="J49" s="1">
        <v>47</v>
      </c>
      <c r="K49" s="4">
        <v>94</v>
      </c>
      <c r="L49" s="4">
        <v>0</v>
      </c>
      <c r="M49" s="5">
        <v>3.8033831493922849</v>
      </c>
      <c r="N49" s="5">
        <f t="shared" si="0"/>
        <v>3.8151484910708291</v>
      </c>
      <c r="O49" s="6">
        <v>0.26147231021054779</v>
      </c>
      <c r="P49" s="6">
        <v>0.4469774296466314</v>
      </c>
      <c r="Q49" s="6">
        <v>0.36263337150031782</v>
      </c>
      <c r="R49" s="6">
        <v>0.33512556677257627</v>
      </c>
    </row>
    <row r="50" spans="10:18">
      <c r="J50" s="1">
        <v>48</v>
      </c>
      <c r="K50" s="4">
        <v>96</v>
      </c>
      <c r="L50" s="4">
        <v>0</v>
      </c>
      <c r="M50" s="5">
        <v>4.7109272716747768</v>
      </c>
      <c r="N50" s="5">
        <f t="shared" si="0"/>
        <v>4.7234053100201905</v>
      </c>
      <c r="O50" s="6">
        <v>0.30375240870138259</v>
      </c>
      <c r="P50" s="6">
        <v>0.49344147356508583</v>
      </c>
      <c r="Q50" s="6">
        <v>0.39980783541846537</v>
      </c>
      <c r="R50" s="6">
        <v>0.39006910978967979</v>
      </c>
    </row>
    <row r="51" spans="10:18">
      <c r="J51" s="1">
        <v>49</v>
      </c>
      <c r="K51" s="4">
        <v>98</v>
      </c>
      <c r="L51" s="4">
        <v>0</v>
      </c>
      <c r="M51" s="5">
        <v>5.7361294449367133</v>
      </c>
      <c r="N51" s="5">
        <f t="shared" si="0"/>
        <v>5.7489146267422626</v>
      </c>
      <c r="O51" s="6">
        <v>0.34653298523963311</v>
      </c>
      <c r="P51" s="6">
        <v>0.54013180209816047</v>
      </c>
      <c r="Q51" s="6">
        <v>0.43704004304840838</v>
      </c>
      <c r="R51" s="6">
        <v>0.44593376502940391</v>
      </c>
    </row>
    <row r="52" spans="10:18">
      <c r="J52" s="1">
        <v>50</v>
      </c>
      <c r="K52" s="4">
        <v>100</v>
      </c>
      <c r="L52" s="4">
        <v>0</v>
      </c>
      <c r="M52" s="5">
        <v>6.8760766824844906</v>
      </c>
      <c r="N52" s="5">
        <f t="shared" si="0"/>
        <v>6.8887182220808114</v>
      </c>
      <c r="O52" s="6">
        <v>0.38911034920044441</v>
      </c>
      <c r="P52" s="6">
        <v>0.58639016383841069</v>
      </c>
      <c r="Q52" s="6">
        <v>0.47398121087612111</v>
      </c>
      <c r="R52" s="6">
        <v>0.5015285650430773</v>
      </c>
    </row>
    <row r="53" spans="10:18">
      <c r="J53" s="1">
        <v>51</v>
      </c>
      <c r="K53" s="4">
        <v>102</v>
      </c>
      <c r="L53" s="4">
        <v>2</v>
      </c>
      <c r="M53" s="5">
        <v>8.1256819690280224</v>
      </c>
      <c r="N53" s="5">
        <f t="shared" si="0"/>
        <v>8.1378429106297432</v>
      </c>
      <c r="O53" s="6">
        <v>0.4310957607556305</v>
      </c>
      <c r="P53" s="6">
        <v>0.63133979370546145</v>
      </c>
      <c r="Q53" s="6">
        <v>0.51031117967778172</v>
      </c>
      <c r="R53" s="6">
        <v>0.55574941093105479</v>
      </c>
    </row>
    <row r="54" spans="10:18">
      <c r="J54" s="1">
        <v>52</v>
      </c>
      <c r="K54" s="4">
        <v>104</v>
      </c>
      <c r="L54" s="4">
        <v>4</v>
      </c>
      <c r="M54" s="5">
        <v>9.4781057731176528</v>
      </c>
      <c r="N54" s="5">
        <f t="shared" si="0"/>
        <v>9.4894820162950069</v>
      </c>
      <c r="O54" s="6">
        <v>0.47214110105950752</v>
      </c>
      <c r="P54" s="6">
        <v>0.67422208742500656</v>
      </c>
      <c r="Q54" s="6">
        <v>0.54574429038735817</v>
      </c>
      <c r="R54" s="6">
        <v>0.60763573638663837</v>
      </c>
    </row>
    <row r="55" spans="10:18">
      <c r="J55" s="1">
        <v>53</v>
      </c>
      <c r="K55" s="4">
        <v>106</v>
      </c>
      <c r="L55" s="4">
        <v>6</v>
      </c>
      <c r="M55" s="5">
        <v>10.925223211421688</v>
      </c>
      <c r="N55" s="5">
        <f t="shared" si="0"/>
        <v>10.935584394802987</v>
      </c>
      <c r="O55" s="6">
        <v>0.51194357001037283</v>
      </c>
      <c r="P55" s="6">
        <v>0.71442685310344722</v>
      </c>
      <c r="Q55" s="6">
        <v>0.58003327616356359</v>
      </c>
      <c r="R55" s="6">
        <v>0.65640850821905172</v>
      </c>
    </row>
    <row r="56" spans="10:18">
      <c r="J56" s="1">
        <v>54</v>
      </c>
      <c r="K56" s="4">
        <v>108</v>
      </c>
      <c r="L56" s="4">
        <v>8</v>
      </c>
      <c r="M56" s="5">
        <v>12.458093759675656</v>
      </c>
      <c r="N56" s="5">
        <f t="shared" si="0"/>
        <v>12.467296157216609</v>
      </c>
      <c r="O56" s="6">
        <v>0.55024824743658363</v>
      </c>
      <c r="P56" s="6">
        <v>0.75150666801725119</v>
      </c>
      <c r="Q56" s="6">
        <v>0.61297130995238414</v>
      </c>
      <c r="R56" s="6">
        <v>0.70148913479160235</v>
      </c>
    </row>
    <row r="57" spans="10:18">
      <c r="J57" s="1">
        <v>55</v>
      </c>
      <c r="K57" s="4">
        <v>110</v>
      </c>
      <c r="L57" s="4">
        <v>10</v>
      </c>
      <c r="M57" s="5">
        <v>14.067398697316614</v>
      </c>
      <c r="N57" s="5">
        <f t="shared" si="0"/>
        <v>14.075380149176652</v>
      </c>
      <c r="O57" s="6">
        <v>0.58684873828893591</v>
      </c>
      <c r="P57" s="6">
        <v>0.78517713011183032</v>
      </c>
      <c r="Q57" s="6">
        <v>0.64439241737360575</v>
      </c>
      <c r="R57" s="6">
        <v>0.74250102400598983</v>
      </c>
    </row>
    <row r="58" spans="10:18">
      <c r="J58" s="1">
        <v>56</v>
      </c>
      <c r="K58" s="4">
        <v>112</v>
      </c>
      <c r="L58" s="4">
        <v>12</v>
      </c>
      <c r="M58" s="5">
        <v>15.743821655874514</v>
      </c>
      <c r="N58" s="5">
        <f t="shared" si="0"/>
        <v>15.750588470135213</v>
      </c>
      <c r="O58" s="6">
        <v>0.62158617892061474</v>
      </c>
      <c r="P58" s="6">
        <v>0.81530583411294988</v>
      </c>
      <c r="Q58" s="6">
        <v>0.67417050794410804</v>
      </c>
      <c r="R58" s="6">
        <v>0.77925699400451787</v>
      </c>
    </row>
    <row r="59" spans="10:18">
      <c r="J59" s="1">
        <v>57</v>
      </c>
      <c r="K59" s="4">
        <v>114</v>
      </c>
      <c r="L59" s="4">
        <v>14</v>
      </c>
      <c r="M59" s="5">
        <v>17.478357978069599</v>
      </c>
      <c r="N59" s="5">
        <f t="shared" si="0"/>
        <v>17.483969057349725</v>
      </c>
      <c r="O59" s="6">
        <v>0.65434691113661669</v>
      </c>
      <c r="P59" s="6">
        <v>0.84189335521493158</v>
      </c>
      <c r="Q59" s="6">
        <v>0.70221729695399615</v>
      </c>
      <c r="R59" s="6">
        <v>0.81173647045117925</v>
      </c>
    </row>
    <row r="60" spans="10:18">
      <c r="J60" s="1">
        <v>58</v>
      </c>
      <c r="K60" s="4">
        <v>116</v>
      </c>
      <c r="L60" s="4">
        <v>16</v>
      </c>
      <c r="M60" s="5">
        <v>19.262547813644169</v>
      </c>
      <c r="N60" s="5">
        <f t="shared" si="0"/>
        <v>19.267098798317889</v>
      </c>
      <c r="O60" s="6">
        <v>0.68505913709111188</v>
      </c>
      <c r="P60" s="6">
        <v>0.8650495021057536</v>
      </c>
      <c r="Q60" s="6">
        <v>0.72847939010710805</v>
      </c>
      <c r="R60" s="6">
        <v>0.84005649919718806</v>
      </c>
    </row>
    <row r="61" spans="10:18">
      <c r="J61" s="1">
        <v>59</v>
      </c>
      <c r="K61" s="4">
        <v>118</v>
      </c>
      <c r="L61" s="4">
        <v>18</v>
      </c>
      <c r="M61" s="5">
        <v>21.088635223765468</v>
      </c>
      <c r="N61" s="5">
        <f t="shared" si="0"/>
        <v>21.092244136402059</v>
      </c>
      <c r="O61" s="6">
        <v>0.71368885589575537</v>
      </c>
      <c r="P61" s="6">
        <v>0.88496774192008687</v>
      </c>
      <c r="Q61" s="6">
        <v>0.75293478799002789</v>
      </c>
      <c r="R61" s="6">
        <v>0.86444022333162129</v>
      </c>
    </row>
    <row r="62" spans="10:18">
      <c r="J62" s="1">
        <v>60</v>
      </c>
      <c r="K62" s="4">
        <v>120</v>
      </c>
      <c r="L62" s="4">
        <v>20</v>
      </c>
      <c r="M62" s="5">
        <v>22.949660748211301</v>
      </c>
      <c r="N62" s="5">
        <f t="shared" si="0"/>
        <v>22.952455889941064</v>
      </c>
      <c r="O62" s="6">
        <v>0.74023535688709818</v>
      </c>
      <c r="P62" s="6">
        <v>0.90190013818387538</v>
      </c>
      <c r="Q62" s="6">
        <v>0.77558904204410084</v>
      </c>
      <c r="R62" s="6">
        <v>0.88518579971034217</v>
      </c>
    </row>
    <row r="63" spans="10:18">
      <c r="J63" s="1">
        <v>61</v>
      </c>
      <c r="K63" s="4">
        <v>122</v>
      </c>
      <c r="L63" s="4">
        <v>22</v>
      </c>
      <c r="M63" s="5">
        <v>24.839497975829232</v>
      </c>
      <c r="N63" s="5">
        <f t="shared" si="0"/>
        <v>24.841608373259191</v>
      </c>
      <c r="O63" s="6">
        <v>0.76472650963311162</v>
      </c>
      <c r="P63" s="6">
        <v>0.91613449856580942</v>
      </c>
      <c r="Q63" s="6">
        <v>0.79647126201520735</v>
      </c>
      <c r="R63" s="6">
        <v>0.90263792821495514</v>
      </c>
    </row>
    <row r="64" spans="10:18">
      <c r="J64" s="1">
        <v>62</v>
      </c>
      <c r="K64" s="4">
        <v>124</v>
      </c>
      <c r="L64" s="4">
        <v>24</v>
      </c>
      <c r="M64" s="5">
        <v>26.752845947776809</v>
      </c>
      <c r="N64" s="5">
        <f t="shared" si="0"/>
        <v>26.754394347614507</v>
      </c>
      <c r="O64" s="6">
        <v>0.78721405116105536</v>
      </c>
      <c r="P64" s="6">
        <v>0.92797479664072879</v>
      </c>
      <c r="Q64" s="6">
        <v>0.8156301402372842</v>
      </c>
      <c r="R64" s="6">
        <v>0.91716336881723348</v>
      </c>
    </row>
    <row r="65" spans="10:18">
      <c r="J65" s="1">
        <v>63</v>
      </c>
      <c r="K65" s="4">
        <v>126</v>
      </c>
      <c r="L65" s="4">
        <v>26</v>
      </c>
      <c r="M65" s="5">
        <v>28.685189128418195</v>
      </c>
      <c r="N65" s="5">
        <f t="shared" si="0"/>
        <v>28.686287333137415</v>
      </c>
      <c r="O65" s="6">
        <v>0.80776903004950096</v>
      </c>
      <c r="P65" s="6">
        <v>0.93772537587361038</v>
      </c>
      <c r="Q65" s="6">
        <v>0.83313012325041835</v>
      </c>
      <c r="R65" s="6">
        <v>0.92913111647347579</v>
      </c>
    </row>
    <row r="66" spans="10:18">
      <c r="J66" s="1">
        <v>64</v>
      </c>
      <c r="K66" s="4">
        <v>128</v>
      </c>
      <c r="L66" s="4">
        <v>28</v>
      </c>
      <c r="M66" s="5">
        <v>30.632735636795058</v>
      </c>
      <c r="N66" s="5">
        <f t="shared" si="0"/>
        <v>30.633481847385454</v>
      </c>
      <c r="O66" s="6">
        <v>0.82647752761546722</v>
      </c>
      <c r="P66" s="6">
        <v>0.94567900087475043</v>
      </c>
      <c r="Q66" s="6">
        <v>0.84904782814675517</v>
      </c>
      <c r="R66" s="6">
        <v>0.93889734093035593</v>
      </c>
    </row>
    <row r="67" spans="10:18">
      <c r="J67" s="1">
        <v>65</v>
      </c>
      <c r="K67" s="4">
        <v>130</v>
      </c>
      <c r="L67" s="4">
        <v>30</v>
      </c>
      <c r="M67" s="5">
        <v>32.592342839061018</v>
      </c>
      <c r="N67" s="5">
        <f t="shared" si="0"/>
        <v>32.59282060803946</v>
      </c>
      <c r="O67" s="6">
        <v>0.84343674031186211</v>
      </c>
      <c r="P67" s="6">
        <v>0.95210850242393086</v>
      </c>
      <c r="Q67" s="6">
        <v>0.86346877102414166</v>
      </c>
      <c r="R67" s="6">
        <v>0.94679479338202444</v>
      </c>
    </row>
    <row r="68" spans="10:18">
      <c r="J68" s="1">
        <v>66</v>
      </c>
      <c r="K68" s="4">
        <v>132</v>
      </c>
      <c r="L68" s="4">
        <v>32</v>
      </c>
      <c r="M68" s="5">
        <v>34.561437582074426</v>
      </c>
      <c r="N68" s="5">
        <f t="shared" ref="N68:N102" si="1">CallOption(K68,$B$2,0,$B$1,$B$9,$C$9)</f>
        <v>34.561715969495623</v>
      </c>
      <c r="O68" s="6">
        <v>0.85875147578470512</v>
      </c>
      <c r="P68" s="6">
        <v>0.95726156248515182</v>
      </c>
      <c r="Q68" s="6">
        <v>0.87648444880875931</v>
      </c>
      <c r="R68" s="6">
        <v>0.95312612645721095</v>
      </c>
    </row>
    <row r="69" spans="10:18">
      <c r="J69" s="1">
        <v>67</v>
      </c>
      <c r="K69" s="4">
        <v>134</v>
      </c>
      <c r="L69" s="4">
        <v>34</v>
      </c>
      <c r="M69" s="5">
        <v>36.537936537596181</v>
      </c>
      <c r="N69" s="5">
        <f t="shared" si="1"/>
        <v>36.538071091149845</v>
      </c>
      <c r="O69" s="6">
        <v>0.87253108838591631</v>
      </c>
      <c r="P69" s="6">
        <v>0.96135808582209947</v>
      </c>
      <c r="Q69" s="6">
        <v>0.88818979384183272</v>
      </c>
      <c r="R69" s="6">
        <v>0.95816044570960557</v>
      </c>
    </row>
    <row r="70" spans="10:18">
      <c r="J70" s="1">
        <v>68</v>
      </c>
      <c r="K70" s="4">
        <v>136</v>
      </c>
      <c r="L70" s="4">
        <v>36</v>
      </c>
      <c r="M70" s="5">
        <v>38.520170480070419</v>
      </c>
      <c r="N70" s="5">
        <f t="shared" si="1"/>
        <v>38.520204713418394</v>
      </c>
      <c r="O70" s="6">
        <v>0.8848868584000843</v>
      </c>
      <c r="P70" s="6">
        <v>0.96458958302547593</v>
      </c>
      <c r="Q70" s="6">
        <v>0.89868100303110809</v>
      </c>
      <c r="R70" s="6">
        <v>0.962132380635358</v>
      </c>
    </row>
    <row r="71" spans="10:18">
      <c r="J71" s="1">
        <v>69</v>
      </c>
      <c r="K71" s="4">
        <v>138</v>
      </c>
      <c r="L71" s="4">
        <v>38</v>
      </c>
      <c r="M71" s="5">
        <v>40.506814923799844</v>
      </c>
      <c r="N71" s="5">
        <f t="shared" si="1"/>
        <v>40.506782032316707</v>
      </c>
      <c r="O71" s="6">
        <v>0.89592980259786148</v>
      </c>
      <c r="P71" s="6">
        <v>0.96712002229387461</v>
      </c>
      <c r="Q71" s="6">
        <v>0.90805372982197941</v>
      </c>
      <c r="R71" s="6">
        <v>0.96524300162118915</v>
      </c>
    </row>
    <row r="72" spans="10:18">
      <c r="J72" s="1">
        <v>70</v>
      </c>
      <c r="K72" s="4">
        <v>140</v>
      </c>
      <c r="L72" s="4">
        <v>40</v>
      </c>
      <c r="M72" s="5">
        <v>42.49682842891189</v>
      </c>
      <c r="N72" s="5">
        <f t="shared" si="1"/>
        <v>42.496753048744964</v>
      </c>
      <c r="O72" s="6">
        <v>0.90576889153379092</v>
      </c>
      <c r="P72" s="6">
        <v>0.96908767306858312</v>
      </c>
      <c r="Q72" s="6">
        <v>0.91640161736364001</v>
      </c>
      <c r="R72" s="6">
        <v>0.96766198961156136</v>
      </c>
    </row>
    <row r="73" spans="10:18">
      <c r="J73" s="1">
        <v>71</v>
      </c>
      <c r="K73" s="4">
        <v>142</v>
      </c>
      <c r="L73" s="4">
        <v>42</v>
      </c>
      <c r="M73" s="5">
        <v>44.489399044106122</v>
      </c>
      <c r="N73" s="5">
        <f t="shared" si="1"/>
        <v>44.489298921859856</v>
      </c>
      <c r="O73" s="6">
        <v>0.9145096406984452</v>
      </c>
      <c r="P73" s="6">
        <v>0.97060754647060576</v>
      </c>
      <c r="Q73" s="6">
        <v>0.92381514455974445</v>
      </c>
      <c r="R73" s="6">
        <v>0.96953056617283795</v>
      </c>
    </row>
    <row r="74" spans="10:18">
      <c r="J74" s="1">
        <v>72</v>
      </c>
      <c r="K74" s="4">
        <v>144</v>
      </c>
      <c r="L74" s="4">
        <v>44</v>
      </c>
      <c r="M74" s="5">
        <v>46.483898759219876</v>
      </c>
      <c r="N74" s="5">
        <f t="shared" si="1"/>
        <v>46.483786251463471</v>
      </c>
      <c r="O74" s="6">
        <v>0.92225303759807942</v>
      </c>
      <c r="P74" s="6">
        <v>0.97177412273191832</v>
      </c>
      <c r="Q74" s="6">
        <v>0.93038075269125875</v>
      </c>
      <c r="R74" s="6">
        <v>0.97096479711012207</v>
      </c>
    </row>
    <row r="75" spans="10:18">
      <c r="J75" s="1">
        <v>73</v>
      </c>
      <c r="K75" s="4">
        <v>146</v>
      </c>
      <c r="L75" s="4">
        <v>46</v>
      </c>
      <c r="M75" s="5">
        <v>48.479845452155722</v>
      </c>
      <c r="N75" s="5">
        <f t="shared" si="1"/>
        <v>48.479728814687334</v>
      </c>
      <c r="O75" s="6">
        <v>0.929094764454379</v>
      </c>
      <c r="P75" s="6">
        <v>0.97266413595663981</v>
      </c>
      <c r="Q75" s="6">
        <v>0.93618021847473154</v>
      </c>
      <c r="R75" s="6">
        <v>0.97205898219468623</v>
      </c>
    </row>
    <row r="76" spans="10:18">
      <c r="J76" s="1">
        <v>74</v>
      </c>
      <c r="K76" s="4">
        <v>148</v>
      </c>
      <c r="L76" s="4">
        <v>48</v>
      </c>
      <c r="M76" s="5">
        <v>50.476871589454099</v>
      </c>
      <c r="N76" s="5">
        <f t="shared" si="1"/>
        <v>50.47675604594555</v>
      </c>
      <c r="O76" s="6">
        <v>0.93512467591302639</v>
      </c>
      <c r="P76" s="6">
        <v>0.97333925663866683</v>
      </c>
      <c r="Q76" s="6">
        <v>0.94129023929565336</v>
      </c>
      <c r="R76" s="6">
        <v>0.9728889306497196</v>
      </c>
    </row>
    <row r="77" spans="10:18">
      <c r="J77" s="1">
        <v>75</v>
      </c>
      <c r="K77" s="4">
        <v>150</v>
      </c>
      <c r="L77" s="4">
        <v>50</v>
      </c>
      <c r="M77" s="5">
        <v>52.474698836647363</v>
      </c>
      <c r="N77" s="5">
        <f t="shared" si="1"/>
        <v>52.474587436175227</v>
      </c>
      <c r="O77" s="6">
        <v>0.94042649240117082</v>
      </c>
      <c r="P77" s="6">
        <v>0.97384857017798399</v>
      </c>
      <c r="Q77" s="6">
        <v>0.94578219750482473</v>
      </c>
      <c r="R77" s="6">
        <v>0.97351499399391939</v>
      </c>
    </row>
    <row r="78" spans="10:18">
      <c r="J78" s="1">
        <v>76</v>
      </c>
      <c r="K78" s="4">
        <v>152</v>
      </c>
      <c r="L78" s="4">
        <v>52</v>
      </c>
      <c r="M78" s="5">
        <v>54.473117717500713</v>
      </c>
      <c r="N78" s="5">
        <f t="shared" si="1"/>
        <v>54.473012002326854</v>
      </c>
      <c r="O78" s="6">
        <v>0.94507767212809701</v>
      </c>
      <c r="P78" s="6">
        <v>0.97423079488124431</v>
      </c>
      <c r="Q78" s="6">
        <v>0.94972207271330467</v>
      </c>
      <c r="R78" s="6">
        <v>0.97398478423851376</v>
      </c>
    </row>
    <row r="79" spans="10:18">
      <c r="J79" s="1">
        <v>77</v>
      </c>
      <c r="K79" s="4">
        <v>154</v>
      </c>
      <c r="L79" s="4">
        <v>54</v>
      </c>
      <c r="M79" s="5">
        <v>56.471971500766628</v>
      </c>
      <c r="N79" s="5">
        <f t="shared" si="1"/>
        <v>56.471872011486965</v>
      </c>
      <c r="O79" s="6">
        <v>0.94914942780087608</v>
      </c>
      <c r="P79" s="6">
        <v>0.97451621652969889</v>
      </c>
      <c r="Q79" s="6">
        <v>0.95317047365585461</v>
      </c>
      <c r="R79" s="6">
        <v>0.97433554738940809</v>
      </c>
    </row>
    <row r="80" spans="10:18">
      <c r="J80" s="1">
        <v>78</v>
      </c>
      <c r="K80" s="4">
        <v>156</v>
      </c>
      <c r="L80" s="4">
        <v>56</v>
      </c>
      <c r="M80" s="5">
        <v>58.471143566163377</v>
      </c>
      <c r="N80" s="5">
        <f t="shared" si="1"/>
        <v>58.47105021279279</v>
      </c>
      <c r="O80" s="6">
        <v>0.95270685761914087</v>
      </c>
      <c r="P80" s="6">
        <v>0.97472834014183207</v>
      </c>
      <c r="Q80" s="6">
        <v>0.95618276415958947</v>
      </c>
      <c r="R80" s="6">
        <v>0.9745961916770739</v>
      </c>
    </row>
    <row r="81" spans="10:18">
      <c r="J81" s="1">
        <v>79</v>
      </c>
      <c r="K81" s="4">
        <v>158</v>
      </c>
      <c r="L81" s="4">
        <v>58</v>
      </c>
      <c r="M81" s="5">
        <v>60.470547590978313</v>
      </c>
      <c r="N81" s="5">
        <f t="shared" si="1"/>
        <v>60.470459917199321</v>
      </c>
      <c r="O81" s="6">
        <v>0.95580916377788749</v>
      </c>
      <c r="P81" s="6">
        <v>0.97488527490146204</v>
      </c>
      <c r="Q81" s="6">
        <v>0.95880926085394125</v>
      </c>
      <c r="R81" s="6">
        <v>0.97478898920869983</v>
      </c>
    </row>
    <row r="82" spans="10:18">
      <c r="J82" s="1">
        <v>80</v>
      </c>
      <c r="K82" s="4">
        <v>160</v>
      </c>
      <c r="L82" s="4">
        <v>60</v>
      </c>
      <c r="M82" s="5">
        <v>62.470119993159727</v>
      </c>
      <c r="N82" s="5">
        <f t="shared" si="1"/>
        <v>62.470037358028833</v>
      </c>
      <c r="O82" s="6">
        <v>0.95850993536064277</v>
      </c>
      <c r="P82" s="6">
        <v>0.97500087720468664</v>
      </c>
      <c r="Q82" s="6">
        <v>0.96109548333865735</v>
      </c>
      <c r="R82" s="6">
        <v>0.97493098108756615</v>
      </c>
    </row>
    <row r="83" spans="10:18">
      <c r="J83" s="1">
        <v>81</v>
      </c>
      <c r="K83" s="4">
        <v>162</v>
      </c>
      <c r="L83" s="4">
        <v>62</v>
      </c>
      <c r="M83" s="5">
        <v>64.469814158279348</v>
      </c>
      <c r="N83" s="5">
        <f t="shared" si="1"/>
        <v>64.469735856025423</v>
      </c>
      <c r="O83" s="6">
        <v>0.9608574760143237</v>
      </c>
      <c r="P83" s="6">
        <v>0.97508568106656512</v>
      </c>
      <c r="Q83" s="6">
        <v>0.96308244047890024</v>
      </c>
      <c r="R83" s="6">
        <v>0.97503512153912097</v>
      </c>
    </row>
    <row r="84" spans="10:18">
      <c r="J84" s="1">
        <v>82</v>
      </c>
      <c r="K84" s="4">
        <v>164</v>
      </c>
      <c r="L84" s="4">
        <v>64</v>
      </c>
      <c r="M84" s="5">
        <v>66.469596061731124</v>
      </c>
      <c r="N84" s="5">
        <f t="shared" si="1"/>
        <v>66.469521396489284</v>
      </c>
      <c r="O84" s="6">
        <v>0.96289516007075915</v>
      </c>
      <c r="P84" s="6">
        <v>0.97514764613189819</v>
      </c>
      <c r="Q84" s="6">
        <v>0.96480693924606931</v>
      </c>
      <c r="R84" s="6">
        <v>0.97511119797412971</v>
      </c>
    </row>
    <row r="85" spans="10:18">
      <c r="J85" s="1">
        <v>83</v>
      </c>
      <c r="K85" s="4">
        <v>166</v>
      </c>
      <c r="L85" s="4">
        <v>66</v>
      </c>
      <c r="M85" s="5">
        <v>68.469440971662621</v>
      </c>
      <c r="N85" s="5">
        <f t="shared" si="1"/>
        <v>68.469369300429165</v>
      </c>
      <c r="O85" s="6">
        <v>0.96466180376156896</v>
      </c>
      <c r="P85" s="6">
        <v>0.97519275238690528</v>
      </c>
      <c r="Q85" s="6">
        <v>0.96630190502364199</v>
      </c>
      <c r="R85" s="6">
        <v>0.97516656261524703</v>
      </c>
    </row>
    <row r="86" spans="10:18">
      <c r="J86" s="1">
        <v>84</v>
      </c>
      <c r="K86" s="4">
        <v>168</v>
      </c>
      <c r="L86" s="4">
        <v>68</v>
      </c>
      <c r="M86" s="5">
        <v>70.469330981649861</v>
      </c>
      <c r="N86" s="5">
        <f t="shared" si="1"/>
        <v>70.46926173561684</v>
      </c>
      <c r="O86" s="6">
        <v>0.96619204083332966</v>
      </c>
      <c r="P86" s="6">
        <v>0.97522546823708678</v>
      </c>
      <c r="Q86" s="6">
        <v>0.96759670452541435</v>
      </c>
      <c r="R86" s="6">
        <v>0.97520670839378476</v>
      </c>
    </row>
    <row r="87" spans="10:18">
      <c r="J87" s="1">
        <v>85</v>
      </c>
      <c r="K87" s="4">
        <v>170</v>
      </c>
      <c r="L87" s="4">
        <v>70</v>
      </c>
      <c r="M87" s="5">
        <v>72.469253175266417</v>
      </c>
      <c r="N87" s="5">
        <f t="shared" si="1"/>
        <v>72.469185867075353</v>
      </c>
      <c r="O87" s="6">
        <v>0.96751669419971142</v>
      </c>
      <c r="P87" s="6">
        <v>0.9752491155341767</v>
      </c>
      <c r="Q87" s="6">
        <v>0.9687174644223574</v>
      </c>
      <c r="R87" s="6">
        <v>0.9752357180773531</v>
      </c>
    </row>
    <row r="88" spans="10:18">
      <c r="J88" s="1">
        <v>86</v>
      </c>
      <c r="K88" s="4">
        <v>172</v>
      </c>
      <c r="L88" s="4">
        <v>72</v>
      </c>
      <c r="M88" s="5">
        <v>74.469198268289688</v>
      </c>
      <c r="N88" s="5">
        <f t="shared" si="1"/>
        <v>74.469132490638046</v>
      </c>
      <c r="O88" s="6">
        <v>0.9686631372727047</v>
      </c>
      <c r="P88" s="6">
        <v>0.97526615184101006</v>
      </c>
      <c r="Q88" s="6">
        <v>0.96968738044973268</v>
      </c>
      <c r="R88" s="6">
        <v>0.97525661156465282</v>
      </c>
    </row>
    <row r="89" spans="10:18">
      <c r="J89" s="1">
        <v>87</v>
      </c>
      <c r="K89" s="4">
        <v>174</v>
      </c>
      <c r="L89" s="4">
        <v>74</v>
      </c>
      <c r="M89" s="5">
        <v>76.469159609458984</v>
      </c>
      <c r="N89" s="5">
        <f t="shared" si="1"/>
        <v>76.469095028854667</v>
      </c>
      <c r="O89" s="6">
        <v>0.9696556403128388</v>
      </c>
      <c r="P89" s="6">
        <v>0.9752783870037931</v>
      </c>
      <c r="Q89" s="6">
        <v>0.97052701318267587</v>
      </c>
      <c r="R89" s="6">
        <v>0.97527161233930559</v>
      </c>
    </row>
    <row r="90" spans="10:18">
      <c r="J90" s="1">
        <v>88</v>
      </c>
      <c r="K90" s="4">
        <v>176</v>
      </c>
      <c r="L90" s="4">
        <v>76</v>
      </c>
      <c r="M90" s="5">
        <v>78.469132448669782</v>
      </c>
      <c r="N90" s="5">
        <f t="shared" si="1"/>
        <v>78.469068796896181</v>
      </c>
      <c r="O90" s="6">
        <v>0.97051569855200592</v>
      </c>
      <c r="P90" s="6">
        <v>0.97528714812810535</v>
      </c>
      <c r="Q90" s="6">
        <v>0.97125456784633379</v>
      </c>
      <c r="R90" s="6">
        <v>0.97528235042538669</v>
      </c>
    </row>
    <row r="91" spans="10:18">
      <c r="J91" s="1">
        <v>89</v>
      </c>
      <c r="K91" s="4">
        <v>178</v>
      </c>
      <c r="L91" s="4">
        <v>78</v>
      </c>
      <c r="M91" s="5">
        <v>80.469113403455836</v>
      </c>
      <c r="N91" s="5">
        <f t="shared" si="1"/>
        <v>80.469050468410956</v>
      </c>
      <c r="O91" s="6">
        <v>0.97126233999966838</v>
      </c>
      <c r="P91" s="6">
        <v>0.97529340441664425</v>
      </c>
      <c r="Q91" s="6">
        <v>0.97188615648925047</v>
      </c>
      <c r="R91" s="6">
        <v>0.97529001594532871</v>
      </c>
    </row>
    <row r="92" spans="10:18">
      <c r="J92" s="1">
        <v>90</v>
      </c>
      <c r="K92" s="4">
        <v>180</v>
      </c>
      <c r="L92" s="4">
        <v>80</v>
      </c>
      <c r="M92" s="5">
        <v>82.469100071669857</v>
      </c>
      <c r="N92" s="5">
        <f t="shared" si="1"/>
        <v>82.469037688609603</v>
      </c>
      <c r="O92" s="6">
        <v>0.97191241177311205</v>
      </c>
      <c r="P92" s="6">
        <v>0.97529786105519078</v>
      </c>
      <c r="Q92" s="6">
        <v>0.97243604162081776</v>
      </c>
      <c r="R92" s="6">
        <v>0.97529547458740795</v>
      </c>
    </row>
    <row r="93" spans="10:18">
      <c r="J93" s="1">
        <v>91</v>
      </c>
      <c r="K93" s="4">
        <v>182</v>
      </c>
      <c r="L93" s="4">
        <v>82</v>
      </c>
      <c r="M93" s="5">
        <v>84.469090751390709</v>
      </c>
      <c r="N93" s="5">
        <f t="shared" si="1"/>
        <v>84.469028795177735</v>
      </c>
      <c r="O93" s="6">
        <v>0.97248084452442041</v>
      </c>
      <c r="P93" s="6">
        <v>0.9753010294238954</v>
      </c>
      <c r="Q93" s="6">
        <v>0.97291686102006059</v>
      </c>
      <c r="R93" s="6">
        <v>0.97529935394066525</v>
      </c>
    </row>
    <row r="94" spans="10:18">
      <c r="J94" s="1">
        <v>92</v>
      </c>
      <c r="K94" s="4">
        <v>184</v>
      </c>
      <c r="L94" s="4">
        <v>84</v>
      </c>
      <c r="M94" s="5">
        <v>86.469084239079962</v>
      </c>
      <c r="N94" s="5">
        <f t="shared" si="1"/>
        <v>86.469022617765759</v>
      </c>
      <c r="O94" s="6">
        <v>0.97298089509929331</v>
      </c>
      <c r="P94" s="6">
        <v>0.97530327933736904</v>
      </c>
      <c r="Q94" s="6">
        <v>0.97333983388769008</v>
      </c>
      <c r="R94" s="6">
        <v>0.97530210771822046</v>
      </c>
    </row>
    <row r="95" spans="10:18">
      <c r="J95" s="1">
        <v>93</v>
      </c>
      <c r="K95" s="4">
        <v>186</v>
      </c>
      <c r="L95" s="4">
        <v>86</v>
      </c>
      <c r="M95" s="5">
        <v>88.469079684563596</v>
      </c>
      <c r="N95" s="5">
        <f t="shared" si="1"/>
        <v>88.469018334470903</v>
      </c>
      <c r="O95" s="6">
        <v>0.97342436798225529</v>
      </c>
      <c r="P95" s="6">
        <v>0.97530487774163355</v>
      </c>
      <c r="Q95" s="6">
        <v>0.97371494885853638</v>
      </c>
      <c r="R95" s="6">
        <v>0.97530406331970532</v>
      </c>
    </row>
    <row r="96" spans="10:18">
      <c r="J96" s="1">
        <v>94</v>
      </c>
      <c r="K96" s="4">
        <v>188</v>
      </c>
      <c r="L96" s="4">
        <v>88</v>
      </c>
      <c r="M96" s="5">
        <v>90.469076487080002</v>
      </c>
      <c r="N96" s="5">
        <f t="shared" si="1"/>
        <v>90.469015369474533</v>
      </c>
      <c r="O96" s="6">
        <v>0.9738218163833795</v>
      </c>
      <c r="P96" s="6">
        <v>0.97530601727703858</v>
      </c>
      <c r="Q96" s="6">
        <v>0.97405113463751025</v>
      </c>
      <c r="R96" s="6">
        <v>0.97530545692892701</v>
      </c>
    </row>
    <row r="97" spans="10:18">
      <c r="J97" s="1">
        <v>95</v>
      </c>
      <c r="K97" s="4">
        <v>190</v>
      </c>
      <c r="L97" s="4">
        <v>90</v>
      </c>
      <c r="M97" s="5">
        <v>92.469074220853841</v>
      </c>
      <c r="N97" s="5">
        <f t="shared" si="1"/>
        <v>92.469013320276034</v>
      </c>
      <c r="O97" s="6">
        <v>0.97418272402508543</v>
      </c>
      <c r="P97" s="6">
        <v>0.97530683731249046</v>
      </c>
      <c r="Q97" s="6">
        <v>0.97435641418732211</v>
      </c>
      <c r="R97" s="6">
        <v>0.97530645935317217</v>
      </c>
    </row>
    <row r="98" spans="10:18">
      <c r="J98" s="1">
        <v>96</v>
      </c>
      <c r="K98" s="4">
        <v>192</v>
      </c>
      <c r="L98" s="4">
        <v>92</v>
      </c>
      <c r="M98" s="5">
        <v>94.469072581776089</v>
      </c>
      <c r="N98" s="5">
        <f t="shared" si="1"/>
        <v>94.469011906128031</v>
      </c>
      <c r="O98" s="6">
        <v>0.97451566881289886</v>
      </c>
      <c r="P98" s="6">
        <v>0.97530743942949438</v>
      </c>
      <c r="Q98" s="6">
        <v>0.97463804349630645</v>
      </c>
      <c r="R98" s="6">
        <v>0.97530719503871965</v>
      </c>
    </row>
    <row r="99" spans="10:18">
      <c r="J99" s="1">
        <v>97</v>
      </c>
      <c r="K99" s="4">
        <v>194</v>
      </c>
      <c r="L99" s="4">
        <v>94</v>
      </c>
      <c r="M99" s="5">
        <v>96.46907134906472</v>
      </c>
      <c r="N99" s="5">
        <f t="shared" si="1"/>
        <v>96.46901093160433</v>
      </c>
      <c r="O99" s="6">
        <v>0.974828469637808</v>
      </c>
      <c r="P99" s="6">
        <v>0.97530789885068137</v>
      </c>
      <c r="Q99" s="6">
        <v>0.97490263600366334</v>
      </c>
      <c r="R99" s="6">
        <v>0.97530775610143772</v>
      </c>
    </row>
    <row r="100" spans="10:18">
      <c r="J100" s="1">
        <v>98</v>
      </c>
      <c r="K100" s="4">
        <v>196</v>
      </c>
      <c r="L100" s="4">
        <v>96</v>
      </c>
      <c r="M100" s="5">
        <v>98.469070357455038</v>
      </c>
      <c r="N100" s="5">
        <f t="shared" si="1"/>
        <v>98.469010260931171</v>
      </c>
      <c r="O100" s="6">
        <v>0.9751283175740918</v>
      </c>
      <c r="P100" s="6">
        <v>0.97530827293761124</v>
      </c>
      <c r="Q100" s="6">
        <v>0.97515627376903635</v>
      </c>
      <c r="R100" s="6">
        <v>0.97530821275599466</v>
      </c>
    </row>
    <row r="101" spans="10:18">
      <c r="J101" s="1">
        <v>99</v>
      </c>
      <c r="K101" s="4">
        <v>198</v>
      </c>
      <c r="L101" s="4">
        <v>98</v>
      </c>
      <c r="M101" s="5">
        <v>100.46906947668487</v>
      </c>
      <c r="N101" s="5">
        <f t="shared" si="1"/>
        <v>100.46900979994984</v>
      </c>
      <c r="O101" s="6">
        <v>0.97542189271707802</v>
      </c>
      <c r="P101" s="6">
        <v>0.97530860760239846</v>
      </c>
      <c r="Q101" s="6">
        <v>0.97540460645350413</v>
      </c>
      <c r="R101" s="6">
        <v>0.97530862118227968</v>
      </c>
    </row>
    <row r="102" spans="10:18">
      <c r="J102" s="1">
        <v>100</v>
      </c>
      <c r="K102" s="1">
        <v>200</v>
      </c>
      <c r="L102" s="1">
        <v>100</v>
      </c>
      <c r="M102" s="1">
        <v>102.46906859591469</v>
      </c>
      <c r="N102" s="5">
        <f t="shared" si="1"/>
        <v>102.46900948347353</v>
      </c>
      <c r="O102" s="1">
        <v>0.97530894226718567</v>
      </c>
      <c r="P102" s="1">
        <v>0.97571546786006425</v>
      </c>
    </row>
    <row r="103" spans="10:18">
      <c r="N103" s="5"/>
    </row>
  </sheetData>
  <mergeCells count="1">
    <mergeCell ref="S1:U5"/>
  </mergeCells>
  <phoneticPr fontId="2" type="noConversion"/>
  <dataValidations xWindow="198" yWindow="280" count="1">
    <dataValidation type="list" allowBlank="1" showInputMessage="1" showErrorMessage="1" sqref="A9" xr:uid="{00000000-0002-0000-0300-000000000000}">
      <formula1>"Digital Call,Digital Put,Call,Put"</formula1>
    </dataValidation>
  </dataValidations>
  <pageMargins left="0.75" right="0.75" top="1" bottom="1" header="0.5" footer="0.5"/>
  <pageSetup paperSize="9" orientation="portrait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Greeks</vt:lpstr>
      <vt:lpstr>Delta Hedge</vt:lpstr>
      <vt:lpstr>P&amp;L Study</vt:lpstr>
      <vt:lpstr>Uncertain Vol.</vt:lpstr>
      <vt:lpstr>UVM Binary</vt:lpstr>
      <vt:lpstr>BS_IVHigh</vt:lpstr>
      <vt:lpstr>BS_IVLow</vt:lpstr>
      <vt:lpstr>BS_K</vt:lpstr>
      <vt:lpstr>BS_r</vt:lpstr>
      <vt:lpstr>BS_T</vt:lpstr>
      <vt:lpstr>Delta_0</vt:lpstr>
      <vt:lpstr>DH_dt</vt:lpstr>
      <vt:lpstr>DH_PriceT</vt:lpstr>
      <vt:lpstr>DH_Rate</vt:lpstr>
      <vt:lpstr>DH_Strike</vt:lpstr>
      <vt:lpstr>DH_Term</vt:lpstr>
      <vt:lpstr>dt</vt:lpstr>
      <vt:lpstr>PL_K</vt:lpstr>
      <vt:lpstr>PL_r</vt:lpstr>
      <vt:lpstr>PL_T</vt:lpstr>
      <vt:lpstr>PL_Vol_a</vt:lpstr>
      <vt:lpstr>PL_Vol_i</vt:lpstr>
      <vt:lpstr>PL_Vol_sim</vt:lpstr>
      <vt:lpstr>S_0</vt:lpstr>
      <vt:lpstr>V_0</vt:lpstr>
      <vt:lpstr>Vol_a</vt:lpstr>
      <vt:lpstr>Vol_i</vt:lpstr>
      <vt:lpstr>Vol_sim</vt:lpstr>
    </vt:vector>
  </TitlesOfParts>
  <Company>7city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Richard Diamond</cp:lastModifiedBy>
  <cp:lastPrinted>2009-11-06T16:10:01Z</cp:lastPrinted>
  <dcterms:created xsi:type="dcterms:W3CDTF">2007-05-28T17:38:06Z</dcterms:created>
  <dcterms:modified xsi:type="dcterms:W3CDTF">2022-04-14T08:39:56Z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-895191373</vt:i4>
  </property>
  <property fmtid="{D5CDD505-2E9C-101B-9397-08002B2CF9AE}" pid="3" name="_NewReviewCycle">
    <vt:lpwstr/>
  </property>
  <property fmtid="{D5CDD505-2E9C-101B-9397-08002B2CF9AE}" pid="4" name="_EmailSubject">
    <vt:lpwstr>LECTURE NOTES CQF Lecture Thursday 1st September - Understanding Volatility 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563546608</vt:i4>
  </property>
</Properties>
</file>