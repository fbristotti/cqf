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bris\src\cqf\final\papers\"/>
    </mc:Choice>
  </mc:AlternateContent>
  <xr:revisionPtr revIDLastSave="0" documentId="13_ncr:1_{65291E1D-9CDE-4DBB-9CC0-B17E2CD061C4}" xr6:coauthVersionLast="47" xr6:coauthVersionMax="47" xr10:uidLastSave="{00000000-0000-0000-0000-000000000000}"/>
  <bookViews>
    <workbookView xWindow="1695" yWindow="1035" windowWidth="26985" windowHeight="12240" activeTab="2" xr2:uid="{00000000-000D-0000-FFFF-FFFF00000000}"/>
  </bookViews>
  <sheets>
    <sheet name="Greeks" sheetId="10" r:id="rId1"/>
    <sheet name="Delta Hedge" sheetId="7" r:id="rId2"/>
    <sheet name="P&amp;L Study" sheetId="9" r:id="rId3"/>
    <sheet name="bs" sheetId="12" r:id="rId4"/>
    <sheet name="Uncertain Vol." sheetId="1" state="hidden" r:id="rId5"/>
    <sheet name="UVM Binary" sheetId="6" state="hidden" r:id="rId6"/>
  </sheets>
  <functionGroups builtInGroupCount="19"/>
  <definedNames>
    <definedName name="BS_IVHigh">Greeks!$D$12</definedName>
    <definedName name="BS_IVLow">Greeks!$C$12</definedName>
    <definedName name="BS_K">Greeks!$C$2</definedName>
    <definedName name="BS_r">Greeks!$C$3</definedName>
    <definedName name="BS_T">Greeks!$C$4</definedName>
    <definedName name="Delta_0">'P&amp;L Study'!$D$11</definedName>
    <definedName name="DH_dt">'Delta Hedge'!$D$5</definedName>
    <definedName name="DH_PriceT">'Delta Hedge'!$B$112</definedName>
    <definedName name="DH_Rate">'Delta Hedge'!$B$3</definedName>
    <definedName name="DH_Strike">'Delta Hedge'!$B$2</definedName>
    <definedName name="DH_Term">'Delta Hedge'!$B$5</definedName>
    <definedName name="dt">'P&amp;L Study'!$B$6</definedName>
    <definedName name="ExternalData_1" localSheetId="3" hidden="1">bs!$A$1:$A$201</definedName>
    <definedName name="PL_K">'P&amp;L Study'!$B$3</definedName>
    <definedName name="PL_r">'P&amp;L Study'!$B$2</definedName>
    <definedName name="PL_T">'P&amp;L Study'!$B$4</definedName>
    <definedName name="PL_Vol_a">'P&amp;L Study'!$E$1</definedName>
    <definedName name="PL_Vol_i">'P&amp;L Study'!$E$2</definedName>
    <definedName name="PL_Vol_sim">'P&amp;L Study'!$E$6</definedName>
    <definedName name="S_0">'P&amp;L Study'!$B$11</definedName>
    <definedName name="V_0">'P&amp;L Study'!$C$11</definedName>
    <definedName name="Vol_a">'P&amp;L Study'!$E$1</definedName>
    <definedName name="Vol_i">'P&amp;L Study'!$E$2</definedName>
    <definedName name="Vol_sim">'P&amp;L Study'!$E$6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9" l="1"/>
  <c r="B14" i="9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B12" i="9"/>
  <c r="A12" i="9"/>
  <c r="B13" i="7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I112" i="7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1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" i="9"/>
  <c r="F12" i="10"/>
  <c r="E12" i="10"/>
  <c r="D15" i="10"/>
  <c r="F28" i="10"/>
  <c r="F60" i="10"/>
  <c r="F92" i="10"/>
  <c r="E28" i="10"/>
  <c r="E60" i="10"/>
  <c r="C23" i="10"/>
  <c r="F41" i="10"/>
  <c r="F73" i="10"/>
  <c r="F105" i="10"/>
  <c r="E41" i="10"/>
  <c r="E73" i="10"/>
  <c r="E14" i="10"/>
  <c r="F26" i="10"/>
  <c r="F58" i="10"/>
  <c r="F90" i="10"/>
  <c r="E26" i="10"/>
  <c r="C12" i="7"/>
  <c r="E39" i="10"/>
  <c r="E95" i="10"/>
  <c r="D33" i="10"/>
  <c r="D65" i="10"/>
  <c r="D97" i="10"/>
  <c r="C39" i="10"/>
  <c r="C71" i="10"/>
  <c r="C103" i="10"/>
  <c r="F47" i="10"/>
  <c r="E66" i="10"/>
  <c r="F83" i="10"/>
  <c r="E78" i="10"/>
  <c r="E109" i="10"/>
  <c r="D56" i="10"/>
  <c r="D99" i="10"/>
  <c r="C52" i="10"/>
  <c r="C94" i="10"/>
  <c r="C101" i="10"/>
  <c r="E99" i="10"/>
  <c r="D47" i="10"/>
  <c r="D90" i="10"/>
  <c r="C42" i="10"/>
  <c r="F4" i="7"/>
  <c r="E106" i="10"/>
  <c r="D54" i="10"/>
  <c r="D96" i="10"/>
  <c r="C49" i="10"/>
  <c r="C92" i="10"/>
  <c r="E63" i="10"/>
  <c r="D28" i="10"/>
  <c r="D71" i="10"/>
  <c r="C24" i="10"/>
  <c r="C66" i="10"/>
  <c r="C109" i="10"/>
  <c r="C14" i="10"/>
  <c r="F32" i="10"/>
  <c r="F64" i="10"/>
  <c r="F96" i="10"/>
  <c r="E32" i="10"/>
  <c r="E64" i="10"/>
  <c r="R11" i="9"/>
  <c r="E30" i="10"/>
  <c r="F23" i="10"/>
  <c r="E54" i="10"/>
  <c r="E100" i="10"/>
  <c r="D37" i="10"/>
  <c r="D69" i="10"/>
  <c r="D101" i="10"/>
  <c r="C43" i="10"/>
  <c r="C75" i="10"/>
  <c r="C107" i="10"/>
  <c r="F63" i="10"/>
  <c r="E71" i="10"/>
  <c r="F99" i="10"/>
  <c r="F59" i="10"/>
  <c r="D19" i="10"/>
  <c r="D62" i="10"/>
  <c r="D104" i="10"/>
  <c r="C57" i="10"/>
  <c r="C100" i="10"/>
  <c r="C112" i="10"/>
  <c r="E105" i="10"/>
  <c r="D52" i="10"/>
  <c r="D95" i="10"/>
  <c r="C53" i="10"/>
  <c r="F27" i="10"/>
  <c r="E111" i="10"/>
  <c r="D59" i="10"/>
  <c r="C54" i="10"/>
  <c r="C97" i="10"/>
  <c r="E82" i="10"/>
  <c r="D34" i="10"/>
  <c r="C29" i="10"/>
  <c r="C72" i="10"/>
  <c r="F52" i="10"/>
  <c r="F65" i="10"/>
  <c r="E33" i="10"/>
  <c r="F18" i="10"/>
  <c r="E50" i="10"/>
  <c r="D57" i="10"/>
  <c r="C63" i="10"/>
  <c r="E98" i="10"/>
  <c r="C41" i="10"/>
  <c r="D79" i="10"/>
  <c r="D86" i="10"/>
  <c r="E113" i="10"/>
  <c r="F45" i="10"/>
  <c r="F77" i="10"/>
  <c r="F109" i="10"/>
  <c r="E45" i="10"/>
  <c r="E77" i="10"/>
  <c r="E18" i="10"/>
  <c r="F30" i="10"/>
  <c r="F62" i="10"/>
  <c r="F94" i="10"/>
  <c r="C15" i="10"/>
  <c r="E97" i="10"/>
  <c r="E84" i="10"/>
  <c r="C31" i="10"/>
  <c r="E47" i="10"/>
  <c r="D88" i="10"/>
  <c r="C80" i="10"/>
  <c r="E94" i="10"/>
  <c r="C38" i="10"/>
  <c r="D60" i="10"/>
  <c r="C18" i="10"/>
  <c r="F36" i="10"/>
  <c r="F68" i="10"/>
  <c r="F100" i="10"/>
  <c r="E36" i="10"/>
  <c r="H1" i="9"/>
  <c r="F17" i="10"/>
  <c r="F49" i="10"/>
  <c r="F81" i="10"/>
  <c r="F113" i="10"/>
  <c r="E49" i="10"/>
  <c r="E81" i="10"/>
  <c r="D17" i="10"/>
  <c r="F34" i="10"/>
  <c r="F66" i="10"/>
  <c r="F98" i="10"/>
  <c r="E34" i="10"/>
  <c r="F39" i="10"/>
  <c r="E62" i="10"/>
  <c r="E104" i="10"/>
  <c r="D41" i="10"/>
  <c r="D73" i="10"/>
  <c r="D105" i="10"/>
  <c r="C47" i="10"/>
  <c r="C79" i="10"/>
  <c r="C111" i="10"/>
  <c r="F79" i="10"/>
  <c r="E76" i="10"/>
  <c r="E19" i="10"/>
  <c r="E27" i="10"/>
  <c r="D24" i="10"/>
  <c r="D67" i="10"/>
  <c r="D110" i="10"/>
  <c r="C62" i="10"/>
  <c r="C105" i="10"/>
  <c r="D11" i="9"/>
  <c r="E110" i="10"/>
  <c r="D58" i="10"/>
  <c r="D100" i="10"/>
  <c r="C58" i="10"/>
  <c r="F91" i="10"/>
  <c r="D22" i="10"/>
  <c r="D64" i="10"/>
  <c r="D107" i="10"/>
  <c r="C60" i="10"/>
  <c r="C102" i="10"/>
  <c r="E88" i="10"/>
  <c r="D39" i="10"/>
  <c r="D82" i="10"/>
  <c r="C34" i="10"/>
  <c r="C77" i="10"/>
  <c r="D55" i="10"/>
  <c r="C93" i="10"/>
  <c r="E52" i="10"/>
  <c r="F14" i="10"/>
  <c r="F51" i="10"/>
  <c r="C32" i="10"/>
  <c r="C98" i="10"/>
  <c r="C22" i="10"/>
  <c r="F40" i="10"/>
  <c r="F72" i="10"/>
  <c r="F104" i="10"/>
  <c r="E40" i="10"/>
  <c r="C11" i="9"/>
  <c r="F21" i="10"/>
  <c r="F53" i="10"/>
  <c r="F85" i="10"/>
  <c r="E21" i="10"/>
  <c r="E53" i="10"/>
  <c r="E85" i="10"/>
  <c r="C16" i="10"/>
  <c r="F38" i="10"/>
  <c r="F70" i="10"/>
  <c r="F102" i="10"/>
  <c r="E38" i="10"/>
  <c r="F55" i="10"/>
  <c r="E68" i="10"/>
  <c r="E108" i="10"/>
  <c r="D45" i="10"/>
  <c r="D77" i="10"/>
  <c r="D109" i="10"/>
  <c r="C51" i="10"/>
  <c r="C83" i="10"/>
  <c r="C17" i="10"/>
  <c r="F95" i="10"/>
  <c r="D14" i="10"/>
  <c r="E35" i="10"/>
  <c r="E70" i="10"/>
  <c r="D30" i="10"/>
  <c r="D72" i="10"/>
  <c r="C25" i="10"/>
  <c r="C68" i="10"/>
  <c r="C110" i="10"/>
  <c r="F75" i="10"/>
  <c r="D20" i="10"/>
  <c r="D63" i="10"/>
  <c r="D106" i="10"/>
  <c r="C64" i="10"/>
  <c r="E55" i="10"/>
  <c r="D27" i="10"/>
  <c r="D70" i="10"/>
  <c r="D112" i="10"/>
  <c r="C65" i="10"/>
  <c r="C108" i="10"/>
  <c r="E96" i="10"/>
  <c r="D44" i="10"/>
  <c r="D87" i="10"/>
  <c r="C40" i="10"/>
  <c r="C82" i="10"/>
  <c r="D50" i="10"/>
  <c r="C45" i="10"/>
  <c r="F48" i="10"/>
  <c r="F80" i="10"/>
  <c r="E48" i="10"/>
  <c r="F29" i="10"/>
  <c r="D25" i="10"/>
  <c r="E67" i="10"/>
  <c r="C84" i="10"/>
  <c r="C96" i="10"/>
  <c r="C81" i="10"/>
  <c r="I12" i="7"/>
  <c r="F44" i="10"/>
  <c r="F76" i="10"/>
  <c r="F108" i="10"/>
  <c r="E44" i="10"/>
  <c r="E17" i="10"/>
  <c r="F25" i="10"/>
  <c r="F57" i="10"/>
  <c r="F89" i="10"/>
  <c r="E25" i="10"/>
  <c r="E57" i="10"/>
  <c r="E89" i="10"/>
  <c r="C20" i="10"/>
  <c r="F42" i="10"/>
  <c r="F74" i="10"/>
  <c r="F106" i="10"/>
  <c r="E42" i="10"/>
  <c r="F71" i="10"/>
  <c r="E74" i="10"/>
  <c r="E112" i="10"/>
  <c r="D49" i="10"/>
  <c r="D81" i="10"/>
  <c r="D113" i="10"/>
  <c r="C55" i="10"/>
  <c r="C87" i="10"/>
  <c r="E15" i="10"/>
  <c r="F111" i="10"/>
  <c r="F19" i="10"/>
  <c r="E51" i="10"/>
  <c r="E83" i="10"/>
  <c r="D35" i="10"/>
  <c r="D78" i="10"/>
  <c r="C30" i="10"/>
  <c r="C73" i="10"/>
  <c r="C48" i="10"/>
  <c r="E43" i="10"/>
  <c r="D26" i="10"/>
  <c r="D68" i="10"/>
  <c r="D111" i="10"/>
  <c r="C74" i="10"/>
  <c r="E80" i="10"/>
  <c r="D32" i="10"/>
  <c r="D75" i="10"/>
  <c r="C28" i="10"/>
  <c r="C70" i="10"/>
  <c r="C113" i="10"/>
  <c r="E102" i="10"/>
  <c r="D92" i="10"/>
  <c r="C88" i="10"/>
  <c r="F16" i="10"/>
  <c r="F112" i="10"/>
  <c r="D16" i="10"/>
  <c r="F61" i="10"/>
  <c r="F93" i="10"/>
  <c r="E29" i="10"/>
  <c r="E61" i="10"/>
  <c r="E93" i="10"/>
  <c r="F46" i="10"/>
  <c r="F78" i="10"/>
  <c r="F110" i="10"/>
  <c r="E46" i="10"/>
  <c r="F87" i="10"/>
  <c r="E79" i="10"/>
  <c r="D21" i="10"/>
  <c r="D53" i="10"/>
  <c r="D85" i="10"/>
  <c r="C27" i="10"/>
  <c r="C59" i="10"/>
  <c r="C91" i="10"/>
  <c r="C21" i="10"/>
  <c r="E31" i="10"/>
  <c r="F35" i="10"/>
  <c r="E59" i="10"/>
  <c r="E91" i="10"/>
  <c r="D40" i="10"/>
  <c r="D83" i="10"/>
  <c r="C36" i="10"/>
  <c r="C78" i="10"/>
  <c r="C69" i="10"/>
  <c r="E75" i="10"/>
  <c r="D31" i="10"/>
  <c r="D74" i="10"/>
  <c r="C26" i="10"/>
  <c r="C85" i="10"/>
  <c r="E87" i="10"/>
  <c r="D38" i="10"/>
  <c r="D80" i="10"/>
  <c r="C33" i="10"/>
  <c r="C76" i="10"/>
  <c r="K2" i="1" a="1"/>
  <c r="E107" i="10"/>
  <c r="D98" i="10"/>
  <c r="C50" i="10"/>
  <c r="H2" i="9"/>
  <c r="F20" i="10"/>
  <c r="F84" i="10"/>
  <c r="F33" i="10"/>
  <c r="F97" i="10"/>
  <c r="E65" i="10"/>
  <c r="F50" i="10"/>
  <c r="F103" i="10"/>
  <c r="D89" i="10"/>
  <c r="F15" i="10"/>
  <c r="D46" i="10"/>
  <c r="E86" i="10"/>
  <c r="D43" i="10"/>
  <c r="F43" i="10"/>
  <c r="C56" i="10"/>
  <c r="E16" i="10"/>
  <c r="F24" i="10"/>
  <c r="F56" i="10"/>
  <c r="F88" i="10"/>
  <c r="E24" i="10"/>
  <c r="E56" i="10"/>
  <c r="C19" i="10"/>
  <c r="F37" i="10"/>
  <c r="F69" i="10"/>
  <c r="F101" i="10"/>
  <c r="E37" i="10"/>
  <c r="E69" i="10"/>
  <c r="F22" i="10"/>
  <c r="F54" i="10"/>
  <c r="F86" i="10"/>
  <c r="E22" i="10"/>
  <c r="D18" i="10"/>
  <c r="E23" i="10"/>
  <c r="E90" i="10"/>
  <c r="D29" i="10"/>
  <c r="D61" i="10"/>
  <c r="D93" i="10"/>
  <c r="C35" i="10"/>
  <c r="C67" i="10"/>
  <c r="C99" i="10"/>
  <c r="F31" i="10"/>
  <c r="E58" i="10"/>
  <c r="F67" i="10"/>
  <c r="E72" i="10"/>
  <c r="E103" i="10"/>
  <c r="D51" i="10"/>
  <c r="D94" i="10"/>
  <c r="C46" i="10"/>
  <c r="C89" i="10"/>
  <c r="C90" i="10"/>
  <c r="E92" i="10"/>
  <c r="D42" i="10"/>
  <c r="D84" i="10"/>
  <c r="C37" i="10"/>
  <c r="C106" i="10"/>
  <c r="E101" i="10"/>
  <c r="D48" i="10"/>
  <c r="D91" i="10"/>
  <c r="C44" i="10"/>
  <c r="C86" i="10"/>
  <c r="F107" i="10"/>
  <c r="D23" i="10"/>
  <c r="D66" i="10"/>
  <c r="D108" i="10"/>
  <c r="C61" i="10"/>
  <c r="C104" i="10"/>
  <c r="D102" i="10"/>
  <c r="D76" i="10"/>
  <c r="E20" i="10"/>
  <c r="F82" i="10"/>
  <c r="C95" i="10"/>
  <c r="D36" i="10"/>
  <c r="D103" i="10"/>
  <c r="C52" i="7"/>
  <c r="C57" i="7"/>
  <c r="C42" i="7"/>
  <c r="C27" i="7"/>
  <c r="C17" i="7"/>
  <c r="I45" i="7"/>
  <c r="I39" i="7"/>
  <c r="I20" i="7"/>
  <c r="C15" i="7"/>
  <c r="I26" i="7"/>
  <c r="C51" i="7"/>
  <c r="I47" i="7"/>
  <c r="C23" i="7"/>
  <c r="I21" i="7"/>
  <c r="C58" i="7"/>
  <c r="I40" i="7"/>
  <c r="C40" i="7"/>
  <c r="I56" i="7"/>
  <c r="C49" i="7"/>
  <c r="I30" i="7"/>
  <c r="I34" i="7"/>
  <c r="I19" i="7"/>
  <c r="C34" i="7"/>
  <c r="C39" i="7"/>
  <c r="C21" i="7"/>
  <c r="I36" i="7"/>
  <c r="C25" i="7"/>
  <c r="I61" i="7"/>
  <c r="I55" i="7"/>
  <c r="C36" i="7"/>
  <c r="I32" i="7"/>
  <c r="I60" i="7"/>
  <c r="C13" i="7"/>
  <c r="C19" i="7"/>
  <c r="I57" i="7"/>
  <c r="C30" i="7"/>
  <c r="C59" i="7"/>
  <c r="I48" i="7"/>
  <c r="C63" i="7"/>
  <c r="C33" i="7"/>
  <c r="C31" i="7"/>
  <c r="C45" i="7"/>
  <c r="C48" i="7"/>
  <c r="I17" i="7"/>
  <c r="I46" i="7"/>
  <c r="I50" i="7"/>
  <c r="I35" i="7"/>
  <c r="I37" i="7"/>
  <c r="I41" i="7"/>
  <c r="I22" i="7"/>
  <c r="C46" i="7"/>
  <c r="I52" i="7"/>
  <c r="C60" i="7"/>
  <c r="C26" i="7"/>
  <c r="C22" i="7"/>
  <c r="I16" i="7"/>
  <c r="I33" i="7"/>
  <c r="I51" i="7"/>
  <c r="I38" i="7"/>
  <c r="C61" i="7"/>
  <c r="I44" i="7"/>
  <c r="I31" i="7"/>
  <c r="I14" i="7"/>
  <c r="I42" i="7"/>
  <c r="I28" i="7"/>
  <c r="I63" i="7"/>
  <c r="C47" i="7"/>
  <c r="I27" i="7"/>
  <c r="I15" i="7"/>
  <c r="C14" i="7"/>
  <c r="C50" i="7"/>
  <c r="C55" i="7"/>
  <c r="C37" i="7"/>
  <c r="C18" i="7"/>
  <c r="C41" i="7"/>
  <c r="I58" i="7"/>
  <c r="I62" i="7"/>
  <c r="I53" i="7"/>
  <c r="I23" i="7"/>
  <c r="I43" i="7"/>
  <c r="I18" i="7"/>
  <c r="C56" i="7"/>
  <c r="I13" i="7"/>
  <c r="C35" i="7"/>
  <c r="I29" i="7"/>
  <c r="I24" i="7"/>
  <c r="I59" i="7"/>
  <c r="C28" i="7"/>
  <c r="C24" i="7"/>
  <c r="C38" i="7"/>
  <c r="C62" i="7"/>
  <c r="I49" i="7"/>
  <c r="C29" i="7"/>
  <c r="C32" i="7"/>
  <c r="C20" i="7"/>
  <c r="C16" i="7"/>
  <c r="I54" i="7"/>
  <c r="I25" i="7"/>
  <c r="C54" i="7"/>
  <c r="C44" i="7"/>
  <c r="C43" i="7"/>
  <c r="C53" i="7"/>
  <c r="D12" i="9"/>
  <c r="R12" i="9"/>
  <c r="L47" i="1" l="1"/>
  <c r="K4" i="1"/>
  <c r="L79" i="1"/>
  <c r="M75" i="1"/>
  <c r="M29" i="1"/>
  <c r="M44" i="1"/>
  <c r="M13" i="1"/>
  <c r="L9" i="1"/>
  <c r="K82" i="1"/>
  <c r="K33" i="1"/>
  <c r="M56" i="1"/>
  <c r="L92" i="1"/>
  <c r="L70" i="1"/>
  <c r="M23" i="1"/>
  <c r="M99" i="1"/>
  <c r="L37" i="1"/>
  <c r="L75" i="1"/>
  <c r="K73" i="1"/>
  <c r="L98" i="1"/>
  <c r="L78" i="1"/>
  <c r="M58" i="1"/>
  <c r="L36" i="1"/>
  <c r="L3" i="1"/>
  <c r="L55" i="1"/>
  <c r="M48" i="1"/>
  <c r="M84" i="1"/>
  <c r="M30" i="1"/>
  <c r="L20" i="1"/>
  <c r="K29" i="1"/>
  <c r="K17" i="1"/>
  <c r="L24" i="1"/>
  <c r="M8" i="1"/>
  <c r="M89" i="1"/>
  <c r="L99" i="1"/>
  <c r="L49" i="1"/>
  <c r="K94" i="1"/>
  <c r="K10" i="1"/>
  <c r="L65" i="1"/>
  <c r="M72" i="1"/>
  <c r="M102" i="1"/>
  <c r="M35" i="1"/>
  <c r="K30" i="1"/>
  <c r="L91" i="1"/>
  <c r="K86" i="1"/>
  <c r="M66" i="1"/>
  <c r="K58" i="1"/>
  <c r="M82" i="1"/>
  <c r="L80" i="1"/>
  <c r="L61" i="1"/>
  <c r="K84" i="1"/>
  <c r="K18" i="1"/>
  <c r="K78" i="1"/>
  <c r="K71" i="1"/>
  <c r="K102" i="1"/>
  <c r="M76" i="1"/>
  <c r="L81" i="1"/>
  <c r="M98" i="1"/>
  <c r="M62" i="1"/>
  <c r="M33" i="1"/>
  <c r="M59" i="1"/>
  <c r="L64" i="1"/>
  <c r="K96" i="1"/>
  <c r="K41" i="1"/>
  <c r="K27" i="1"/>
  <c r="L67" i="1"/>
  <c r="L17" i="1"/>
  <c r="L68" i="1"/>
  <c r="K61" i="1"/>
  <c r="M85" i="1"/>
  <c r="K22" i="1"/>
  <c r="M10" i="1"/>
  <c r="M97" i="1"/>
  <c r="K80" i="1"/>
  <c r="L19" i="1"/>
  <c r="K89" i="1"/>
  <c r="L6" i="1"/>
  <c r="K57" i="1"/>
  <c r="M3" i="1"/>
  <c r="K88" i="1"/>
  <c r="L45" i="1"/>
  <c r="L94" i="1"/>
  <c r="M26" i="1"/>
  <c r="M7" i="1"/>
  <c r="M60" i="1"/>
  <c r="K87" i="1"/>
  <c r="K91" i="1"/>
  <c r="L58" i="1"/>
  <c r="K44" i="1"/>
  <c r="L12" i="1"/>
  <c r="M71" i="1"/>
  <c r="L72" i="1"/>
  <c r="M6" i="1"/>
  <c r="M51" i="1"/>
  <c r="L14" i="1"/>
  <c r="M4" i="1"/>
  <c r="K28" i="1"/>
  <c r="K19" i="1"/>
  <c r="L66" i="1"/>
  <c r="L83" i="1"/>
  <c r="M69" i="1"/>
  <c r="L25" i="1"/>
  <c r="M39" i="1"/>
  <c r="M90" i="1"/>
  <c r="K74" i="1"/>
  <c r="K47" i="1"/>
  <c r="L28" i="1"/>
  <c r="L42" i="1"/>
  <c r="K12" i="1"/>
  <c r="K54" i="1"/>
  <c r="K69" i="1"/>
  <c r="K76" i="1"/>
  <c r="M101" i="1"/>
  <c r="M9" i="1"/>
  <c r="L69" i="1"/>
  <c r="M55" i="1"/>
  <c r="L15" i="1"/>
  <c r="L11" i="1"/>
  <c r="K11" i="1"/>
  <c r="L71" i="1"/>
  <c r="K36" i="1"/>
  <c r="K13" i="1"/>
  <c r="K52" i="1"/>
  <c r="K72" i="1"/>
  <c r="L87" i="1"/>
  <c r="L26" i="1"/>
  <c r="L74" i="1"/>
  <c r="M28" i="1"/>
  <c r="K77" i="1"/>
  <c r="L51" i="1"/>
  <c r="M63" i="1"/>
  <c r="L95" i="1"/>
  <c r="L102" i="1"/>
  <c r="L85" i="1"/>
  <c r="K60" i="1"/>
  <c r="M52" i="1"/>
  <c r="K48" i="1"/>
  <c r="M96" i="1"/>
  <c r="K100" i="1"/>
  <c r="K20" i="1"/>
  <c r="M21" i="1"/>
  <c r="L100" i="1"/>
  <c r="L44" i="1"/>
  <c r="K40" i="1"/>
  <c r="M43" i="1"/>
  <c r="M47" i="1"/>
  <c r="K81" i="1"/>
  <c r="L90" i="1"/>
  <c r="M67" i="1"/>
  <c r="K98" i="1"/>
  <c r="M70" i="1"/>
  <c r="M27" i="1"/>
  <c r="M2" i="1"/>
  <c r="M87" i="1"/>
  <c r="K2" i="1"/>
  <c r="M16" i="1"/>
  <c r="K8" i="1"/>
  <c r="L41" i="1"/>
  <c r="M68" i="1"/>
  <c r="L31" i="1"/>
  <c r="L60" i="1"/>
  <c r="L29" i="1"/>
  <c r="M100" i="1"/>
  <c r="M93" i="1"/>
  <c r="M77" i="1"/>
  <c r="M49" i="1"/>
  <c r="M79" i="1"/>
  <c r="K37" i="1"/>
  <c r="L96" i="1"/>
  <c r="L73" i="1"/>
  <c r="M78" i="1"/>
  <c r="M73" i="1"/>
  <c r="M42" i="1"/>
  <c r="K31" i="1"/>
  <c r="K59" i="1"/>
  <c r="L82" i="1"/>
  <c r="K21" i="1"/>
  <c r="L76" i="1"/>
  <c r="M38" i="1"/>
  <c r="M65" i="1"/>
  <c r="M36" i="1"/>
  <c r="M86" i="1"/>
  <c r="L59" i="1"/>
  <c r="M37" i="1"/>
  <c r="M17" i="1"/>
  <c r="L48" i="1"/>
  <c r="L62" i="1"/>
  <c r="L8" i="1"/>
  <c r="M12" i="1"/>
  <c r="K7" i="1"/>
  <c r="K43" i="1"/>
  <c r="L89" i="1"/>
  <c r="K79" i="1"/>
  <c r="L2" i="1"/>
  <c r="L21" i="1"/>
  <c r="K50" i="1"/>
  <c r="M94" i="1"/>
  <c r="M25" i="1"/>
  <c r="L35" i="1"/>
  <c r="K32" i="1"/>
  <c r="M64" i="1"/>
  <c r="K70" i="1"/>
  <c r="K99" i="1"/>
  <c r="D59" i="7"/>
  <c r="E59" i="7" s="1"/>
  <c r="D39" i="7"/>
  <c r="E39" i="7" s="1"/>
  <c r="D38" i="7"/>
  <c r="E38" i="7" s="1"/>
  <c r="D47" i="7"/>
  <c r="E47" i="7" s="1"/>
  <c r="D46" i="7"/>
  <c r="E46" i="7" s="1"/>
  <c r="D15" i="7"/>
  <c r="E15" i="7" s="1"/>
  <c r="D54" i="7"/>
  <c r="E54" i="7" s="1"/>
  <c r="D23" i="7"/>
  <c r="E23" i="7" s="1"/>
  <c r="D22" i="7"/>
  <c r="E22" i="7" s="1"/>
  <c r="D62" i="7"/>
  <c r="E62" i="7" s="1"/>
  <c r="D51" i="7"/>
  <c r="E51" i="7" s="1"/>
  <c r="D31" i="7"/>
  <c r="E31" i="7" s="1"/>
  <c r="D30" i="7"/>
  <c r="E30" i="7" s="1"/>
  <c r="D21" i="7"/>
  <c r="E21" i="7" s="1"/>
  <c r="D20" i="7"/>
  <c r="E20" i="7" s="1"/>
  <c r="J12" i="9"/>
  <c r="D61" i="7"/>
  <c r="E61" i="7" s="1"/>
  <c r="D56" i="7"/>
  <c r="E56" i="7" s="1"/>
  <c r="D53" i="7"/>
  <c r="E53" i="7" s="1"/>
  <c r="D48" i="7"/>
  <c r="E48" i="7" s="1"/>
  <c r="D41" i="7"/>
  <c r="E41" i="7" s="1"/>
  <c r="D40" i="7"/>
  <c r="E40" i="7" s="1"/>
  <c r="D33" i="7"/>
  <c r="E33" i="7" s="1"/>
  <c r="D32" i="7"/>
  <c r="E32" i="7" s="1"/>
  <c r="D25" i="7"/>
  <c r="E25" i="7" s="1"/>
  <c r="D24" i="7"/>
  <c r="E24" i="7" s="1"/>
  <c r="V12" i="9"/>
  <c r="S12" i="9" s="1"/>
  <c r="D63" i="7"/>
  <c r="E63" i="7" s="1"/>
  <c r="D58" i="7"/>
  <c r="E58" i="7" s="1"/>
  <c r="D55" i="7"/>
  <c r="E55" i="7" s="1"/>
  <c r="D50" i="7"/>
  <c r="E50" i="7" s="1"/>
  <c r="D43" i="7"/>
  <c r="E43" i="7" s="1"/>
  <c r="D42" i="7"/>
  <c r="E42" i="7" s="1"/>
  <c r="D35" i="7"/>
  <c r="E35" i="7" s="1"/>
  <c r="D34" i="7"/>
  <c r="E34" i="7" s="1"/>
  <c r="D27" i="7"/>
  <c r="E27" i="7" s="1"/>
  <c r="D26" i="7"/>
  <c r="E26" i="7" s="1"/>
  <c r="D17" i="7"/>
  <c r="E17" i="7" s="1"/>
  <c r="D16" i="7"/>
  <c r="E16" i="7" s="1"/>
  <c r="E11" i="9"/>
  <c r="F11" i="9" s="1"/>
  <c r="G11" i="9" s="1"/>
  <c r="H3" i="9"/>
  <c r="D60" i="7"/>
  <c r="E60" i="7" s="1"/>
  <c r="D57" i="7"/>
  <c r="E57" i="7" s="1"/>
  <c r="D52" i="7"/>
  <c r="E52" i="7" s="1"/>
  <c r="D49" i="7"/>
  <c r="E49" i="7" s="1"/>
  <c r="D45" i="7"/>
  <c r="E45" i="7" s="1"/>
  <c r="D44" i="7"/>
  <c r="E44" i="7" s="1"/>
  <c r="D37" i="7"/>
  <c r="E37" i="7" s="1"/>
  <c r="D36" i="7"/>
  <c r="E36" i="7" s="1"/>
  <c r="D29" i="7"/>
  <c r="E29" i="7" s="1"/>
  <c r="D28" i="7"/>
  <c r="E28" i="7" s="1"/>
  <c r="D19" i="7"/>
  <c r="E19" i="7" s="1"/>
  <c r="D18" i="7"/>
  <c r="E18" i="7" s="1"/>
  <c r="D14" i="7"/>
  <c r="E14" i="7" s="1"/>
  <c r="M57" i="1"/>
  <c r="L13" i="1"/>
  <c r="M46" i="1"/>
  <c r="B64" i="7"/>
  <c r="K16" i="1"/>
  <c r="M88" i="1"/>
  <c r="M50" i="1"/>
  <c r="K97" i="1"/>
  <c r="L30" i="1"/>
  <c r="L40" i="1"/>
  <c r="K53" i="1"/>
  <c r="M31" i="1"/>
  <c r="K67" i="1"/>
  <c r="M74" i="1"/>
  <c r="K83" i="1"/>
  <c r="K25" i="1"/>
  <c r="L43" i="1"/>
  <c r="K65" i="1"/>
  <c r="K56" i="1"/>
  <c r="K90" i="1"/>
  <c r="K62" i="1"/>
  <c r="M41" i="1"/>
  <c r="M20" i="1"/>
  <c r="M15" i="1"/>
  <c r="L52" i="1"/>
  <c r="L88" i="1"/>
  <c r="L77" i="1"/>
  <c r="M40" i="1"/>
  <c r="M91" i="1"/>
  <c r="M18" i="1"/>
  <c r="L39" i="1"/>
  <c r="K51" i="1"/>
  <c r="L53" i="1"/>
  <c r="M83" i="1"/>
  <c r="K92" i="1"/>
  <c r="M45" i="1"/>
  <c r="K14" i="1"/>
  <c r="L4" i="1"/>
  <c r="M81" i="1"/>
  <c r="K75" i="1"/>
  <c r="M19" i="1"/>
  <c r="K101" i="1"/>
  <c r="M80" i="1"/>
  <c r="K42" i="1"/>
  <c r="L22" i="1"/>
  <c r="M5" i="1"/>
  <c r="L63" i="1"/>
  <c r="K6" i="1"/>
  <c r="K49" i="1"/>
  <c r="L86" i="1"/>
  <c r="L101" i="1"/>
  <c r="K35" i="1"/>
  <c r="L18" i="1"/>
  <c r="L32" i="1"/>
  <c r="K39" i="1"/>
  <c r="L46" i="1"/>
  <c r="L57" i="1"/>
  <c r="M14" i="1"/>
  <c r="K64" i="1"/>
  <c r="K38" i="1"/>
  <c r="M92" i="1"/>
  <c r="L84" i="1"/>
  <c r="K45" i="1"/>
  <c r="K15" i="1"/>
  <c r="L54" i="1"/>
  <c r="L93" i="1"/>
  <c r="L97" i="1"/>
  <c r="K66" i="1"/>
  <c r="L23" i="1"/>
  <c r="M22" i="1"/>
  <c r="K95" i="1"/>
  <c r="L33" i="1"/>
  <c r="K55" i="1"/>
  <c r="K34" i="1"/>
  <c r="L10" i="1"/>
  <c r="L7" i="1"/>
  <c r="M34" i="1"/>
  <c r="L56" i="1"/>
  <c r="K85" i="1"/>
  <c r="K23" i="1"/>
  <c r="M95" i="1"/>
  <c r="K9" i="1"/>
  <c r="M61" i="1"/>
  <c r="M53" i="1"/>
  <c r="L27" i="1"/>
  <c r="K24" i="1"/>
  <c r="K3" i="1"/>
  <c r="L34" i="1"/>
  <c r="K26" i="1"/>
  <c r="K46" i="1"/>
  <c r="L16" i="1"/>
  <c r="L5" i="1"/>
  <c r="K5" i="1"/>
  <c r="L38" i="1"/>
  <c r="M54" i="1"/>
  <c r="M24" i="1"/>
  <c r="K93" i="1"/>
  <c r="K68" i="1"/>
  <c r="K63" i="1"/>
  <c r="M32" i="1"/>
  <c r="M11" i="1"/>
  <c r="L50" i="1"/>
  <c r="D13" i="7"/>
  <c r="E13" i="7" s="1"/>
  <c r="D12" i="7"/>
  <c r="E12" i="7" s="1"/>
  <c r="F12" i="7" s="1"/>
  <c r="A13" i="9"/>
  <c r="N94" i="1"/>
  <c r="N12" i="1"/>
  <c r="N25" i="1"/>
  <c r="N15" i="1"/>
  <c r="N82" i="1"/>
  <c r="N47" i="1"/>
  <c r="N16" i="1"/>
  <c r="N93" i="1"/>
  <c r="N39" i="1"/>
  <c r="N33" i="1"/>
  <c r="N22" i="1"/>
  <c r="N59" i="1"/>
  <c r="N46" i="1"/>
  <c r="N64" i="1"/>
  <c r="N73" i="1"/>
  <c r="N91" i="1"/>
  <c r="N68" i="1"/>
  <c r="N48" i="1"/>
  <c r="N71" i="1"/>
  <c r="N50" i="1"/>
  <c r="N11" i="1"/>
  <c r="N79" i="1"/>
  <c r="N70" i="1"/>
  <c r="N102" i="1"/>
  <c r="N24" i="1"/>
  <c r="N86" i="1"/>
  <c r="N36" i="1"/>
  <c r="N90" i="1"/>
  <c r="N66" i="1"/>
  <c r="N29" i="1"/>
  <c r="N54" i="1"/>
  <c r="N67" i="1"/>
  <c r="C12" i="9"/>
  <c r="N43" i="1"/>
  <c r="N27" i="1"/>
  <c r="N41" i="1"/>
  <c r="N14" i="1"/>
  <c r="N30" i="1"/>
  <c r="N89" i="1"/>
  <c r="N35" i="1"/>
  <c r="N100" i="1"/>
  <c r="N38" i="1"/>
  <c r="N4" i="1"/>
  <c r="N78" i="1"/>
  <c r="N77" i="1"/>
  <c r="N51" i="1"/>
  <c r="N23" i="1"/>
  <c r="N10" i="1"/>
  <c r="N13" i="1"/>
  <c r="N62" i="1"/>
  <c r="N72" i="1"/>
  <c r="N45" i="1"/>
  <c r="N17" i="1"/>
  <c r="N69" i="1"/>
  <c r="N99" i="1"/>
  <c r="N18" i="1"/>
  <c r="N75" i="1"/>
  <c r="N98" i="1"/>
  <c r="N95" i="1"/>
  <c r="N65" i="1"/>
  <c r="N87" i="1"/>
  <c r="N63" i="1"/>
  <c r="N97" i="1"/>
  <c r="N5" i="1"/>
  <c r="N96" i="1"/>
  <c r="N61" i="1"/>
  <c r="N8" i="1"/>
  <c r="N42" i="1"/>
  <c r="N76" i="1"/>
  <c r="N80" i="1"/>
  <c r="N31" i="1"/>
  <c r="N49" i="1"/>
  <c r="N53" i="1"/>
  <c r="N85" i="1"/>
  <c r="N58" i="1"/>
  <c r="N52" i="1"/>
  <c r="N101" i="1"/>
  <c r="N88" i="1"/>
  <c r="N56" i="1"/>
  <c r="N74" i="1"/>
  <c r="N44" i="1"/>
  <c r="N21" i="1"/>
  <c r="N6" i="1"/>
  <c r="N40" i="1"/>
  <c r="N57" i="1"/>
  <c r="N7" i="1"/>
  <c r="N55" i="1"/>
  <c r="N83" i="1"/>
  <c r="N3" i="1"/>
  <c r="N84" i="1"/>
  <c r="N60" i="1"/>
  <c r="N34" i="1"/>
  <c r="N20" i="1"/>
  <c r="N28" i="1"/>
  <c r="N37" i="1"/>
  <c r="N26" i="1"/>
  <c r="N9" i="1"/>
  <c r="N32" i="1"/>
  <c r="N92" i="1"/>
  <c r="N81" i="1"/>
  <c r="N19" i="1"/>
  <c r="I64" i="7"/>
  <c r="C64" i="7"/>
  <c r="E12" i="9" l="1"/>
  <c r="V13" i="9"/>
  <c r="S13" i="9" s="1"/>
  <c r="D64" i="7"/>
  <c r="E64" i="7" s="1"/>
  <c r="F12" i="9"/>
  <c r="B65" i="7"/>
  <c r="B66" i="7" s="1"/>
  <c r="T12" i="9"/>
  <c r="U12" i="9" s="1"/>
  <c r="A14" i="9"/>
  <c r="G12" i="7"/>
  <c r="F13" i="7" s="1"/>
  <c r="D13" i="9"/>
  <c r="C13" i="9"/>
  <c r="R13" i="9"/>
  <c r="I66" i="7"/>
  <c r="C66" i="7"/>
  <c r="C65" i="7"/>
  <c r="I65" i="7"/>
  <c r="G12" i="9" l="1"/>
  <c r="D66" i="7"/>
  <c r="E66" i="7" s="1"/>
  <c r="V14" i="9"/>
  <c r="S14" i="9" s="1"/>
  <c r="J13" i="9"/>
  <c r="F13" i="9" s="1"/>
  <c r="T13" i="9"/>
  <c r="U13" i="9" s="1"/>
  <c r="D65" i="7"/>
  <c r="E65" i="7" s="1"/>
  <c r="G13" i="7"/>
  <c r="F14" i="7" s="1"/>
  <c r="B67" i="7"/>
  <c r="E13" i="9"/>
  <c r="A15" i="9"/>
  <c r="R14" i="9"/>
  <c r="D14" i="9"/>
  <c r="C14" i="9"/>
  <c r="C67" i="7"/>
  <c r="I67" i="7"/>
  <c r="J14" i="9" l="1"/>
  <c r="F14" i="9" s="1"/>
  <c r="V15" i="9"/>
  <c r="S15" i="9" s="1"/>
  <c r="E14" i="9"/>
  <c r="D67" i="7"/>
  <c r="E67" i="7" s="1"/>
  <c r="T14" i="9"/>
  <c r="U14" i="9" s="1"/>
  <c r="G13" i="9"/>
  <c r="B68" i="7"/>
  <c r="G14" i="7"/>
  <c r="F15" i="7" s="1"/>
  <c r="A16" i="9"/>
  <c r="R15" i="9"/>
  <c r="D15" i="9"/>
  <c r="C15" i="9"/>
  <c r="I68" i="7"/>
  <c r="C68" i="7"/>
  <c r="G14" i="9" l="1"/>
  <c r="E15" i="9"/>
  <c r="D68" i="7"/>
  <c r="E68" i="7" s="1"/>
  <c r="T15" i="9"/>
  <c r="U15" i="9" s="1"/>
  <c r="J15" i="9"/>
  <c r="F15" i="9" s="1"/>
  <c r="V16" i="9"/>
  <c r="S16" i="9" s="1"/>
  <c r="G15" i="7"/>
  <c r="F16" i="7" s="1"/>
  <c r="A17" i="9"/>
  <c r="B69" i="7"/>
  <c r="C16" i="9"/>
  <c r="D16" i="9"/>
  <c r="R16" i="9"/>
  <c r="I69" i="7"/>
  <c r="C69" i="7"/>
  <c r="G15" i="9" l="1"/>
  <c r="D69" i="7"/>
  <c r="E69" i="7" s="1"/>
  <c r="T16" i="9"/>
  <c r="U16" i="9" s="1"/>
  <c r="J16" i="9"/>
  <c r="F16" i="9" s="1"/>
  <c r="G16" i="9" s="1"/>
  <c r="E16" i="9"/>
  <c r="V17" i="9"/>
  <c r="S17" i="9" s="1"/>
  <c r="G16" i="7"/>
  <c r="F17" i="7" s="1"/>
  <c r="B70" i="7"/>
  <c r="A18" i="9"/>
  <c r="R17" i="9"/>
  <c r="D17" i="9"/>
  <c r="C17" i="9"/>
  <c r="C70" i="7"/>
  <c r="I70" i="7"/>
  <c r="J17" i="9" l="1"/>
  <c r="F17" i="9" s="1"/>
  <c r="T17" i="9"/>
  <c r="U17" i="9" s="1"/>
  <c r="D70" i="7"/>
  <c r="E70" i="7" s="1"/>
  <c r="V18" i="9"/>
  <c r="S18" i="9" s="1"/>
  <c r="B71" i="7"/>
  <c r="E17" i="9"/>
  <c r="G17" i="7"/>
  <c r="F18" i="7" s="1"/>
  <c r="A19" i="9"/>
  <c r="C18" i="9"/>
  <c r="R18" i="9"/>
  <c r="D18" i="9"/>
  <c r="C71" i="7"/>
  <c r="I71" i="7"/>
  <c r="G17" i="9" l="1"/>
  <c r="V19" i="9"/>
  <c r="S19" i="9" s="1"/>
  <c r="J18" i="9"/>
  <c r="F18" i="9" s="1"/>
  <c r="T18" i="9"/>
  <c r="U18" i="9" s="1"/>
  <c r="D71" i="7"/>
  <c r="E71" i="7" s="1"/>
  <c r="G18" i="7"/>
  <c r="F19" i="7" s="1"/>
  <c r="E18" i="9"/>
  <c r="A20" i="9"/>
  <c r="B72" i="7"/>
  <c r="R19" i="9"/>
  <c r="D19" i="9"/>
  <c r="C19" i="9"/>
  <c r="I72" i="7"/>
  <c r="C72" i="7"/>
  <c r="E19" i="9" l="1"/>
  <c r="D72" i="7"/>
  <c r="E72" i="7" s="1"/>
  <c r="J19" i="9"/>
  <c r="F19" i="9" s="1"/>
  <c r="G19" i="9" s="1"/>
  <c r="T19" i="9"/>
  <c r="U19" i="9" s="1"/>
  <c r="V20" i="9"/>
  <c r="S20" i="9" s="1"/>
  <c r="G18" i="9"/>
  <c r="A21" i="9"/>
  <c r="B73" i="7"/>
  <c r="G19" i="7"/>
  <c r="F20" i="7" s="1"/>
  <c r="C20" i="9"/>
  <c r="D20" i="9"/>
  <c r="R20" i="9"/>
  <c r="I73" i="7"/>
  <c r="C73" i="7"/>
  <c r="D73" i="7" l="1"/>
  <c r="T20" i="9"/>
  <c r="U20" i="9" s="1"/>
  <c r="J20" i="9"/>
  <c r="F20" i="9" s="1"/>
  <c r="V21" i="9"/>
  <c r="S21" i="9" s="1"/>
  <c r="G20" i="7"/>
  <c r="F21" i="7" s="1"/>
  <c r="E20" i="9"/>
  <c r="B74" i="7"/>
  <c r="E73" i="7"/>
  <c r="A22" i="9"/>
  <c r="C21" i="9"/>
  <c r="D21" i="9"/>
  <c r="R21" i="9"/>
  <c r="C74" i="7"/>
  <c r="I74" i="7"/>
  <c r="T21" i="9" l="1"/>
  <c r="U21" i="9" s="1"/>
  <c r="J21" i="9"/>
  <c r="F21" i="9" s="1"/>
  <c r="V22" i="9"/>
  <c r="S22" i="9" s="1"/>
  <c r="D74" i="7"/>
  <c r="E74" i="7" s="1"/>
  <c r="G20" i="9"/>
  <c r="B75" i="7"/>
  <c r="G21" i="7"/>
  <c r="F22" i="7" s="1"/>
  <c r="A23" i="9"/>
  <c r="E21" i="9"/>
  <c r="R22" i="9"/>
  <c r="C22" i="9"/>
  <c r="D22" i="9"/>
  <c r="I75" i="7"/>
  <c r="C75" i="7"/>
  <c r="G21" i="9" l="1"/>
  <c r="D75" i="7"/>
  <c r="E75" i="7" s="1"/>
  <c r="J22" i="9"/>
  <c r="F22" i="9" s="1"/>
  <c r="V23" i="9"/>
  <c r="S23" i="9" s="1"/>
  <c r="T22" i="9"/>
  <c r="U22" i="9" s="1"/>
  <c r="E22" i="9"/>
  <c r="G22" i="7"/>
  <c r="F23" i="7" s="1"/>
  <c r="A24" i="9"/>
  <c r="B76" i="7"/>
  <c r="R23" i="9"/>
  <c r="D23" i="9"/>
  <c r="C23" i="9"/>
  <c r="I76" i="7"/>
  <c r="C76" i="7"/>
  <c r="G22" i="9" l="1"/>
  <c r="D76" i="7"/>
  <c r="E76" i="7" s="1"/>
  <c r="E23" i="9"/>
  <c r="J23" i="9"/>
  <c r="F23" i="9" s="1"/>
  <c r="G23" i="9" s="1"/>
  <c r="V24" i="9"/>
  <c r="S24" i="9" s="1"/>
  <c r="T23" i="9"/>
  <c r="U23" i="9" s="1"/>
  <c r="G23" i="7"/>
  <c r="F24" i="7" s="1"/>
  <c r="B77" i="7"/>
  <c r="A25" i="9"/>
  <c r="R24" i="9"/>
  <c r="C24" i="9"/>
  <c r="D24" i="9"/>
  <c r="I77" i="7"/>
  <c r="C77" i="7"/>
  <c r="J24" i="9" l="1"/>
  <c r="F24" i="9" s="1"/>
  <c r="D77" i="7"/>
  <c r="E77" i="7" s="1"/>
  <c r="T24" i="9"/>
  <c r="U24" i="9" s="1"/>
  <c r="V25" i="9"/>
  <c r="S25" i="9" s="1"/>
  <c r="A26" i="9"/>
  <c r="B78" i="7"/>
  <c r="G24" i="7"/>
  <c r="F25" i="7" s="1"/>
  <c r="E24" i="9"/>
  <c r="G24" i="9" s="1"/>
  <c r="R25" i="9"/>
  <c r="D25" i="9"/>
  <c r="C25" i="9"/>
  <c r="C78" i="7"/>
  <c r="I78" i="7"/>
  <c r="T25" i="9" l="1"/>
  <c r="U25" i="9" s="1"/>
  <c r="D78" i="7"/>
  <c r="E78" i="7" s="1"/>
  <c r="J25" i="9"/>
  <c r="F25" i="9" s="1"/>
  <c r="V26" i="9"/>
  <c r="S26" i="9" s="1"/>
  <c r="G25" i="7"/>
  <c r="F26" i="7" s="1"/>
  <c r="E25" i="9"/>
  <c r="G25" i="9" s="1"/>
  <c r="B79" i="7"/>
  <c r="A27" i="9"/>
  <c r="R26" i="9"/>
  <c r="C26" i="9"/>
  <c r="D26" i="9"/>
  <c r="I79" i="7"/>
  <c r="C79" i="7"/>
  <c r="V27" i="9" l="1"/>
  <c r="S27" i="9" s="1"/>
  <c r="J26" i="9"/>
  <c r="F26" i="9" s="1"/>
  <c r="T26" i="9"/>
  <c r="U26" i="9" s="1"/>
  <c r="D79" i="7"/>
  <c r="E79" i="7" s="1"/>
  <c r="G26" i="7"/>
  <c r="F27" i="7" s="1"/>
  <c r="E26" i="9"/>
  <c r="A28" i="9"/>
  <c r="B80" i="7"/>
  <c r="D27" i="9"/>
  <c r="C27" i="9"/>
  <c r="R27" i="9"/>
  <c r="C80" i="7"/>
  <c r="I80" i="7"/>
  <c r="T27" i="9" l="1"/>
  <c r="U27" i="9" s="1"/>
  <c r="D80" i="7"/>
  <c r="E80" i="7" s="1"/>
  <c r="E27" i="9"/>
  <c r="J27" i="9"/>
  <c r="F27" i="9" s="1"/>
  <c r="G27" i="9" s="1"/>
  <c r="V28" i="9"/>
  <c r="S28" i="9" s="1"/>
  <c r="G26" i="9"/>
  <c r="G27" i="7"/>
  <c r="F28" i="7" s="1"/>
  <c r="B81" i="7"/>
  <c r="A29" i="9"/>
  <c r="D28" i="9"/>
  <c r="C28" i="9"/>
  <c r="R28" i="9"/>
  <c r="C81" i="7"/>
  <c r="I81" i="7"/>
  <c r="T28" i="9" l="1"/>
  <c r="U28" i="9" s="1"/>
  <c r="J28" i="9"/>
  <c r="F28" i="9" s="1"/>
  <c r="E28" i="9"/>
  <c r="D81" i="7"/>
  <c r="E81" i="7" s="1"/>
  <c r="V29" i="9"/>
  <c r="S29" i="9" s="1"/>
  <c r="G28" i="7"/>
  <c r="F29" i="7" s="1"/>
  <c r="B82" i="7"/>
  <c r="A30" i="9"/>
  <c r="R29" i="9"/>
  <c r="C29" i="9"/>
  <c r="D29" i="9"/>
  <c r="I82" i="7"/>
  <c r="C82" i="7"/>
  <c r="G28" i="9" l="1"/>
  <c r="E29" i="9"/>
  <c r="J29" i="9"/>
  <c r="F29" i="9" s="1"/>
  <c r="G29" i="9" s="1"/>
  <c r="D82" i="7"/>
  <c r="E82" i="7" s="1"/>
  <c r="T29" i="9"/>
  <c r="U29" i="9" s="1"/>
  <c r="V30" i="9"/>
  <c r="S30" i="9" s="1"/>
  <c r="G29" i="7"/>
  <c r="F30" i="7" s="1"/>
  <c r="A31" i="9"/>
  <c r="B83" i="7"/>
  <c r="R30" i="9"/>
  <c r="C30" i="9"/>
  <c r="D30" i="9"/>
  <c r="C83" i="7"/>
  <c r="I83" i="7"/>
  <c r="J30" i="9" l="1"/>
  <c r="F30" i="9" s="1"/>
  <c r="T30" i="9"/>
  <c r="U30" i="9" s="1"/>
  <c r="E30" i="9"/>
  <c r="V31" i="9"/>
  <c r="S31" i="9" s="1"/>
  <c r="D83" i="7"/>
  <c r="E83" i="7" s="1"/>
  <c r="B84" i="7"/>
  <c r="A32" i="9"/>
  <c r="G30" i="7"/>
  <c r="F31" i="7" s="1"/>
  <c r="C31" i="9"/>
  <c r="R31" i="9"/>
  <c r="D31" i="9"/>
  <c r="C84" i="7"/>
  <c r="I84" i="7"/>
  <c r="J31" i="9" l="1"/>
  <c r="F31" i="9" s="1"/>
  <c r="T31" i="9"/>
  <c r="U31" i="9" s="1"/>
  <c r="V32" i="9"/>
  <c r="S32" i="9" s="1"/>
  <c r="D84" i="7"/>
  <c r="E84" i="7" s="1"/>
  <c r="E31" i="9"/>
  <c r="G30" i="9"/>
  <c r="A33" i="9"/>
  <c r="G31" i="7"/>
  <c r="F32" i="7" s="1"/>
  <c r="B85" i="7"/>
  <c r="C32" i="9"/>
  <c r="D32" i="9"/>
  <c r="R32" i="9"/>
  <c r="C85" i="7"/>
  <c r="I85" i="7"/>
  <c r="G31" i="9" l="1"/>
  <c r="T32" i="9"/>
  <c r="U32" i="9" s="1"/>
  <c r="J32" i="9"/>
  <c r="F32" i="9" s="1"/>
  <c r="V33" i="9"/>
  <c r="S33" i="9" s="1"/>
  <c r="D85" i="7"/>
  <c r="E85" i="7" s="1"/>
  <c r="G32" i="7"/>
  <c r="F33" i="7" s="1"/>
  <c r="B86" i="7"/>
  <c r="E32" i="9"/>
  <c r="G32" i="9" s="1"/>
  <c r="A34" i="9"/>
  <c r="C33" i="9"/>
  <c r="R33" i="9"/>
  <c r="D33" i="9"/>
  <c r="I86" i="7"/>
  <c r="C86" i="7"/>
  <c r="J33" i="9" l="1"/>
  <c r="F33" i="9" s="1"/>
  <c r="V34" i="9"/>
  <c r="S34" i="9" s="1"/>
  <c r="T33" i="9"/>
  <c r="U33" i="9" s="1"/>
  <c r="D86" i="7"/>
  <c r="E86" i="7" s="1"/>
  <c r="G33" i="7"/>
  <c r="F34" i="7" s="1"/>
  <c r="E33" i="9"/>
  <c r="G33" i="9" s="1"/>
  <c r="B87" i="7"/>
  <c r="A35" i="9"/>
  <c r="R34" i="9"/>
  <c r="D34" i="9"/>
  <c r="C34" i="9"/>
  <c r="I87" i="7"/>
  <c r="C87" i="7"/>
  <c r="E34" i="9" l="1"/>
  <c r="V35" i="9"/>
  <c r="S35" i="9" s="1"/>
  <c r="J34" i="9"/>
  <c r="F34" i="9" s="1"/>
  <c r="T34" i="9"/>
  <c r="U34" i="9" s="1"/>
  <c r="D87" i="7"/>
  <c r="E87" i="7" s="1"/>
  <c r="A36" i="9"/>
  <c r="G34" i="7"/>
  <c r="F35" i="7" s="1"/>
  <c r="B88" i="7"/>
  <c r="R35" i="9"/>
  <c r="C35" i="9"/>
  <c r="D35" i="9"/>
  <c r="C88" i="7"/>
  <c r="I88" i="7"/>
  <c r="G34" i="9" l="1"/>
  <c r="D88" i="7"/>
  <c r="J35" i="9"/>
  <c r="F35" i="9" s="1"/>
  <c r="V36" i="9"/>
  <c r="S36" i="9" s="1"/>
  <c r="T35" i="9"/>
  <c r="U35" i="9" s="1"/>
  <c r="G35" i="7"/>
  <c r="F36" i="7" s="1"/>
  <c r="B89" i="7"/>
  <c r="E88" i="7"/>
  <c r="A37" i="9"/>
  <c r="E35" i="9"/>
  <c r="D36" i="9"/>
  <c r="C36" i="9"/>
  <c r="R36" i="9"/>
  <c r="C89" i="7"/>
  <c r="I89" i="7"/>
  <c r="G35" i="9" l="1"/>
  <c r="V37" i="9"/>
  <c r="S37" i="9" s="1"/>
  <c r="T36" i="9"/>
  <c r="U36" i="9" s="1"/>
  <c r="D89" i="7"/>
  <c r="E89" i="7" s="1"/>
  <c r="E36" i="9"/>
  <c r="J36" i="9"/>
  <c r="F36" i="9" s="1"/>
  <c r="G36" i="9" s="1"/>
  <c r="B90" i="7"/>
  <c r="A38" i="9"/>
  <c r="G36" i="7"/>
  <c r="F37" i="7" s="1"/>
  <c r="D37" i="9"/>
  <c r="R37" i="9"/>
  <c r="C37" i="9"/>
  <c r="C90" i="7"/>
  <c r="I90" i="7"/>
  <c r="V38" i="9" l="1"/>
  <c r="S38" i="9" s="1"/>
  <c r="D90" i="7"/>
  <c r="E90" i="7" s="1"/>
  <c r="J37" i="9"/>
  <c r="F37" i="9" s="1"/>
  <c r="T37" i="9"/>
  <c r="U37" i="9" s="1"/>
  <c r="G37" i="7"/>
  <c r="F38" i="7" s="1"/>
  <c r="A39" i="9"/>
  <c r="E37" i="9"/>
  <c r="B91" i="7"/>
  <c r="C38" i="9"/>
  <c r="R38" i="9"/>
  <c r="D38" i="9"/>
  <c r="I91" i="7"/>
  <c r="C91" i="7"/>
  <c r="J38" i="9" l="1"/>
  <c r="F38" i="9" s="1"/>
  <c r="T38" i="9"/>
  <c r="U38" i="9" s="1"/>
  <c r="D91" i="7"/>
  <c r="E91" i="7" s="1"/>
  <c r="E38" i="9"/>
  <c r="V39" i="9"/>
  <c r="S39" i="9" s="1"/>
  <c r="G37" i="9"/>
  <c r="G38" i="7"/>
  <c r="F39" i="7" s="1"/>
  <c r="B92" i="7"/>
  <c r="A40" i="9"/>
  <c r="C39" i="9"/>
  <c r="R39" i="9"/>
  <c r="D39" i="9"/>
  <c r="I92" i="7"/>
  <c r="C92" i="7"/>
  <c r="G38" i="9" l="1"/>
  <c r="T39" i="9"/>
  <c r="U39" i="9" s="1"/>
  <c r="J39" i="9"/>
  <c r="F39" i="9" s="1"/>
  <c r="D92" i="7"/>
  <c r="E92" i="7" s="1"/>
  <c r="V40" i="9"/>
  <c r="S40" i="9" s="1"/>
  <c r="B93" i="7"/>
  <c r="A41" i="9"/>
  <c r="G39" i="7"/>
  <c r="F40" i="7" s="1"/>
  <c r="E39" i="9"/>
  <c r="R40" i="9"/>
  <c r="D40" i="9"/>
  <c r="C40" i="9"/>
  <c r="I93" i="7"/>
  <c r="C93" i="7"/>
  <c r="G39" i="9" l="1"/>
  <c r="J40" i="9"/>
  <c r="F40" i="9" s="1"/>
  <c r="D93" i="7"/>
  <c r="E93" i="7" s="1"/>
  <c r="V41" i="9"/>
  <c r="S41" i="9" s="1"/>
  <c r="T40" i="9"/>
  <c r="U40" i="9" s="1"/>
  <c r="G40" i="7"/>
  <c r="F41" i="7" s="1"/>
  <c r="B94" i="7"/>
  <c r="A42" i="9"/>
  <c r="E40" i="9"/>
  <c r="C41" i="9"/>
  <c r="R41" i="9"/>
  <c r="D41" i="9"/>
  <c r="C94" i="7"/>
  <c r="I94" i="7"/>
  <c r="G40" i="9" l="1"/>
  <c r="J41" i="9"/>
  <c r="F41" i="9" s="1"/>
  <c r="V42" i="9"/>
  <c r="S42" i="9" s="1"/>
  <c r="T41" i="9"/>
  <c r="U41" i="9" s="1"/>
  <c r="E41" i="9"/>
  <c r="G41" i="9" s="1"/>
  <c r="D94" i="7"/>
  <c r="E94" i="7" s="1"/>
  <c r="G41" i="7"/>
  <c r="F42" i="7" s="1"/>
  <c r="A43" i="9"/>
  <c r="B95" i="7"/>
  <c r="D42" i="9"/>
  <c r="R42" i="9"/>
  <c r="C42" i="9"/>
  <c r="C95" i="7"/>
  <c r="I95" i="7"/>
  <c r="D95" i="7" l="1"/>
  <c r="E95" i="7" s="1"/>
  <c r="V43" i="9"/>
  <c r="S43" i="9" s="1"/>
  <c r="J42" i="9"/>
  <c r="F42" i="9" s="1"/>
  <c r="T42" i="9"/>
  <c r="U42" i="9" s="1"/>
  <c r="E42" i="9"/>
  <c r="G42" i="7"/>
  <c r="F43" i="7" s="1"/>
  <c r="B96" i="7"/>
  <c r="A44" i="9"/>
  <c r="C43" i="9"/>
  <c r="R43" i="9"/>
  <c r="D43" i="9"/>
  <c r="C96" i="7"/>
  <c r="I96" i="7"/>
  <c r="G42" i="9" l="1"/>
  <c r="J43" i="9"/>
  <c r="F43" i="9" s="1"/>
  <c r="T43" i="9"/>
  <c r="U43" i="9" s="1"/>
  <c r="D96" i="7"/>
  <c r="E96" i="7" s="1"/>
  <c r="V44" i="9"/>
  <c r="S44" i="9" s="1"/>
  <c r="B97" i="7"/>
  <c r="E43" i="9"/>
  <c r="G43" i="9" s="1"/>
  <c r="G43" i="7"/>
  <c r="F44" i="7" s="1"/>
  <c r="A45" i="9"/>
  <c r="R44" i="9"/>
  <c r="D44" i="9"/>
  <c r="C44" i="9"/>
  <c r="I97" i="7"/>
  <c r="C97" i="7"/>
  <c r="V45" i="9" l="1"/>
  <c r="S45" i="9" s="1"/>
  <c r="D97" i="7"/>
  <c r="E97" i="7" s="1"/>
  <c r="E44" i="9"/>
  <c r="J44" i="9"/>
  <c r="F44" i="9" s="1"/>
  <c r="T44" i="9"/>
  <c r="U44" i="9" s="1"/>
  <c r="A46" i="9"/>
  <c r="G44" i="7"/>
  <c r="F45" i="7" s="1"/>
  <c r="B98" i="7"/>
  <c r="C45" i="9"/>
  <c r="D45" i="9"/>
  <c r="R45" i="9"/>
  <c r="C98" i="7"/>
  <c r="I98" i="7"/>
  <c r="G44" i="9" l="1"/>
  <c r="D98" i="7"/>
  <c r="E98" i="7" s="1"/>
  <c r="J45" i="9"/>
  <c r="F45" i="9" s="1"/>
  <c r="T45" i="9"/>
  <c r="U45" i="9" s="1"/>
  <c r="E45" i="9"/>
  <c r="G45" i="9" s="1"/>
  <c r="V46" i="9"/>
  <c r="S46" i="9" s="1"/>
  <c r="G45" i="7"/>
  <c r="F46" i="7" s="1"/>
  <c r="A47" i="9"/>
  <c r="B99" i="7"/>
  <c r="C46" i="9"/>
  <c r="D46" i="9"/>
  <c r="R46" i="9"/>
  <c r="I99" i="7"/>
  <c r="C99" i="7"/>
  <c r="D99" i="7" l="1"/>
  <c r="E99" i="7" s="1"/>
  <c r="J46" i="9"/>
  <c r="F46" i="9" s="1"/>
  <c r="T46" i="9"/>
  <c r="U46" i="9" s="1"/>
  <c r="E46" i="9"/>
  <c r="V47" i="9"/>
  <c r="S47" i="9" s="1"/>
  <c r="G46" i="7"/>
  <c r="F47" i="7" s="1"/>
  <c r="A48" i="9"/>
  <c r="B100" i="7"/>
  <c r="C47" i="9"/>
  <c r="R47" i="9"/>
  <c r="D47" i="9"/>
  <c r="I100" i="7"/>
  <c r="C100" i="7"/>
  <c r="G46" i="9" l="1"/>
  <c r="J47" i="9"/>
  <c r="F47" i="9" s="1"/>
  <c r="T47" i="9"/>
  <c r="U47" i="9" s="1"/>
  <c r="D100" i="7"/>
  <c r="E100" i="7" s="1"/>
  <c r="E47" i="9"/>
  <c r="G47" i="9" s="1"/>
  <c r="V48" i="9"/>
  <c r="S48" i="9" s="1"/>
  <c r="B101" i="7"/>
  <c r="A49" i="9"/>
  <c r="G47" i="7"/>
  <c r="F48" i="7" s="1"/>
  <c r="R48" i="9"/>
  <c r="C48" i="9"/>
  <c r="D48" i="9"/>
  <c r="I101" i="7"/>
  <c r="C101" i="7"/>
  <c r="J48" i="9" l="1"/>
  <c r="F48" i="9" s="1"/>
  <c r="E48" i="9"/>
  <c r="T48" i="9"/>
  <c r="U48" i="9" s="1"/>
  <c r="D101" i="7"/>
  <c r="E101" i="7" s="1"/>
  <c r="V49" i="9"/>
  <c r="S49" i="9" s="1"/>
  <c r="G48" i="7"/>
  <c r="F49" i="7" s="1"/>
  <c r="A50" i="9"/>
  <c r="G48" i="9"/>
  <c r="B102" i="7"/>
  <c r="C49" i="9"/>
  <c r="R49" i="9"/>
  <c r="D49" i="9"/>
  <c r="C102" i="7"/>
  <c r="I102" i="7"/>
  <c r="D102" i="7" l="1"/>
  <c r="E102" i="7" s="1"/>
  <c r="T49" i="9"/>
  <c r="U49" i="9" s="1"/>
  <c r="J49" i="9"/>
  <c r="F49" i="9" s="1"/>
  <c r="V50" i="9"/>
  <c r="S50" i="9" s="1"/>
  <c r="A51" i="9"/>
  <c r="E49" i="9"/>
  <c r="B103" i="7"/>
  <c r="G49" i="7"/>
  <c r="F50" i="7" s="1"/>
  <c r="C50" i="9"/>
  <c r="R50" i="9"/>
  <c r="D50" i="9"/>
  <c r="C103" i="7"/>
  <c r="I103" i="7"/>
  <c r="G49" i="9" l="1"/>
  <c r="J50" i="9"/>
  <c r="F50" i="9" s="1"/>
  <c r="T50" i="9"/>
  <c r="U50" i="9" s="1"/>
  <c r="D103" i="7"/>
  <c r="E103" i="7" s="1"/>
  <c r="E50" i="9"/>
  <c r="V51" i="9"/>
  <c r="S51" i="9" s="1"/>
  <c r="A52" i="9"/>
  <c r="G50" i="7"/>
  <c r="F51" i="7" s="1"/>
  <c r="B104" i="7"/>
  <c r="C51" i="9"/>
  <c r="R51" i="9"/>
  <c r="D51" i="9"/>
  <c r="C104" i="7"/>
  <c r="I104" i="7"/>
  <c r="G50" i="9" l="1"/>
  <c r="D104" i="7"/>
  <c r="E104" i="7" s="1"/>
  <c r="J51" i="9"/>
  <c r="F51" i="9" s="1"/>
  <c r="T51" i="9"/>
  <c r="U51" i="9" s="1"/>
  <c r="V52" i="9"/>
  <c r="S52" i="9" s="1"/>
  <c r="G51" i="7"/>
  <c r="F52" i="7" s="1"/>
  <c r="A53" i="9"/>
  <c r="B105" i="7"/>
  <c r="E51" i="9"/>
  <c r="C52" i="9"/>
  <c r="R52" i="9"/>
  <c r="D52" i="9"/>
  <c r="I105" i="7"/>
  <c r="C105" i="7"/>
  <c r="G51" i="9" l="1"/>
  <c r="T52" i="9"/>
  <c r="U52" i="9" s="1"/>
  <c r="V53" i="9"/>
  <c r="S53" i="9" s="1"/>
  <c r="J52" i="9"/>
  <c r="F52" i="9" s="1"/>
  <c r="D105" i="7"/>
  <c r="E105" i="7" s="1"/>
  <c r="G52" i="7"/>
  <c r="F53" i="7" s="1"/>
  <c r="A54" i="9"/>
  <c r="B106" i="7"/>
  <c r="E52" i="9"/>
  <c r="R53" i="9"/>
  <c r="D53" i="9"/>
  <c r="C53" i="9"/>
  <c r="I106" i="7"/>
  <c r="C106" i="7"/>
  <c r="T53" i="9" l="1"/>
  <c r="U53" i="9" s="1"/>
  <c r="V54" i="9"/>
  <c r="S54" i="9" s="1"/>
  <c r="D106" i="7"/>
  <c r="E106" i="7" s="1"/>
  <c r="J53" i="9"/>
  <c r="F53" i="9" s="1"/>
  <c r="G52" i="9"/>
  <c r="G53" i="7"/>
  <c r="F54" i="7" s="1"/>
  <c r="B107" i="7"/>
  <c r="A55" i="9"/>
  <c r="E53" i="9"/>
  <c r="C54" i="9"/>
  <c r="D54" i="9"/>
  <c r="R54" i="9"/>
  <c r="C107" i="7"/>
  <c r="I107" i="7"/>
  <c r="G53" i="9" l="1"/>
  <c r="J54" i="9"/>
  <c r="F54" i="9" s="1"/>
  <c r="V55" i="9"/>
  <c r="S55" i="9" s="1"/>
  <c r="T54" i="9"/>
  <c r="U54" i="9" s="1"/>
  <c r="D107" i="7"/>
  <c r="E107" i="7" s="1"/>
  <c r="G54" i="7"/>
  <c r="F55" i="7" s="1"/>
  <c r="A56" i="9"/>
  <c r="B108" i="7"/>
  <c r="E54" i="9"/>
  <c r="D55" i="9"/>
  <c r="C55" i="9"/>
  <c r="R55" i="9"/>
  <c r="C108" i="7"/>
  <c r="I108" i="7"/>
  <c r="G54" i="9" l="1"/>
  <c r="T55" i="9"/>
  <c r="U55" i="9" s="1"/>
  <c r="V56" i="9"/>
  <c r="S56" i="9" s="1"/>
  <c r="D108" i="7"/>
  <c r="E108" i="7" s="1"/>
  <c r="E55" i="9"/>
  <c r="J55" i="9"/>
  <c r="F55" i="9" s="1"/>
  <c r="B109" i="7"/>
  <c r="G55" i="7"/>
  <c r="F56" i="7" s="1"/>
  <c r="A57" i="9"/>
  <c r="C56" i="9"/>
  <c r="R56" i="9"/>
  <c r="D56" i="9"/>
  <c r="C109" i="7"/>
  <c r="I109" i="7"/>
  <c r="G55" i="9" l="1"/>
  <c r="D109" i="7"/>
  <c r="E109" i="7" s="1"/>
  <c r="J56" i="9"/>
  <c r="F56" i="9" s="1"/>
  <c r="V57" i="9"/>
  <c r="S57" i="9" s="1"/>
  <c r="T56" i="9"/>
  <c r="U56" i="9" s="1"/>
  <c r="E56" i="9"/>
  <c r="A58" i="9"/>
  <c r="G56" i="7"/>
  <c r="F57" i="7" s="1"/>
  <c r="B110" i="7"/>
  <c r="D57" i="9"/>
  <c r="C57" i="9"/>
  <c r="R57" i="9"/>
  <c r="C110" i="7"/>
  <c r="I110" i="7"/>
  <c r="G56" i="9" l="1"/>
  <c r="V58" i="9"/>
  <c r="S58" i="9" s="1"/>
  <c r="J57" i="9"/>
  <c r="F57" i="9" s="1"/>
  <c r="D110" i="7"/>
  <c r="E110" i="7" s="1"/>
  <c r="T57" i="9"/>
  <c r="U57" i="9" s="1"/>
  <c r="G57" i="7"/>
  <c r="F58" i="7" s="1"/>
  <c r="E57" i="9"/>
  <c r="B111" i="7"/>
  <c r="A59" i="9"/>
  <c r="D58" i="9"/>
  <c r="R58" i="9"/>
  <c r="C58" i="9"/>
  <c r="I111" i="7"/>
  <c r="C111" i="7"/>
  <c r="G57" i="9" l="1"/>
  <c r="J58" i="9"/>
  <c r="F58" i="9" s="1"/>
  <c r="T58" i="9"/>
  <c r="U58" i="9" s="1"/>
  <c r="D111" i="7"/>
  <c r="E111" i="7" s="1"/>
  <c r="V59" i="9"/>
  <c r="S59" i="9" s="1"/>
  <c r="G58" i="7"/>
  <c r="F59" i="7" s="1"/>
  <c r="E58" i="9"/>
  <c r="G58" i="9" s="1"/>
  <c r="A60" i="9"/>
  <c r="B112" i="7"/>
  <c r="C112" i="7" s="1"/>
  <c r="D112" i="7" s="1"/>
  <c r="E112" i="7" s="1"/>
  <c r="D59" i="9"/>
  <c r="R59" i="9"/>
  <c r="C59" i="9"/>
  <c r="E59" i="9" l="1"/>
  <c r="T59" i="9"/>
  <c r="U59" i="9" s="1"/>
  <c r="V60" i="9"/>
  <c r="S60" i="9" s="1"/>
  <c r="J59" i="9"/>
  <c r="F59" i="9" s="1"/>
  <c r="G59" i="9" s="1"/>
  <c r="G59" i="7"/>
  <c r="F60" i="7" s="1"/>
  <c r="A61" i="9"/>
  <c r="D60" i="9"/>
  <c r="C60" i="9"/>
  <c r="R60" i="9"/>
  <c r="E60" i="9" l="1"/>
  <c r="V61" i="9"/>
  <c r="S61" i="9" s="1"/>
  <c r="J60" i="9"/>
  <c r="F60" i="9" s="1"/>
  <c r="G60" i="9" s="1"/>
  <c r="T60" i="9"/>
  <c r="U60" i="9" s="1"/>
  <c r="G60" i="7"/>
  <c r="F61" i="7" s="1"/>
  <c r="A62" i="9"/>
  <c r="R61" i="9"/>
  <c r="D61" i="9"/>
  <c r="C61" i="9"/>
  <c r="J61" i="9" l="1"/>
  <c r="F61" i="9" s="1"/>
  <c r="T61" i="9"/>
  <c r="U61" i="9" s="1"/>
  <c r="V62" i="9"/>
  <c r="S62" i="9" s="1"/>
  <c r="A63" i="9"/>
  <c r="G61" i="7"/>
  <c r="F62" i="7" s="1"/>
  <c r="E61" i="9"/>
  <c r="G61" i="9" s="1"/>
  <c r="C62" i="9"/>
  <c r="D62" i="9"/>
  <c r="R62" i="9"/>
  <c r="J62" i="9" l="1"/>
  <c r="F62" i="9" s="1"/>
  <c r="V63" i="9"/>
  <c r="S63" i="9" s="1"/>
  <c r="T62" i="9"/>
  <c r="U62" i="9" s="1"/>
  <c r="G62" i="7"/>
  <c r="F63" i="7" s="1"/>
  <c r="A64" i="9"/>
  <c r="E62" i="9"/>
  <c r="G62" i="9" s="1"/>
  <c r="C63" i="9"/>
  <c r="D63" i="9"/>
  <c r="R63" i="9"/>
  <c r="V64" i="9" l="1"/>
  <c r="S64" i="9" s="1"/>
  <c r="E63" i="9"/>
  <c r="T63" i="9"/>
  <c r="U63" i="9" s="1"/>
  <c r="J63" i="9"/>
  <c r="F63" i="9" s="1"/>
  <c r="A65" i="9"/>
  <c r="G63" i="7"/>
  <c r="F64" i="7" s="1"/>
  <c r="C64" i="9"/>
  <c r="D64" i="9"/>
  <c r="R64" i="9"/>
  <c r="G63" i="9" l="1"/>
  <c r="J64" i="9"/>
  <c r="F64" i="9" s="1"/>
  <c r="V65" i="9"/>
  <c r="S65" i="9" s="1"/>
  <c r="T64" i="9"/>
  <c r="U64" i="9" s="1"/>
  <c r="G64" i="7"/>
  <c r="F65" i="7" s="1"/>
  <c r="E64" i="9"/>
  <c r="G64" i="9" s="1"/>
  <c r="A66" i="9"/>
  <c r="R65" i="9"/>
  <c r="C65" i="9"/>
  <c r="D65" i="9"/>
  <c r="T65" i="9" l="1"/>
  <c r="U65" i="9" s="1"/>
  <c r="E65" i="9"/>
  <c r="V66" i="9"/>
  <c r="S66" i="9" s="1"/>
  <c r="J65" i="9"/>
  <c r="F65" i="9" s="1"/>
  <c r="G65" i="9" s="1"/>
  <c r="G65" i="7"/>
  <c r="F66" i="7" s="1"/>
  <c r="A67" i="9"/>
  <c r="C66" i="9"/>
  <c r="R66" i="9"/>
  <c r="D66" i="9"/>
  <c r="J66" i="9" l="1"/>
  <c r="F66" i="9" s="1"/>
  <c r="G66" i="9" s="1"/>
  <c r="E66" i="9"/>
  <c r="V67" i="9"/>
  <c r="S67" i="9" s="1"/>
  <c r="T66" i="9"/>
  <c r="U66" i="9" s="1"/>
  <c r="G66" i="7"/>
  <c r="F67" i="7" s="1"/>
  <c r="A68" i="9"/>
  <c r="D67" i="9"/>
  <c r="C67" i="9"/>
  <c r="R67" i="9"/>
  <c r="J67" i="9" l="1"/>
  <c r="F67" i="9" s="1"/>
  <c r="E67" i="9"/>
  <c r="V68" i="9"/>
  <c r="S68" i="9" s="1"/>
  <c r="T67" i="9"/>
  <c r="U67" i="9" s="1"/>
  <c r="G67" i="7"/>
  <c r="F68" i="7" s="1"/>
  <c r="A69" i="9"/>
  <c r="C68" i="9"/>
  <c r="D68" i="9"/>
  <c r="R68" i="9"/>
  <c r="G67" i="9" l="1"/>
  <c r="V69" i="9"/>
  <c r="S69" i="9" s="1"/>
  <c r="E68" i="9"/>
  <c r="J68" i="9"/>
  <c r="F68" i="9" s="1"/>
  <c r="G68" i="9" s="1"/>
  <c r="T68" i="9"/>
  <c r="U68" i="9" s="1"/>
  <c r="G68" i="7"/>
  <c r="F69" i="7" s="1"/>
  <c r="A70" i="9"/>
  <c r="D69" i="9"/>
  <c r="R69" i="9"/>
  <c r="C69" i="9"/>
  <c r="T69" i="9" l="1"/>
  <c r="U69" i="9" s="1"/>
  <c r="J69" i="9"/>
  <c r="F69" i="9" s="1"/>
  <c r="V70" i="9"/>
  <c r="S70" i="9" s="1"/>
  <c r="G69" i="7"/>
  <c r="F70" i="7" s="1"/>
  <c r="A71" i="9"/>
  <c r="E69" i="9"/>
  <c r="D70" i="9"/>
  <c r="C70" i="9"/>
  <c r="R70" i="9"/>
  <c r="G69" i="9" l="1"/>
  <c r="V71" i="9"/>
  <c r="S71" i="9" s="1"/>
  <c r="J70" i="9"/>
  <c r="F70" i="9" s="1"/>
  <c r="T70" i="9"/>
  <c r="U70" i="9" s="1"/>
  <c r="A72" i="9"/>
  <c r="G70" i="7"/>
  <c r="F71" i="7" s="1"/>
  <c r="E70" i="9"/>
  <c r="D71" i="9"/>
  <c r="R71" i="9"/>
  <c r="C71" i="9"/>
  <c r="G70" i="9" l="1"/>
  <c r="T71" i="9"/>
  <c r="U71" i="9" s="1"/>
  <c r="J71" i="9"/>
  <c r="F71" i="9" s="1"/>
  <c r="V72" i="9"/>
  <c r="S72" i="9" s="1"/>
  <c r="G71" i="7"/>
  <c r="F72" i="7" s="1"/>
  <c r="A73" i="9"/>
  <c r="E71" i="9"/>
  <c r="D72" i="9"/>
  <c r="C72" i="9"/>
  <c r="R72" i="9"/>
  <c r="G71" i="9" l="1"/>
  <c r="J72" i="9"/>
  <c r="F72" i="9" s="1"/>
  <c r="V73" i="9"/>
  <c r="S73" i="9" s="1"/>
  <c r="T72" i="9"/>
  <c r="U72" i="9" s="1"/>
  <c r="G72" i="7"/>
  <c r="F73" i="7" s="1"/>
  <c r="E72" i="9"/>
  <c r="G72" i="9" s="1"/>
  <c r="A74" i="9"/>
  <c r="C73" i="9"/>
  <c r="R73" i="9"/>
  <c r="D73" i="9"/>
  <c r="T73" i="9" l="1"/>
  <c r="U73" i="9" s="1"/>
  <c r="E73" i="9"/>
  <c r="V74" i="9"/>
  <c r="S74" i="9" s="1"/>
  <c r="J73" i="9"/>
  <c r="F73" i="9" s="1"/>
  <c r="G73" i="7"/>
  <c r="F74" i="7" s="1"/>
  <c r="A75" i="9"/>
  <c r="G73" i="9"/>
  <c r="R74" i="9"/>
  <c r="D74" i="9"/>
  <c r="C74" i="9"/>
  <c r="V75" i="9" l="1"/>
  <c r="S75" i="9" s="1"/>
  <c r="J74" i="9"/>
  <c r="F74" i="9" s="1"/>
  <c r="T74" i="9"/>
  <c r="U74" i="9" s="1"/>
  <c r="E74" i="9"/>
  <c r="A76" i="9"/>
  <c r="G74" i="7"/>
  <c r="F75" i="7" s="1"/>
  <c r="C75" i="9"/>
  <c r="R75" i="9"/>
  <c r="D75" i="9"/>
  <c r="G74" i="9" l="1"/>
  <c r="T75" i="9"/>
  <c r="U75" i="9" s="1"/>
  <c r="V76" i="9"/>
  <c r="S76" i="9" s="1"/>
  <c r="J75" i="9"/>
  <c r="F75" i="9" s="1"/>
  <c r="E75" i="9"/>
  <c r="G75" i="7"/>
  <c r="F76" i="7" s="1"/>
  <c r="A77" i="9"/>
  <c r="D76" i="9"/>
  <c r="C76" i="9"/>
  <c r="R76" i="9"/>
  <c r="J76" i="9" l="1"/>
  <c r="F76" i="9" s="1"/>
  <c r="V77" i="9"/>
  <c r="S77" i="9" s="1"/>
  <c r="T76" i="9"/>
  <c r="U76" i="9" s="1"/>
  <c r="E76" i="9"/>
  <c r="G75" i="9"/>
  <c r="G76" i="7"/>
  <c r="F77" i="7" s="1"/>
  <c r="A78" i="9"/>
  <c r="G76" i="9"/>
  <c r="R77" i="9"/>
  <c r="D77" i="9"/>
  <c r="C77" i="9"/>
  <c r="E77" i="9" l="1"/>
  <c r="V78" i="9"/>
  <c r="S78" i="9" s="1"/>
  <c r="J77" i="9"/>
  <c r="F77" i="9" s="1"/>
  <c r="G77" i="9" s="1"/>
  <c r="T77" i="9"/>
  <c r="U77" i="9" s="1"/>
  <c r="G77" i="7"/>
  <c r="F78" i="7" s="1"/>
  <c r="A79" i="9"/>
  <c r="D78" i="9"/>
  <c r="C78" i="9"/>
  <c r="R78" i="9"/>
  <c r="E78" i="9" l="1"/>
  <c r="J78" i="9"/>
  <c r="F78" i="9" s="1"/>
  <c r="V79" i="9"/>
  <c r="S79" i="9" s="1"/>
  <c r="T78" i="9"/>
  <c r="U78" i="9" s="1"/>
  <c r="G78" i="7"/>
  <c r="F79" i="7" s="1"/>
  <c r="A80" i="9"/>
  <c r="G78" i="9"/>
  <c r="C79" i="9"/>
  <c r="D79" i="9"/>
  <c r="R79" i="9"/>
  <c r="V80" i="9" l="1"/>
  <c r="S80" i="9" s="1"/>
  <c r="J79" i="9"/>
  <c r="F79" i="9" s="1"/>
  <c r="T79" i="9"/>
  <c r="U79" i="9" s="1"/>
  <c r="A81" i="9"/>
  <c r="G79" i="7"/>
  <c r="F80" i="7" s="1"/>
  <c r="E79" i="9"/>
  <c r="D80" i="9"/>
  <c r="R80" i="9"/>
  <c r="C80" i="9"/>
  <c r="G79" i="9" l="1"/>
  <c r="J80" i="9"/>
  <c r="F80" i="9" s="1"/>
  <c r="V81" i="9"/>
  <c r="S81" i="9" s="1"/>
  <c r="T80" i="9"/>
  <c r="U80" i="9" s="1"/>
  <c r="G80" i="7"/>
  <c r="F81" i="7" s="1"/>
  <c r="E80" i="9"/>
  <c r="A82" i="9"/>
  <c r="C81" i="9"/>
  <c r="R81" i="9"/>
  <c r="D81" i="9"/>
  <c r="G80" i="9" l="1"/>
  <c r="V82" i="9"/>
  <c r="S82" i="9" s="1"/>
  <c r="J81" i="9"/>
  <c r="F81" i="9" s="1"/>
  <c r="T81" i="9"/>
  <c r="U81" i="9" s="1"/>
  <c r="G81" i="7"/>
  <c r="F82" i="7" s="1"/>
  <c r="E81" i="9"/>
  <c r="A83" i="9"/>
  <c r="R82" i="9"/>
  <c r="D82" i="9"/>
  <c r="C82" i="9"/>
  <c r="J82" i="9" l="1"/>
  <c r="F82" i="9" s="1"/>
  <c r="T82" i="9"/>
  <c r="U82" i="9" s="1"/>
  <c r="V83" i="9"/>
  <c r="S83" i="9" s="1"/>
  <c r="E82" i="9"/>
  <c r="G81" i="9"/>
  <c r="G82" i="7"/>
  <c r="F83" i="7" s="1"/>
  <c r="G82" i="9"/>
  <c r="A84" i="9"/>
  <c r="D83" i="9"/>
  <c r="R83" i="9"/>
  <c r="C83" i="9"/>
  <c r="V84" i="9" l="1"/>
  <c r="S84" i="9" s="1"/>
  <c r="T83" i="9"/>
  <c r="U83" i="9" s="1"/>
  <c r="J83" i="9"/>
  <c r="F83" i="9" s="1"/>
  <c r="G83" i="7"/>
  <c r="F84" i="7" s="1"/>
  <c r="A85" i="9"/>
  <c r="E83" i="9"/>
  <c r="D84" i="9"/>
  <c r="C84" i="9"/>
  <c r="R84" i="9"/>
  <c r="E84" i="9" l="1"/>
  <c r="J84" i="9"/>
  <c r="F84" i="9" s="1"/>
  <c r="T84" i="9"/>
  <c r="U84" i="9" s="1"/>
  <c r="V85" i="9"/>
  <c r="S85" i="9" s="1"/>
  <c r="G83" i="9"/>
  <c r="G84" i="7"/>
  <c r="F85" i="7" s="1"/>
  <c r="A86" i="9"/>
  <c r="G84" i="9"/>
  <c r="R85" i="9"/>
  <c r="D85" i="9"/>
  <c r="C85" i="9"/>
  <c r="V86" i="9" l="1"/>
  <c r="S86" i="9" s="1"/>
  <c r="J85" i="9"/>
  <c r="F85" i="9" s="1"/>
  <c r="T85" i="9"/>
  <c r="U85" i="9" s="1"/>
  <c r="G85" i="7"/>
  <c r="F86" i="7" s="1"/>
  <c r="E85" i="9"/>
  <c r="A87" i="9"/>
  <c r="R86" i="9"/>
  <c r="C86" i="9"/>
  <c r="D86" i="9"/>
  <c r="T86" i="9" l="1"/>
  <c r="U86" i="9" s="1"/>
  <c r="V87" i="9"/>
  <c r="S87" i="9" s="1"/>
  <c r="J86" i="9"/>
  <c r="F86" i="9" s="1"/>
  <c r="G85" i="9"/>
  <c r="G86" i="7"/>
  <c r="F87" i="7" s="1"/>
  <c r="A88" i="9"/>
  <c r="E86" i="9"/>
  <c r="D87" i="9"/>
  <c r="R87" i="9"/>
  <c r="C87" i="9"/>
  <c r="G86" i="9" l="1"/>
  <c r="T87" i="9"/>
  <c r="U87" i="9" s="1"/>
  <c r="V88" i="9"/>
  <c r="S88" i="9" s="1"/>
  <c r="J87" i="9"/>
  <c r="F87" i="9" s="1"/>
  <c r="E87" i="9"/>
  <c r="A89" i="9"/>
  <c r="G87" i="7"/>
  <c r="F88" i="7" s="1"/>
  <c r="D88" i="9"/>
  <c r="C88" i="9"/>
  <c r="R88" i="9"/>
  <c r="G87" i="9" l="1"/>
  <c r="E88" i="9"/>
  <c r="J88" i="9"/>
  <c r="F88" i="9" s="1"/>
  <c r="G88" i="9" s="1"/>
  <c r="V89" i="9"/>
  <c r="S89" i="9" s="1"/>
  <c r="T88" i="9"/>
  <c r="U88" i="9" s="1"/>
  <c r="G88" i="7"/>
  <c r="F89" i="7" s="1"/>
  <c r="A90" i="9"/>
  <c r="D89" i="9"/>
  <c r="C89" i="9"/>
  <c r="R89" i="9"/>
  <c r="V90" i="9" l="1"/>
  <c r="S90" i="9" s="1"/>
  <c r="J89" i="9"/>
  <c r="F89" i="9" s="1"/>
  <c r="E89" i="9"/>
  <c r="T89" i="9"/>
  <c r="U89" i="9" s="1"/>
  <c r="G89" i="7"/>
  <c r="F90" i="7" s="1"/>
  <c r="A91" i="9"/>
  <c r="D90" i="9"/>
  <c r="C90" i="9"/>
  <c r="R90" i="9"/>
  <c r="J90" i="9" l="1"/>
  <c r="F90" i="9" s="1"/>
  <c r="V91" i="9"/>
  <c r="S91" i="9" s="1"/>
  <c r="T90" i="9"/>
  <c r="U90" i="9" s="1"/>
  <c r="G89" i="9"/>
  <c r="G90" i="7"/>
  <c r="F91" i="7" s="1"/>
  <c r="A92" i="9"/>
  <c r="E90" i="9"/>
  <c r="C91" i="9"/>
  <c r="D91" i="9"/>
  <c r="R91" i="9"/>
  <c r="G90" i="9" l="1"/>
  <c r="E91" i="9"/>
  <c r="V92" i="9"/>
  <c r="S92" i="9" s="1"/>
  <c r="T91" i="9"/>
  <c r="U91" i="9" s="1"/>
  <c r="J91" i="9"/>
  <c r="F91" i="9" s="1"/>
  <c r="G91" i="9" s="1"/>
  <c r="A93" i="9"/>
  <c r="G91" i="7"/>
  <c r="F92" i="7" s="1"/>
  <c r="R92" i="9"/>
  <c r="D92" i="9"/>
  <c r="C92" i="9"/>
  <c r="E92" i="9" l="1"/>
  <c r="V93" i="9"/>
  <c r="S93" i="9" s="1"/>
  <c r="J92" i="9"/>
  <c r="F92" i="9" s="1"/>
  <c r="G92" i="9" s="1"/>
  <c r="T92" i="9"/>
  <c r="U92" i="9" s="1"/>
  <c r="G92" i="7"/>
  <c r="F93" i="7" s="1"/>
  <c r="A94" i="9"/>
  <c r="R93" i="9"/>
  <c r="C93" i="9"/>
  <c r="D93" i="9"/>
  <c r="T93" i="9" l="1"/>
  <c r="U93" i="9" s="1"/>
  <c r="V94" i="9"/>
  <c r="S94" i="9" s="1"/>
  <c r="J93" i="9"/>
  <c r="F93" i="9" s="1"/>
  <c r="E93" i="9"/>
  <c r="A95" i="9"/>
  <c r="G93" i="7"/>
  <c r="F94" i="7" s="1"/>
  <c r="D94" i="9"/>
  <c r="R94" i="9"/>
  <c r="C94" i="9"/>
  <c r="G93" i="9" l="1"/>
  <c r="V95" i="9"/>
  <c r="S95" i="9" s="1"/>
  <c r="E94" i="9"/>
  <c r="J94" i="9"/>
  <c r="F94" i="9" s="1"/>
  <c r="G94" i="9" s="1"/>
  <c r="T94" i="9"/>
  <c r="U94" i="9" s="1"/>
  <c r="G94" i="7"/>
  <c r="F95" i="7" s="1"/>
  <c r="A96" i="9"/>
  <c r="D95" i="9"/>
  <c r="R95" i="9"/>
  <c r="C95" i="9"/>
  <c r="T95" i="9" l="1"/>
  <c r="U95" i="9" s="1"/>
  <c r="J95" i="9"/>
  <c r="F95" i="9" s="1"/>
  <c r="V96" i="9"/>
  <c r="S96" i="9" s="1"/>
  <c r="E95" i="9"/>
  <c r="A97" i="9"/>
  <c r="G95" i="7"/>
  <c r="F96" i="7" s="1"/>
  <c r="C96" i="9"/>
  <c r="D96" i="9"/>
  <c r="R96" i="9"/>
  <c r="G95" i="9" l="1"/>
  <c r="V97" i="9"/>
  <c r="S97" i="9" s="1"/>
  <c r="T96" i="9"/>
  <c r="U96" i="9" s="1"/>
  <c r="J96" i="9"/>
  <c r="F96" i="9" s="1"/>
  <c r="G96" i="7"/>
  <c r="F97" i="7" s="1"/>
  <c r="A98" i="9"/>
  <c r="E96" i="9"/>
  <c r="G96" i="9" s="1"/>
  <c r="R97" i="9"/>
  <c r="D97" i="9"/>
  <c r="C97" i="9"/>
  <c r="E97" i="9" l="1"/>
  <c r="J97" i="9"/>
  <c r="F97" i="9" s="1"/>
  <c r="G97" i="9" s="1"/>
  <c r="T97" i="9"/>
  <c r="U97" i="9" s="1"/>
  <c r="V98" i="9"/>
  <c r="S98" i="9" s="1"/>
  <c r="A99" i="9"/>
  <c r="G97" i="7"/>
  <c r="F98" i="7" s="1"/>
  <c r="C98" i="9"/>
  <c r="R98" i="9"/>
  <c r="D98" i="9"/>
  <c r="T98" i="9" l="1"/>
  <c r="U98" i="9" s="1"/>
  <c r="V99" i="9"/>
  <c r="S99" i="9" s="1"/>
  <c r="J98" i="9"/>
  <c r="F98" i="9" s="1"/>
  <c r="G98" i="7"/>
  <c r="F99" i="7" s="1"/>
  <c r="A100" i="9"/>
  <c r="E98" i="9"/>
  <c r="C99" i="9"/>
  <c r="R99" i="9"/>
  <c r="D99" i="9"/>
  <c r="V100" i="9" l="1"/>
  <c r="S100" i="9" s="1"/>
  <c r="J99" i="9"/>
  <c r="F99" i="9" s="1"/>
  <c r="T99" i="9"/>
  <c r="U99" i="9" s="1"/>
  <c r="G98" i="9"/>
  <c r="A101" i="9"/>
  <c r="G99" i="7"/>
  <c r="F100" i="7" s="1"/>
  <c r="E99" i="9"/>
  <c r="R100" i="9"/>
  <c r="C100" i="9"/>
  <c r="D100" i="9"/>
  <c r="J100" i="9" l="1"/>
  <c r="F100" i="9" s="1"/>
  <c r="T100" i="9"/>
  <c r="U100" i="9" s="1"/>
  <c r="V101" i="9"/>
  <c r="S101" i="9" s="1"/>
  <c r="G99" i="9"/>
  <c r="G100" i="7"/>
  <c r="F101" i="7" s="1"/>
  <c r="A102" i="9"/>
  <c r="E100" i="9"/>
  <c r="R101" i="9"/>
  <c r="D101" i="9"/>
  <c r="C101" i="9"/>
  <c r="G100" i="9" l="1"/>
  <c r="V102" i="9"/>
  <c r="S102" i="9" s="1"/>
  <c r="J101" i="9"/>
  <c r="F101" i="9" s="1"/>
  <c r="T101" i="9"/>
  <c r="U101" i="9" s="1"/>
  <c r="E101" i="9"/>
  <c r="A103" i="9"/>
  <c r="G101" i="7"/>
  <c r="F102" i="7" s="1"/>
  <c r="C102" i="9"/>
  <c r="D102" i="9"/>
  <c r="R102" i="9"/>
  <c r="G101" i="9" l="1"/>
  <c r="T102" i="9"/>
  <c r="U102" i="9" s="1"/>
  <c r="V103" i="9"/>
  <c r="S103" i="9" s="1"/>
  <c r="J102" i="9"/>
  <c r="F102" i="9" s="1"/>
  <c r="G102" i="7"/>
  <c r="F103" i="7" s="1"/>
  <c r="A104" i="9"/>
  <c r="E102" i="9"/>
  <c r="R103" i="9"/>
  <c r="C103" i="9"/>
  <c r="D103" i="9"/>
  <c r="T103" i="9" l="1"/>
  <c r="U103" i="9" s="1"/>
  <c r="V104" i="9"/>
  <c r="S104" i="9" s="1"/>
  <c r="J103" i="9"/>
  <c r="F103" i="9" s="1"/>
  <c r="G102" i="9"/>
  <c r="G103" i="7"/>
  <c r="F104" i="7" s="1"/>
  <c r="A105" i="9"/>
  <c r="E103" i="9"/>
  <c r="D104" i="9"/>
  <c r="C104" i="9"/>
  <c r="R104" i="9"/>
  <c r="J104" i="9" l="1"/>
  <c r="F104" i="9" s="1"/>
  <c r="T104" i="9"/>
  <c r="U104" i="9" s="1"/>
  <c r="V105" i="9"/>
  <c r="S105" i="9" s="1"/>
  <c r="E104" i="9"/>
  <c r="G103" i="9"/>
  <c r="G104" i="7"/>
  <c r="F105" i="7" s="1"/>
  <c r="A106" i="9"/>
  <c r="R105" i="9"/>
  <c r="D105" i="9"/>
  <c r="C105" i="9"/>
  <c r="G104" i="9" l="1"/>
  <c r="V106" i="9"/>
  <c r="S106" i="9" s="1"/>
  <c r="J105" i="9"/>
  <c r="F105" i="9" s="1"/>
  <c r="T105" i="9"/>
  <c r="U105" i="9" s="1"/>
  <c r="E105" i="9"/>
  <c r="G105" i="7"/>
  <c r="F106" i="7" s="1"/>
  <c r="A107" i="9"/>
  <c r="D106" i="9"/>
  <c r="R106" i="9"/>
  <c r="C106" i="9"/>
  <c r="G105" i="9" l="1"/>
  <c r="J106" i="9"/>
  <c r="F106" i="9" s="1"/>
  <c r="V107" i="9"/>
  <c r="S107" i="9" s="1"/>
  <c r="T106" i="9"/>
  <c r="U106" i="9" s="1"/>
  <c r="E106" i="9"/>
  <c r="G106" i="7"/>
  <c r="F107" i="7" s="1"/>
  <c r="A108" i="9"/>
  <c r="G106" i="9"/>
  <c r="R107" i="9"/>
  <c r="D107" i="9"/>
  <c r="C107" i="9"/>
  <c r="J107" i="9" l="1"/>
  <c r="F107" i="9" s="1"/>
  <c r="V108" i="9"/>
  <c r="S108" i="9" s="1"/>
  <c r="T107" i="9"/>
  <c r="U107" i="9" s="1"/>
  <c r="E107" i="9"/>
  <c r="A109" i="9"/>
  <c r="G107" i="7"/>
  <c r="F108" i="7" s="1"/>
  <c r="D108" i="9"/>
  <c r="C108" i="9"/>
  <c r="R108" i="9"/>
  <c r="E108" i="9" l="1"/>
  <c r="J108" i="9"/>
  <c r="F108" i="9" s="1"/>
  <c r="G108" i="9" s="1"/>
  <c r="V109" i="9"/>
  <c r="S109" i="9" s="1"/>
  <c r="T108" i="9"/>
  <c r="U108" i="9" s="1"/>
  <c r="G107" i="9"/>
  <c r="G108" i="7"/>
  <c r="F109" i="7" s="1"/>
  <c r="A110" i="9"/>
  <c r="D109" i="9"/>
  <c r="R109" i="9"/>
  <c r="C109" i="9"/>
  <c r="J109" i="9" l="1"/>
  <c r="F109" i="9" s="1"/>
  <c r="T109" i="9"/>
  <c r="U109" i="9" s="1"/>
  <c r="V110" i="9"/>
  <c r="S110" i="9" s="1"/>
  <c r="E109" i="9"/>
  <c r="A111" i="9"/>
  <c r="G109" i="9"/>
  <c r="G109" i="7"/>
  <c r="F110" i="7" s="1"/>
  <c r="R110" i="9"/>
  <c r="D110" i="9"/>
  <c r="C110" i="9"/>
  <c r="E110" i="9" l="1"/>
  <c r="J110" i="9"/>
  <c r="F110" i="9" s="1"/>
  <c r="G110" i="9" s="1"/>
  <c r="T110" i="9"/>
  <c r="U110" i="9" s="1"/>
  <c r="V111" i="9"/>
  <c r="S111" i="9" s="1"/>
  <c r="G110" i="7"/>
  <c r="F111" i="7" s="1"/>
  <c r="A112" i="9"/>
  <c r="R111" i="9"/>
  <c r="C111" i="9"/>
  <c r="D111" i="9"/>
  <c r="E111" i="9" l="1"/>
  <c r="T111" i="9"/>
  <c r="U111" i="9" s="1"/>
  <c r="J111" i="9"/>
  <c r="F111" i="9" s="1"/>
  <c r="V112" i="9"/>
  <c r="S112" i="9" s="1"/>
  <c r="G111" i="7"/>
  <c r="F112" i="7" s="1"/>
  <c r="A113" i="9"/>
  <c r="R112" i="9"/>
  <c r="D112" i="9"/>
  <c r="C112" i="9"/>
  <c r="G111" i="9" l="1"/>
  <c r="T112" i="9"/>
  <c r="U112" i="9" s="1"/>
  <c r="V113" i="9"/>
  <c r="S113" i="9" s="1"/>
  <c r="J112" i="9"/>
  <c r="F112" i="9" s="1"/>
  <c r="G112" i="7"/>
  <c r="F1" i="7"/>
  <c r="F3" i="7" s="1"/>
  <c r="E112" i="9"/>
  <c r="A114" i="9"/>
  <c r="C113" i="9"/>
  <c r="D113" i="9"/>
  <c r="R113" i="9"/>
  <c r="V114" i="9" l="1"/>
  <c r="S114" i="9" s="1"/>
  <c r="J113" i="9"/>
  <c r="F113" i="9" s="1"/>
  <c r="E113" i="9"/>
  <c r="T113" i="9"/>
  <c r="U113" i="9" s="1"/>
  <c r="G112" i="9"/>
  <c r="A115" i="9"/>
  <c r="D114" i="9"/>
  <c r="C114" i="9"/>
  <c r="R114" i="9"/>
  <c r="G113" i="9" l="1"/>
  <c r="J114" i="9"/>
  <c r="F114" i="9" s="1"/>
  <c r="T114" i="9"/>
  <c r="U114" i="9" s="1"/>
  <c r="V115" i="9"/>
  <c r="S115" i="9" s="1"/>
  <c r="E114" i="9"/>
  <c r="G114" i="9" s="1"/>
  <c r="A116" i="9"/>
  <c r="R115" i="9"/>
  <c r="D115" i="9"/>
  <c r="C115" i="9"/>
  <c r="T115" i="9" l="1"/>
  <c r="U115" i="9" s="1"/>
  <c r="V116" i="9"/>
  <c r="S116" i="9" s="1"/>
  <c r="J115" i="9"/>
  <c r="F115" i="9" s="1"/>
  <c r="E115" i="9"/>
  <c r="A117" i="9"/>
  <c r="R116" i="9"/>
  <c r="C116" i="9"/>
  <c r="D116" i="9"/>
  <c r="T116" i="9" l="1"/>
  <c r="U116" i="9" s="1"/>
  <c r="J116" i="9"/>
  <c r="F116" i="9" s="1"/>
  <c r="V117" i="9"/>
  <c r="S117" i="9" s="1"/>
  <c r="G115" i="9"/>
  <c r="A118" i="9"/>
  <c r="E116" i="9"/>
  <c r="C117" i="9"/>
  <c r="R117" i="9"/>
  <c r="D117" i="9"/>
  <c r="J117" i="9" l="1"/>
  <c r="F117" i="9" s="1"/>
  <c r="V118" i="9"/>
  <c r="S118" i="9" s="1"/>
  <c r="T117" i="9"/>
  <c r="U117" i="9" s="1"/>
  <c r="G116" i="9"/>
  <c r="E117" i="9"/>
  <c r="G117" i="9" s="1"/>
  <c r="A119" i="9"/>
  <c r="R118" i="9"/>
  <c r="D118" i="9"/>
  <c r="C118" i="9"/>
  <c r="J118" i="9" l="1"/>
  <c r="F118" i="9" s="1"/>
  <c r="T118" i="9"/>
  <c r="U118" i="9" s="1"/>
  <c r="V119" i="9"/>
  <c r="S119" i="9" s="1"/>
  <c r="E118" i="9"/>
  <c r="G118" i="9" s="1"/>
  <c r="A120" i="9"/>
  <c r="R119" i="9"/>
  <c r="D119" i="9"/>
  <c r="C119" i="9"/>
  <c r="J119" i="9" l="1"/>
  <c r="F119" i="9" s="1"/>
  <c r="T119" i="9"/>
  <c r="U119" i="9" s="1"/>
  <c r="V120" i="9"/>
  <c r="S120" i="9" s="1"/>
  <c r="A121" i="9"/>
  <c r="E119" i="9"/>
  <c r="G119" i="9" s="1"/>
  <c r="D120" i="9"/>
  <c r="R120" i="9"/>
  <c r="C120" i="9"/>
  <c r="J120" i="9" l="1"/>
  <c r="F120" i="9" s="1"/>
  <c r="T120" i="9"/>
  <c r="U120" i="9" s="1"/>
  <c r="V121" i="9"/>
  <c r="S121" i="9" s="1"/>
  <c r="E120" i="9"/>
  <c r="A122" i="9"/>
  <c r="D121" i="9"/>
  <c r="C121" i="9"/>
  <c r="R121" i="9"/>
  <c r="G120" i="9" l="1"/>
  <c r="T121" i="9"/>
  <c r="U121" i="9" s="1"/>
  <c r="V122" i="9"/>
  <c r="S122" i="9" s="1"/>
  <c r="J121" i="9"/>
  <c r="F121" i="9" s="1"/>
  <c r="E121" i="9"/>
  <c r="A123" i="9"/>
  <c r="C122" i="9"/>
  <c r="D122" i="9"/>
  <c r="R122" i="9"/>
  <c r="G121" i="9" l="1"/>
  <c r="V123" i="9"/>
  <c r="S123" i="9" s="1"/>
  <c r="T122" i="9"/>
  <c r="U122" i="9" s="1"/>
  <c r="J122" i="9"/>
  <c r="F122" i="9" s="1"/>
  <c r="E122" i="9"/>
  <c r="A124" i="9"/>
  <c r="D123" i="9"/>
  <c r="R123" i="9"/>
  <c r="C123" i="9"/>
  <c r="J123" i="9" l="1"/>
  <c r="F123" i="9" s="1"/>
  <c r="T123" i="9"/>
  <c r="U123" i="9" s="1"/>
  <c r="V124" i="9"/>
  <c r="S124" i="9" s="1"/>
  <c r="G122" i="9"/>
  <c r="E123" i="9"/>
  <c r="G123" i="9" s="1"/>
  <c r="A125" i="9"/>
  <c r="D124" i="9"/>
  <c r="R124" i="9"/>
  <c r="C124" i="9"/>
  <c r="T124" i="9" l="1"/>
  <c r="U124" i="9" s="1"/>
  <c r="J124" i="9"/>
  <c r="F124" i="9" s="1"/>
  <c r="V125" i="9"/>
  <c r="S125" i="9" s="1"/>
  <c r="A126" i="9"/>
  <c r="E124" i="9"/>
  <c r="C125" i="9"/>
  <c r="R125" i="9"/>
  <c r="D125" i="9"/>
  <c r="V126" i="9" l="1"/>
  <c r="S126" i="9" s="1"/>
  <c r="J125" i="9"/>
  <c r="F125" i="9" s="1"/>
  <c r="T125" i="9"/>
  <c r="U125" i="9" s="1"/>
  <c r="G124" i="9"/>
  <c r="A127" i="9"/>
  <c r="E125" i="9"/>
  <c r="C126" i="9"/>
  <c r="R126" i="9"/>
  <c r="D126" i="9"/>
  <c r="G125" i="9" l="1"/>
  <c r="T126" i="9"/>
  <c r="U126" i="9" s="1"/>
  <c r="J126" i="9"/>
  <c r="F126" i="9" s="1"/>
  <c r="V127" i="9"/>
  <c r="S127" i="9" s="1"/>
  <c r="A128" i="9"/>
  <c r="E126" i="9"/>
  <c r="R127" i="9"/>
  <c r="C127" i="9"/>
  <c r="D127" i="9"/>
  <c r="G126" i="9" l="1"/>
  <c r="V128" i="9"/>
  <c r="S128" i="9" s="1"/>
  <c r="T127" i="9"/>
  <c r="U127" i="9" s="1"/>
  <c r="J127" i="9"/>
  <c r="F127" i="9" s="1"/>
  <c r="A129" i="9"/>
  <c r="E127" i="9"/>
  <c r="R128" i="9"/>
  <c r="D128" i="9"/>
  <c r="C128" i="9"/>
  <c r="T128" i="9" l="1"/>
  <c r="U128" i="9" s="1"/>
  <c r="J128" i="9"/>
  <c r="F128" i="9" s="1"/>
  <c r="V129" i="9"/>
  <c r="S129" i="9" s="1"/>
  <c r="G127" i="9"/>
  <c r="E128" i="9"/>
  <c r="A130" i="9"/>
  <c r="D129" i="9"/>
  <c r="C129" i="9"/>
  <c r="R129" i="9"/>
  <c r="G128" i="9" l="1"/>
  <c r="V130" i="9"/>
  <c r="S130" i="9" s="1"/>
  <c r="J129" i="9"/>
  <c r="F129" i="9" s="1"/>
  <c r="T129" i="9"/>
  <c r="U129" i="9" s="1"/>
  <c r="E129" i="9"/>
  <c r="G129" i="9" s="1"/>
  <c r="A131" i="9"/>
  <c r="R130" i="9"/>
  <c r="D130" i="9"/>
  <c r="C130" i="9"/>
  <c r="J130" i="9" l="1"/>
  <c r="F130" i="9" s="1"/>
  <c r="T130" i="9"/>
  <c r="U130" i="9" s="1"/>
  <c r="V131" i="9"/>
  <c r="S131" i="9" s="1"/>
  <c r="E130" i="9"/>
  <c r="G130" i="9" s="1"/>
  <c r="A132" i="9"/>
  <c r="C131" i="9"/>
  <c r="R131" i="9"/>
  <c r="D131" i="9"/>
  <c r="V132" i="9" l="1"/>
  <c r="S132" i="9" s="1"/>
  <c r="J131" i="9"/>
  <c r="F131" i="9" s="1"/>
  <c r="E131" i="9"/>
  <c r="T131" i="9"/>
  <c r="U131" i="9" s="1"/>
  <c r="A133" i="9"/>
  <c r="C132" i="9"/>
  <c r="R132" i="9"/>
  <c r="D132" i="9"/>
  <c r="G131" i="9" l="1"/>
  <c r="T132" i="9"/>
  <c r="U132" i="9" s="1"/>
  <c r="J132" i="9"/>
  <c r="F132" i="9" s="1"/>
  <c r="V133" i="9"/>
  <c r="S133" i="9" s="1"/>
  <c r="E132" i="9"/>
  <c r="A134" i="9"/>
  <c r="D133" i="9"/>
  <c r="C133" i="9"/>
  <c r="R133" i="9"/>
  <c r="V134" i="9" l="1"/>
  <c r="S134" i="9" s="1"/>
  <c r="J133" i="9"/>
  <c r="F133" i="9" s="1"/>
  <c r="T133" i="9"/>
  <c r="U133" i="9" s="1"/>
  <c r="G132" i="9"/>
  <c r="A135" i="9"/>
  <c r="E133" i="9"/>
  <c r="D134" i="9"/>
  <c r="R134" i="9"/>
  <c r="C134" i="9"/>
  <c r="G133" i="9" l="1"/>
  <c r="T134" i="9"/>
  <c r="U134" i="9" s="1"/>
  <c r="J134" i="9"/>
  <c r="F134" i="9" s="1"/>
  <c r="V135" i="9"/>
  <c r="S135" i="9" s="1"/>
  <c r="A136" i="9"/>
  <c r="E134" i="9"/>
  <c r="R135" i="9"/>
  <c r="D135" i="9"/>
  <c r="C135" i="9"/>
  <c r="G134" i="9" l="1"/>
  <c r="T135" i="9"/>
  <c r="U135" i="9" s="1"/>
  <c r="V136" i="9"/>
  <c r="S136" i="9" s="1"/>
  <c r="E135" i="9"/>
  <c r="J135" i="9"/>
  <c r="F135" i="9" s="1"/>
  <c r="A137" i="9"/>
  <c r="R136" i="9"/>
  <c r="D136" i="9"/>
  <c r="C136" i="9"/>
  <c r="G135" i="9" l="1"/>
  <c r="J136" i="9"/>
  <c r="F136" i="9" s="1"/>
  <c r="T136" i="9"/>
  <c r="U136" i="9" s="1"/>
  <c r="V137" i="9"/>
  <c r="S137" i="9" s="1"/>
  <c r="A138" i="9"/>
  <c r="E136" i="9"/>
  <c r="G136" i="9" s="1"/>
  <c r="D137" i="9"/>
  <c r="R137" i="9"/>
  <c r="C137" i="9"/>
  <c r="T137" i="9" l="1"/>
  <c r="U137" i="9" s="1"/>
  <c r="J137" i="9"/>
  <c r="F137" i="9" s="1"/>
  <c r="V138" i="9"/>
  <c r="S138" i="9" s="1"/>
  <c r="A139" i="9"/>
  <c r="E137" i="9"/>
  <c r="C138" i="9"/>
  <c r="R138" i="9"/>
  <c r="D138" i="9"/>
  <c r="J138" i="9" l="1"/>
  <c r="F138" i="9" s="1"/>
  <c r="T138" i="9"/>
  <c r="U138" i="9" s="1"/>
  <c r="V139" i="9"/>
  <c r="S139" i="9" s="1"/>
  <c r="G137" i="9"/>
  <c r="E138" i="9"/>
  <c r="G138" i="9" s="1"/>
  <c r="A140" i="9"/>
  <c r="D139" i="9"/>
  <c r="R139" i="9"/>
  <c r="C139" i="9"/>
  <c r="T139" i="9" l="1"/>
  <c r="U139" i="9" s="1"/>
  <c r="J139" i="9"/>
  <c r="F139" i="9" s="1"/>
  <c r="V140" i="9"/>
  <c r="S140" i="9" s="1"/>
  <c r="A141" i="9"/>
  <c r="E139" i="9"/>
  <c r="D140" i="9"/>
  <c r="C140" i="9"/>
  <c r="R140" i="9"/>
  <c r="T140" i="9" l="1"/>
  <c r="U140" i="9" s="1"/>
  <c r="J140" i="9"/>
  <c r="F140" i="9" s="1"/>
  <c r="V141" i="9"/>
  <c r="S141" i="9" s="1"/>
  <c r="E140" i="9"/>
  <c r="G139" i="9"/>
  <c r="A142" i="9"/>
  <c r="C141" i="9"/>
  <c r="R141" i="9"/>
  <c r="D141" i="9"/>
  <c r="G140" i="9" l="1"/>
  <c r="V142" i="9"/>
  <c r="S142" i="9" s="1"/>
  <c r="T141" i="9"/>
  <c r="U141" i="9" s="1"/>
  <c r="J141" i="9"/>
  <c r="F141" i="9" s="1"/>
  <c r="A143" i="9"/>
  <c r="E141" i="9"/>
  <c r="R142" i="9"/>
  <c r="D142" i="9"/>
  <c r="C142" i="9"/>
  <c r="T142" i="9" l="1"/>
  <c r="U142" i="9" s="1"/>
  <c r="J142" i="9"/>
  <c r="F142" i="9" s="1"/>
  <c r="E142" i="9"/>
  <c r="V143" i="9"/>
  <c r="S143" i="9" s="1"/>
  <c r="G141" i="9"/>
  <c r="A144" i="9"/>
  <c r="C143" i="9"/>
  <c r="D143" i="9"/>
  <c r="R143" i="9"/>
  <c r="G142" i="9" l="1"/>
  <c r="V144" i="9"/>
  <c r="S144" i="9" s="1"/>
  <c r="T143" i="9"/>
  <c r="U143" i="9" s="1"/>
  <c r="J143" i="9"/>
  <c r="F143" i="9" s="1"/>
  <c r="A145" i="9"/>
  <c r="E143" i="9"/>
  <c r="R144" i="9"/>
  <c r="D144" i="9"/>
  <c r="C144" i="9"/>
  <c r="J144" i="9" l="1"/>
  <c r="F144" i="9" s="1"/>
  <c r="T144" i="9"/>
  <c r="U144" i="9" s="1"/>
  <c r="E144" i="9"/>
  <c r="V145" i="9"/>
  <c r="S145" i="9" s="1"/>
  <c r="G143" i="9"/>
  <c r="A146" i="9"/>
  <c r="G144" i="9"/>
  <c r="D145" i="9"/>
  <c r="R145" i="9"/>
  <c r="C145" i="9"/>
  <c r="V146" i="9" l="1"/>
  <c r="S146" i="9" s="1"/>
  <c r="T145" i="9"/>
  <c r="U145" i="9" s="1"/>
  <c r="J145" i="9"/>
  <c r="F145" i="9" s="1"/>
  <c r="E145" i="9"/>
  <c r="A147" i="9"/>
  <c r="R146" i="9"/>
  <c r="C146" i="9"/>
  <c r="D146" i="9"/>
  <c r="G145" i="9" l="1"/>
  <c r="T146" i="9"/>
  <c r="U146" i="9" s="1"/>
  <c r="J146" i="9"/>
  <c r="F146" i="9" s="1"/>
  <c r="V147" i="9"/>
  <c r="S147" i="9" s="1"/>
  <c r="E146" i="9"/>
  <c r="A148" i="9"/>
  <c r="C147" i="9"/>
  <c r="R147" i="9"/>
  <c r="D147" i="9"/>
  <c r="V148" i="9" l="1"/>
  <c r="S148" i="9" s="1"/>
  <c r="T147" i="9"/>
  <c r="U147" i="9" s="1"/>
  <c r="J147" i="9"/>
  <c r="F147" i="9" s="1"/>
  <c r="G146" i="9"/>
  <c r="A149" i="9"/>
  <c r="E147" i="9"/>
  <c r="D148" i="9"/>
  <c r="C148" i="9"/>
  <c r="R148" i="9"/>
  <c r="V149" i="9" l="1"/>
  <c r="S149" i="9" s="1"/>
  <c r="J148" i="9"/>
  <c r="F148" i="9" s="1"/>
  <c r="T148" i="9"/>
  <c r="U148" i="9" s="1"/>
  <c r="G147" i="9"/>
  <c r="A150" i="9"/>
  <c r="E148" i="9"/>
  <c r="R149" i="9"/>
  <c r="C149" i="9"/>
  <c r="D149" i="9"/>
  <c r="G148" i="9" l="1"/>
  <c r="J149" i="9"/>
  <c r="F149" i="9" s="1"/>
  <c r="T149" i="9"/>
  <c r="U149" i="9" s="1"/>
  <c r="V150" i="9"/>
  <c r="S150" i="9" s="1"/>
  <c r="A151" i="9"/>
  <c r="E149" i="9"/>
  <c r="C150" i="9"/>
  <c r="R150" i="9"/>
  <c r="D150" i="9"/>
  <c r="G149" i="9" l="1"/>
  <c r="V151" i="9"/>
  <c r="S151" i="9" s="1"/>
  <c r="J150" i="9"/>
  <c r="F150" i="9" s="1"/>
  <c r="T150" i="9"/>
  <c r="U150" i="9" s="1"/>
  <c r="A152" i="9"/>
  <c r="E150" i="9"/>
  <c r="D151" i="9"/>
  <c r="R151" i="9"/>
  <c r="C151" i="9"/>
  <c r="G150" i="9" l="1"/>
  <c r="T151" i="9"/>
  <c r="U151" i="9" s="1"/>
  <c r="J151" i="9"/>
  <c r="F151" i="9" s="1"/>
  <c r="V152" i="9"/>
  <c r="S152" i="9" s="1"/>
  <c r="A153" i="9"/>
  <c r="E151" i="9"/>
  <c r="R152" i="9"/>
  <c r="D152" i="9"/>
  <c r="C152" i="9"/>
  <c r="G151" i="9" l="1"/>
  <c r="T152" i="9"/>
  <c r="U152" i="9" s="1"/>
  <c r="E152" i="9"/>
  <c r="J152" i="9"/>
  <c r="F152" i="9" s="1"/>
  <c r="V153" i="9"/>
  <c r="S153" i="9" s="1"/>
  <c r="A154" i="9"/>
  <c r="R153" i="9"/>
  <c r="D153" i="9"/>
  <c r="C153" i="9"/>
  <c r="G152" i="9" l="1"/>
  <c r="T153" i="9"/>
  <c r="U153" i="9" s="1"/>
  <c r="E153" i="9"/>
  <c r="J153" i="9"/>
  <c r="F153" i="9" s="1"/>
  <c r="G153" i="9" s="1"/>
  <c r="V154" i="9"/>
  <c r="S154" i="9" s="1"/>
  <c r="A155" i="9"/>
  <c r="C154" i="9"/>
  <c r="R154" i="9"/>
  <c r="D154" i="9"/>
  <c r="V155" i="9" l="1"/>
  <c r="S155" i="9" s="1"/>
  <c r="T154" i="9"/>
  <c r="U154" i="9" s="1"/>
  <c r="J154" i="9"/>
  <c r="F154" i="9" s="1"/>
  <c r="E154" i="9"/>
  <c r="A156" i="9"/>
  <c r="C155" i="9"/>
  <c r="R155" i="9"/>
  <c r="D155" i="9"/>
  <c r="T155" i="9" l="1"/>
  <c r="U155" i="9" s="1"/>
  <c r="J155" i="9"/>
  <c r="F155" i="9" s="1"/>
  <c r="V156" i="9"/>
  <c r="S156" i="9" s="1"/>
  <c r="G154" i="9"/>
  <c r="A157" i="9"/>
  <c r="E155" i="9"/>
  <c r="D156" i="9"/>
  <c r="R156" i="9"/>
  <c r="C156" i="9"/>
  <c r="G155" i="9" l="1"/>
  <c r="V157" i="9"/>
  <c r="S157" i="9" s="1"/>
  <c r="J156" i="9"/>
  <c r="F156" i="9" s="1"/>
  <c r="T156" i="9"/>
  <c r="U156" i="9" s="1"/>
  <c r="A158" i="9"/>
  <c r="E156" i="9"/>
  <c r="D157" i="9"/>
  <c r="C157" i="9"/>
  <c r="R157" i="9"/>
  <c r="G156" i="9" l="1"/>
  <c r="J157" i="9"/>
  <c r="F157" i="9" s="1"/>
  <c r="T157" i="9"/>
  <c r="U157" i="9" s="1"/>
  <c r="V158" i="9"/>
  <c r="S158" i="9" s="1"/>
  <c r="A159" i="9"/>
  <c r="E157" i="9"/>
  <c r="D158" i="9"/>
  <c r="R158" i="9"/>
  <c r="C158" i="9"/>
  <c r="G157" i="9" l="1"/>
  <c r="V159" i="9"/>
  <c r="S159" i="9" s="1"/>
  <c r="J158" i="9"/>
  <c r="F158" i="9" s="1"/>
  <c r="E158" i="9"/>
  <c r="T158" i="9"/>
  <c r="U158" i="9" s="1"/>
  <c r="A160" i="9"/>
  <c r="D159" i="9"/>
  <c r="R159" i="9"/>
  <c r="C159" i="9"/>
  <c r="J159" i="9" l="1"/>
  <c r="F159" i="9" s="1"/>
  <c r="T159" i="9"/>
  <c r="U159" i="9" s="1"/>
  <c r="V160" i="9"/>
  <c r="S160" i="9" s="1"/>
  <c r="G158" i="9"/>
  <c r="A161" i="9"/>
  <c r="E159" i="9"/>
  <c r="G159" i="9" s="1"/>
  <c r="C160" i="9"/>
  <c r="R160" i="9"/>
  <c r="D160" i="9"/>
  <c r="E160" i="9" l="1"/>
  <c r="V161" i="9"/>
  <c r="S161" i="9" s="1"/>
  <c r="T160" i="9"/>
  <c r="U160" i="9" s="1"/>
  <c r="J160" i="9"/>
  <c r="F160" i="9" s="1"/>
  <c r="G160" i="9" s="1"/>
  <c r="A162" i="9"/>
  <c r="C161" i="9"/>
  <c r="R161" i="9"/>
  <c r="D161" i="9"/>
  <c r="T161" i="9" l="1"/>
  <c r="U161" i="9" s="1"/>
  <c r="E161" i="9"/>
  <c r="V162" i="9"/>
  <c r="S162" i="9" s="1"/>
  <c r="J161" i="9"/>
  <c r="F161" i="9" s="1"/>
  <c r="A163" i="9"/>
  <c r="D162" i="9"/>
  <c r="C162" i="9"/>
  <c r="R162" i="9"/>
  <c r="G161" i="9" l="1"/>
  <c r="V163" i="9"/>
  <c r="S163" i="9" s="1"/>
  <c r="T162" i="9"/>
  <c r="U162" i="9" s="1"/>
  <c r="J162" i="9"/>
  <c r="F162" i="9" s="1"/>
  <c r="E162" i="9"/>
  <c r="A164" i="9"/>
  <c r="C163" i="9"/>
  <c r="R163" i="9"/>
  <c r="D163" i="9"/>
  <c r="T163" i="9" l="1"/>
  <c r="U163" i="9" s="1"/>
  <c r="J163" i="9"/>
  <c r="F163" i="9" s="1"/>
  <c r="V164" i="9"/>
  <c r="S164" i="9" s="1"/>
  <c r="G162" i="9"/>
  <c r="A165" i="9"/>
  <c r="E163" i="9"/>
  <c r="C164" i="9"/>
  <c r="R164" i="9"/>
  <c r="D164" i="9"/>
  <c r="G163" i="9" l="1"/>
  <c r="V165" i="9"/>
  <c r="S165" i="9" s="1"/>
  <c r="J164" i="9"/>
  <c r="F164" i="9" s="1"/>
  <c r="T164" i="9"/>
  <c r="U164" i="9" s="1"/>
  <c r="A166" i="9"/>
  <c r="E164" i="9"/>
  <c r="R165" i="9"/>
  <c r="D165" i="9"/>
  <c r="C165" i="9"/>
  <c r="G164" i="9" l="1"/>
  <c r="J165" i="9"/>
  <c r="F165" i="9" s="1"/>
  <c r="T165" i="9"/>
  <c r="U165" i="9" s="1"/>
  <c r="V166" i="9"/>
  <c r="S166" i="9" s="1"/>
  <c r="A167" i="9"/>
  <c r="E165" i="9"/>
  <c r="G165" i="9" s="1"/>
  <c r="R166" i="9"/>
  <c r="C166" i="9"/>
  <c r="D166" i="9"/>
  <c r="V167" i="9" l="1"/>
  <c r="S167" i="9" s="1"/>
  <c r="J166" i="9"/>
  <c r="F166" i="9" s="1"/>
  <c r="T166" i="9"/>
  <c r="U166" i="9" s="1"/>
  <c r="E166" i="9"/>
  <c r="A168" i="9"/>
  <c r="D167" i="9"/>
  <c r="R167" i="9"/>
  <c r="C167" i="9"/>
  <c r="G166" i="9" l="1"/>
  <c r="J167" i="9"/>
  <c r="F167" i="9" s="1"/>
  <c r="E167" i="9"/>
  <c r="T167" i="9"/>
  <c r="U167" i="9" s="1"/>
  <c r="V168" i="9"/>
  <c r="S168" i="9" s="1"/>
  <c r="A169" i="9"/>
  <c r="C168" i="9"/>
  <c r="R168" i="9"/>
  <c r="D168" i="9"/>
  <c r="G167" i="9" l="1"/>
  <c r="V169" i="9"/>
  <c r="S169" i="9" s="1"/>
  <c r="T168" i="9"/>
  <c r="U168" i="9" s="1"/>
  <c r="J168" i="9"/>
  <c r="F168" i="9" s="1"/>
  <c r="E168" i="9"/>
  <c r="A170" i="9"/>
  <c r="C169" i="9"/>
  <c r="R169" i="9"/>
  <c r="D169" i="9"/>
  <c r="T169" i="9" l="1"/>
  <c r="U169" i="9" s="1"/>
  <c r="J169" i="9"/>
  <c r="F169" i="9" s="1"/>
  <c r="V170" i="9"/>
  <c r="S170" i="9" s="1"/>
  <c r="G168" i="9"/>
  <c r="A171" i="9"/>
  <c r="E169" i="9"/>
  <c r="G169" i="9" s="1"/>
  <c r="D170" i="9"/>
  <c r="C170" i="9"/>
  <c r="R170" i="9"/>
  <c r="V171" i="9" l="1"/>
  <c r="S171" i="9" s="1"/>
  <c r="J170" i="9"/>
  <c r="F170" i="9" s="1"/>
  <c r="T170" i="9"/>
  <c r="U170" i="9" s="1"/>
  <c r="A172" i="9"/>
  <c r="E170" i="9"/>
  <c r="R171" i="9"/>
  <c r="D171" i="9"/>
  <c r="C171" i="9"/>
  <c r="T171" i="9" l="1"/>
  <c r="U171" i="9" s="1"/>
  <c r="J171" i="9"/>
  <c r="F171" i="9" s="1"/>
  <c r="V172" i="9"/>
  <c r="S172" i="9" s="1"/>
  <c r="G170" i="9"/>
  <c r="E171" i="9"/>
  <c r="A173" i="9"/>
  <c r="R172" i="9"/>
  <c r="C172" i="9"/>
  <c r="D172" i="9"/>
  <c r="G171" i="9" l="1"/>
  <c r="T172" i="9"/>
  <c r="U172" i="9" s="1"/>
  <c r="V173" i="9"/>
  <c r="S173" i="9" s="1"/>
  <c r="J172" i="9"/>
  <c r="F172" i="9" s="1"/>
  <c r="E172" i="9"/>
  <c r="A174" i="9"/>
  <c r="R173" i="9"/>
  <c r="C173" i="9"/>
  <c r="D173" i="9"/>
  <c r="V174" i="9" l="1"/>
  <c r="S174" i="9" s="1"/>
  <c r="J173" i="9"/>
  <c r="F173" i="9" s="1"/>
  <c r="E173" i="9"/>
  <c r="T173" i="9"/>
  <c r="U173" i="9" s="1"/>
  <c r="G172" i="9"/>
  <c r="A175" i="9"/>
  <c r="D174" i="9"/>
  <c r="C174" i="9"/>
  <c r="R174" i="9"/>
  <c r="G173" i="9" l="1"/>
  <c r="J174" i="9"/>
  <c r="F174" i="9" s="1"/>
  <c r="T174" i="9"/>
  <c r="U174" i="9" s="1"/>
  <c r="V175" i="9"/>
  <c r="S175" i="9" s="1"/>
  <c r="E174" i="9"/>
  <c r="A176" i="9"/>
  <c r="D175" i="9"/>
  <c r="C175" i="9"/>
  <c r="R175" i="9"/>
  <c r="G174" i="9" l="1"/>
  <c r="V176" i="9"/>
  <c r="S176" i="9" s="1"/>
  <c r="J175" i="9"/>
  <c r="F175" i="9" s="1"/>
  <c r="T175" i="9"/>
  <c r="U175" i="9" s="1"/>
  <c r="A177" i="9"/>
  <c r="E175" i="9"/>
  <c r="C176" i="9"/>
  <c r="D176" i="9"/>
  <c r="R176" i="9"/>
  <c r="J176" i="9" l="1"/>
  <c r="F176" i="9" s="1"/>
  <c r="T176" i="9"/>
  <c r="U176" i="9" s="1"/>
  <c r="V177" i="9"/>
  <c r="S177" i="9" s="1"/>
  <c r="G175" i="9"/>
  <c r="A178" i="9"/>
  <c r="E176" i="9"/>
  <c r="G176" i="9" s="1"/>
  <c r="D177" i="9"/>
  <c r="R177" i="9"/>
  <c r="C177" i="9"/>
  <c r="J177" i="9" l="1"/>
  <c r="F177" i="9" s="1"/>
  <c r="V178" i="9"/>
  <c r="S178" i="9" s="1"/>
  <c r="T177" i="9"/>
  <c r="U177" i="9" s="1"/>
  <c r="A179" i="9"/>
  <c r="E177" i="9"/>
  <c r="G177" i="9" s="1"/>
  <c r="R178" i="9"/>
  <c r="D178" i="9"/>
  <c r="C178" i="9"/>
  <c r="V179" i="9" l="1"/>
  <c r="S179" i="9" s="1"/>
  <c r="J178" i="9"/>
  <c r="F178" i="9" s="1"/>
  <c r="T178" i="9"/>
  <c r="U178" i="9" s="1"/>
  <c r="E178" i="9"/>
  <c r="A180" i="9"/>
  <c r="R179" i="9"/>
  <c r="C179" i="9"/>
  <c r="D179" i="9"/>
  <c r="G178" i="9" l="1"/>
  <c r="E179" i="9"/>
  <c r="T179" i="9"/>
  <c r="U179" i="9" s="1"/>
  <c r="J179" i="9"/>
  <c r="F179" i="9" s="1"/>
  <c r="G179" i="9" s="1"/>
  <c r="V180" i="9"/>
  <c r="S180" i="9" s="1"/>
  <c r="A181" i="9"/>
  <c r="R180" i="9"/>
  <c r="C180" i="9"/>
  <c r="D180" i="9"/>
  <c r="T180" i="9" l="1"/>
  <c r="U180" i="9" s="1"/>
  <c r="V181" i="9"/>
  <c r="S181" i="9" s="1"/>
  <c r="J180" i="9"/>
  <c r="F180" i="9" s="1"/>
  <c r="E180" i="9"/>
  <c r="A182" i="9"/>
  <c r="R181" i="9"/>
  <c r="C181" i="9"/>
  <c r="D181" i="9"/>
  <c r="T181" i="9" l="1"/>
  <c r="U181" i="9" s="1"/>
  <c r="V182" i="9"/>
  <c r="S182" i="9" s="1"/>
  <c r="J181" i="9"/>
  <c r="F181" i="9" s="1"/>
  <c r="G180" i="9"/>
  <c r="A183" i="9"/>
  <c r="E181" i="9"/>
  <c r="D182" i="9"/>
  <c r="C182" i="9"/>
  <c r="R182" i="9"/>
  <c r="G181" i="9" l="1"/>
  <c r="J182" i="9"/>
  <c r="F182" i="9" s="1"/>
  <c r="T182" i="9"/>
  <c r="U182" i="9" s="1"/>
  <c r="V183" i="9"/>
  <c r="S183" i="9" s="1"/>
  <c r="A184" i="9"/>
  <c r="E182" i="9"/>
  <c r="G182" i="9" s="1"/>
  <c r="C183" i="9"/>
  <c r="R183" i="9"/>
  <c r="D183" i="9"/>
  <c r="V184" i="9" l="1"/>
  <c r="S184" i="9" s="1"/>
  <c r="T183" i="9"/>
  <c r="U183" i="9" s="1"/>
  <c r="J183" i="9"/>
  <c r="F183" i="9" s="1"/>
  <c r="A185" i="9"/>
  <c r="E183" i="9"/>
  <c r="R184" i="9"/>
  <c r="D184" i="9"/>
  <c r="C184" i="9"/>
  <c r="T184" i="9" l="1"/>
  <c r="U184" i="9" s="1"/>
  <c r="J184" i="9"/>
  <c r="F184" i="9" s="1"/>
  <c r="G184" i="9" s="1"/>
  <c r="E184" i="9"/>
  <c r="V185" i="9"/>
  <c r="S185" i="9" s="1"/>
  <c r="G183" i="9"/>
  <c r="A186" i="9"/>
  <c r="D185" i="9"/>
  <c r="R185" i="9"/>
  <c r="C185" i="9"/>
  <c r="V186" i="9" l="1"/>
  <c r="S186" i="9" s="1"/>
  <c r="T185" i="9"/>
  <c r="U185" i="9" s="1"/>
  <c r="J185" i="9"/>
  <c r="F185" i="9" s="1"/>
  <c r="G185" i="9" s="1"/>
  <c r="E185" i="9"/>
  <c r="A187" i="9"/>
  <c r="R186" i="9"/>
  <c r="D186" i="9"/>
  <c r="C186" i="9"/>
  <c r="T186" i="9" l="1"/>
  <c r="U186" i="9" s="1"/>
  <c r="J186" i="9"/>
  <c r="F186" i="9" s="1"/>
  <c r="V187" i="9"/>
  <c r="S187" i="9" s="1"/>
  <c r="E186" i="9"/>
  <c r="A188" i="9"/>
  <c r="R187" i="9"/>
  <c r="C187" i="9"/>
  <c r="D187" i="9"/>
  <c r="V188" i="9" l="1"/>
  <c r="S188" i="9" s="1"/>
  <c r="T187" i="9"/>
  <c r="U187" i="9" s="1"/>
  <c r="J187" i="9"/>
  <c r="F187" i="9" s="1"/>
  <c r="G186" i="9"/>
  <c r="A189" i="9"/>
  <c r="E187" i="9"/>
  <c r="R188" i="9"/>
  <c r="D188" i="9"/>
  <c r="C188" i="9"/>
  <c r="J188" i="9" l="1"/>
  <c r="F188" i="9" s="1"/>
  <c r="T188" i="9"/>
  <c r="U188" i="9" s="1"/>
  <c r="V189" i="9"/>
  <c r="S189" i="9" s="1"/>
  <c r="G187" i="9"/>
  <c r="A190" i="9"/>
  <c r="E188" i="9"/>
  <c r="G188" i="9" s="1"/>
  <c r="R189" i="9"/>
  <c r="D189" i="9"/>
  <c r="C189" i="9"/>
  <c r="J189" i="9" l="1"/>
  <c r="F189" i="9" s="1"/>
  <c r="V190" i="9"/>
  <c r="S190" i="9" s="1"/>
  <c r="T189" i="9"/>
  <c r="U189" i="9" s="1"/>
  <c r="A191" i="9"/>
  <c r="E189" i="9"/>
  <c r="G189" i="9" s="1"/>
  <c r="R190" i="9"/>
  <c r="C190" i="9"/>
  <c r="D190" i="9"/>
  <c r="T190" i="9" l="1"/>
  <c r="U190" i="9" s="1"/>
  <c r="J190" i="9"/>
  <c r="F190" i="9" s="1"/>
  <c r="V191" i="9"/>
  <c r="S191" i="9" s="1"/>
  <c r="E190" i="9"/>
  <c r="A192" i="9"/>
  <c r="R191" i="9"/>
  <c r="D191" i="9"/>
  <c r="C191" i="9"/>
  <c r="G190" i="9" l="1"/>
  <c r="T191" i="9"/>
  <c r="U191" i="9" s="1"/>
  <c r="V192" i="9"/>
  <c r="S192" i="9" s="1"/>
  <c r="E191" i="9"/>
  <c r="J191" i="9"/>
  <c r="F191" i="9" s="1"/>
  <c r="A193" i="9"/>
  <c r="R192" i="9"/>
  <c r="C192" i="9"/>
  <c r="D192" i="9"/>
  <c r="G191" i="9" l="1"/>
  <c r="T192" i="9"/>
  <c r="U192" i="9" s="1"/>
  <c r="V193" i="9"/>
  <c r="S193" i="9" s="1"/>
  <c r="J192" i="9"/>
  <c r="F192" i="9" s="1"/>
  <c r="E192" i="9"/>
  <c r="A194" i="9"/>
  <c r="D193" i="9"/>
  <c r="R193" i="9"/>
  <c r="C193" i="9"/>
  <c r="J193" i="9" l="1"/>
  <c r="F193" i="9" s="1"/>
  <c r="V194" i="9"/>
  <c r="S194" i="9" s="1"/>
  <c r="T193" i="9"/>
  <c r="U193" i="9" s="1"/>
  <c r="G192" i="9"/>
  <c r="A195" i="9"/>
  <c r="E193" i="9"/>
  <c r="R194" i="9"/>
  <c r="C194" i="9"/>
  <c r="D194" i="9"/>
  <c r="G193" i="9" l="1"/>
  <c r="J194" i="9"/>
  <c r="F194" i="9" s="1"/>
  <c r="T194" i="9"/>
  <c r="U194" i="9" s="1"/>
  <c r="V195" i="9"/>
  <c r="S195" i="9" s="1"/>
  <c r="E194" i="9"/>
  <c r="G194" i="9" s="1"/>
  <c r="A196" i="9"/>
  <c r="D195" i="9"/>
  <c r="R195" i="9"/>
  <c r="C195" i="9"/>
  <c r="V196" i="9" l="1"/>
  <c r="S196" i="9" s="1"/>
  <c r="J195" i="9"/>
  <c r="F195" i="9" s="1"/>
  <c r="T195" i="9"/>
  <c r="U195" i="9" s="1"/>
  <c r="A197" i="9"/>
  <c r="E195" i="9"/>
  <c r="D196" i="9"/>
  <c r="R196" i="9"/>
  <c r="C196" i="9"/>
  <c r="G195" i="9" l="1"/>
  <c r="J196" i="9"/>
  <c r="F196" i="9" s="1"/>
  <c r="G196" i="9" s="1"/>
  <c r="E196" i="9"/>
  <c r="T196" i="9"/>
  <c r="U196" i="9" s="1"/>
  <c r="V197" i="9"/>
  <c r="S197" i="9" s="1"/>
  <c r="A198" i="9"/>
  <c r="R197" i="9"/>
  <c r="C197" i="9"/>
  <c r="D197" i="9"/>
  <c r="J197" i="9" l="1"/>
  <c r="F197" i="9" s="1"/>
  <c r="T197" i="9"/>
  <c r="U197" i="9" s="1"/>
  <c r="V198" i="9"/>
  <c r="S198" i="9" s="1"/>
  <c r="A199" i="9"/>
  <c r="E197" i="9"/>
  <c r="G197" i="9" s="1"/>
  <c r="D198" i="9"/>
  <c r="R198" i="9"/>
  <c r="C198" i="9"/>
  <c r="V199" i="9" l="1"/>
  <c r="S199" i="9" s="1"/>
  <c r="J198" i="9"/>
  <c r="F198" i="9" s="1"/>
  <c r="T198" i="9"/>
  <c r="U198" i="9" s="1"/>
  <c r="E198" i="9"/>
  <c r="A200" i="9"/>
  <c r="R199" i="9"/>
  <c r="C199" i="9"/>
  <c r="D199" i="9"/>
  <c r="G198" i="9" l="1"/>
  <c r="T199" i="9"/>
  <c r="U199" i="9" s="1"/>
  <c r="J199" i="9"/>
  <c r="F199" i="9" s="1"/>
  <c r="V200" i="9"/>
  <c r="S200" i="9" s="1"/>
  <c r="A201" i="9"/>
  <c r="E199" i="9"/>
  <c r="D200" i="9"/>
  <c r="C200" i="9"/>
  <c r="R200" i="9"/>
  <c r="G199" i="9" l="1"/>
  <c r="J200" i="9"/>
  <c r="F200" i="9" s="1"/>
  <c r="V201" i="9"/>
  <c r="S201" i="9" s="1"/>
  <c r="T200" i="9"/>
  <c r="U200" i="9" s="1"/>
  <c r="E200" i="9"/>
  <c r="G200" i="9" s="1"/>
  <c r="A202" i="9"/>
  <c r="R201" i="9"/>
  <c r="C201" i="9"/>
  <c r="D201" i="9"/>
  <c r="T201" i="9" l="1"/>
  <c r="U201" i="9" s="1"/>
  <c r="J201" i="9"/>
  <c r="F201" i="9" s="1"/>
  <c r="V202" i="9"/>
  <c r="S202" i="9" s="1"/>
  <c r="A203" i="9"/>
  <c r="E201" i="9"/>
  <c r="R202" i="9"/>
  <c r="D202" i="9"/>
  <c r="C202" i="9"/>
  <c r="V203" i="9" l="1"/>
  <c r="S203" i="9" s="1"/>
  <c r="J202" i="9"/>
  <c r="F202" i="9" s="1"/>
  <c r="T202" i="9"/>
  <c r="U202" i="9" s="1"/>
  <c r="E202" i="9"/>
  <c r="G201" i="9"/>
  <c r="A204" i="9"/>
  <c r="R203" i="9"/>
  <c r="C203" i="9"/>
  <c r="D203" i="9"/>
  <c r="G202" i="9" l="1"/>
  <c r="T203" i="9"/>
  <c r="U203" i="9" s="1"/>
  <c r="J203" i="9"/>
  <c r="F203" i="9" s="1"/>
  <c r="V204" i="9"/>
  <c r="S204" i="9" s="1"/>
  <c r="A205" i="9"/>
  <c r="E203" i="9"/>
  <c r="D204" i="9"/>
  <c r="R204" i="9"/>
  <c r="C204" i="9"/>
  <c r="G203" i="9" l="1"/>
  <c r="J204" i="9"/>
  <c r="F204" i="9" s="1"/>
  <c r="V205" i="9"/>
  <c r="S205" i="9" s="1"/>
  <c r="E204" i="9"/>
  <c r="T204" i="9"/>
  <c r="U204" i="9" s="1"/>
  <c r="A206" i="9"/>
  <c r="D205" i="9"/>
  <c r="R205" i="9"/>
  <c r="C205" i="9"/>
  <c r="G204" i="9" l="1"/>
  <c r="J205" i="9"/>
  <c r="F205" i="9" s="1"/>
  <c r="V206" i="9"/>
  <c r="S206" i="9" s="1"/>
  <c r="T205" i="9"/>
  <c r="U205" i="9" s="1"/>
  <c r="A207" i="9"/>
  <c r="E205" i="9"/>
  <c r="R206" i="9"/>
  <c r="C206" i="9"/>
  <c r="D206" i="9"/>
  <c r="G205" i="9" l="1"/>
  <c r="T206" i="9"/>
  <c r="U206" i="9" s="1"/>
  <c r="V207" i="9"/>
  <c r="S207" i="9" s="1"/>
  <c r="J206" i="9"/>
  <c r="F206" i="9" s="1"/>
  <c r="G206" i="9" s="1"/>
  <c r="E206" i="9"/>
  <c r="A208" i="9"/>
  <c r="D207" i="9"/>
  <c r="R207" i="9"/>
  <c r="C207" i="9"/>
  <c r="J207" i="9" l="1"/>
  <c r="F207" i="9" s="1"/>
  <c r="V208" i="9"/>
  <c r="S208" i="9" s="1"/>
  <c r="T207" i="9"/>
  <c r="U207" i="9" s="1"/>
  <c r="A209" i="9"/>
  <c r="E207" i="9"/>
  <c r="D208" i="9"/>
  <c r="C208" i="9"/>
  <c r="R208" i="9"/>
  <c r="G207" i="9" l="1"/>
  <c r="J208" i="9"/>
  <c r="F208" i="9" s="1"/>
  <c r="T208" i="9"/>
  <c r="U208" i="9" s="1"/>
  <c r="V209" i="9"/>
  <c r="S209" i="9" s="1"/>
  <c r="E208" i="9"/>
  <c r="G208" i="9" s="1"/>
  <c r="A210" i="9"/>
  <c r="D209" i="9"/>
  <c r="C209" i="9"/>
  <c r="R209" i="9"/>
  <c r="V210" i="9" l="1"/>
  <c r="S210" i="9" s="1"/>
  <c r="J209" i="9"/>
  <c r="F209" i="9" s="1"/>
  <c r="T209" i="9"/>
  <c r="U209" i="9" s="1"/>
  <c r="A211" i="9"/>
  <c r="E209" i="9"/>
  <c r="D210" i="9"/>
  <c r="R210" i="9"/>
  <c r="C210" i="9"/>
  <c r="T210" i="9" l="1"/>
  <c r="U210" i="9" s="1"/>
  <c r="E210" i="9"/>
  <c r="C211" i="9"/>
  <c r="V211" i="9"/>
  <c r="S211" i="9" s="1"/>
  <c r="D211" i="9"/>
  <c r="J211" i="9" s="1"/>
  <c r="G209" i="9"/>
  <c r="J210" i="9"/>
  <c r="F210" i="9" s="1"/>
  <c r="G210" i="9" s="1"/>
  <c r="F211" i="9" l="1"/>
  <c r="E211" i="9"/>
  <c r="T211" i="9"/>
  <c r="U211" i="9" s="1"/>
  <c r="U4" i="9" s="1"/>
  <c r="G211" i="9" l="1"/>
  <c r="H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14" authorId="0" shapeId="0" xr:uid="{00000000-0006-0000-0000-000001000000}">
      <text>
        <r>
          <rPr>
            <sz val="10"/>
            <color indexed="81"/>
            <rFont val="Calibri"/>
            <family val="2"/>
          </rPr>
          <t>=CallDelta(B14,BS_IVLow,0,BS_r,BS_K,BS_T)</t>
        </r>
      </text>
    </comment>
    <comment ref="E14" authorId="0" shapeId="0" xr:uid="{00000000-0006-0000-0000-000002000000}">
      <text>
        <r>
          <rPr>
            <sz val="10"/>
            <color indexed="81"/>
            <rFont val="Calibri"/>
            <family val="2"/>
          </rPr>
          <t>=CallGamma(B14,BS_IVLow,0,BS_r,BS_K,BS_T)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1C049-5AC8-4504-9B78-E6A2BD9145DC}" keepAlive="1" name="Query - bs" description="Connection to the 'bs' query in the workbook." type="5" refreshedVersion="8" background="1" saveData="1">
    <dbPr connection="Provider=Microsoft.Mashup.OleDb.1;Data Source=$Workbook$;Location=bs;Extended Properties=&quot;&quot;" command="SELECT * FROM [bs]"/>
  </connection>
</connections>
</file>

<file path=xl/sharedStrings.xml><?xml version="1.0" encoding="utf-8"?>
<sst xmlns="http://schemas.openxmlformats.org/spreadsheetml/2006/main" count="114" uniqueCount="102">
  <si>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</si>
  <si>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</si>
  <si>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</si>
  <si>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</si>
  <si>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</si>
  <si>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</si>
  <si>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</si>
  <si>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</si>
  <si>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</si>
  <si>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</si>
  <si>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</si>
  <si>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</si>
  <si>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</si>
  <si>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</si>
  <si>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</si>
  <si>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</si>
  <si>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</si>
  <si>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</si>
  <si>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BS Price</t>
  </si>
  <si>
    <t>Shares</t>
  </si>
  <si>
    <t>Delta</t>
  </si>
  <si>
    <t>Week</t>
  </si>
  <si>
    <t>Hedging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</si>
  <si>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</si>
  <si>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</si>
  <si>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</si>
  <si>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</si>
  <si>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</si>
  <si>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</si>
  <si>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</si>
  <si>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</si>
  <si>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</si>
  <si>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Time</t>
  </si>
  <si>
    <t>Theoretical P&amp;L</t>
  </si>
  <si>
    <t>Actual P&amp;L</t>
  </si>
  <si>
    <t>These data have been generated by using different inputs to OneOptionPricing() function.</t>
  </si>
  <si>
    <t>UV</t>
  </si>
  <si>
    <t>Used for Black-Scholes</t>
  </si>
  <si>
    <t>Asset Path (sigma_a)</t>
  </si>
  <si>
    <t>Option (sigma_i)</t>
  </si>
  <si>
    <t>dDelta *S</t>
  </si>
  <si>
    <t>Vi</t>
  </si>
  <si>
    <t>Portfolio</t>
  </si>
  <si>
    <t>Ctrl+Q for CQF Macro</t>
  </si>
  <si>
    <t>Portfolio + Cash</t>
  </si>
  <si>
    <t>Delta_BS</t>
  </si>
  <si>
    <t>Rate</t>
  </si>
  <si>
    <t>Volatility</t>
  </si>
  <si>
    <t>dDelta</t>
  </si>
  <si>
    <t>Interest</t>
  </si>
  <si>
    <t>dDelta*S</t>
  </si>
  <si>
    <t>(Bank Account)</t>
  </si>
  <si>
    <t>Bought/Sold</t>
  </si>
  <si>
    <t>Replicating Vol</t>
  </si>
  <si>
    <t>V - Delta*S</t>
  </si>
  <si>
    <t>Actual or Implied? SELECT</t>
  </si>
  <si>
    <t>CallDelta(asset, Vol, DivYld, IntRate, Strike, expiry)</t>
  </si>
  <si>
    <t>CallGamma(asset, Vol, DivYld, IntRate, Strike, expiry)</t>
  </si>
  <si>
    <t>Volatility_BS</t>
  </si>
  <si>
    <t>Total P&amp;L</t>
  </si>
  <si>
    <r>
      <t xml:space="preserve">Example to the right: </t>
    </r>
    <r>
      <rPr>
        <sz val="12"/>
        <rFont val="Arial"/>
        <family val="2"/>
      </rPr>
      <t>use 10% vs 40% IV to observe difference (very low IV gives gamma maximised closer to ATM)</t>
    </r>
  </si>
  <si>
    <t>Value</t>
  </si>
  <si>
    <t>Market Price</t>
  </si>
  <si>
    <t>Delta  Replicating Vol</t>
  </si>
  <si>
    <t>Actual Volatility</t>
  </si>
  <si>
    <t>Implied Volatility</t>
  </si>
  <si>
    <t>Total Profit from selling V_i and replicating (with sigma_a)</t>
  </si>
  <si>
    <t>P&amp;L cumulative</t>
  </si>
  <si>
    <r>
      <rPr>
        <b/>
        <u/>
        <sz val="10"/>
        <rFont val="Arial"/>
        <family val="2"/>
      </rPr>
      <t>Cashflow</t>
    </r>
    <r>
      <rPr>
        <b/>
        <sz val="10"/>
        <rFont val="Arial"/>
        <family val="2"/>
      </rPr>
      <t xml:space="preserve"> from Replication</t>
    </r>
  </si>
  <si>
    <t>Cash on account</t>
  </si>
  <si>
    <r>
      <rPr>
        <b/>
        <sz val="10"/>
        <rFont val="Arial"/>
        <family val="2"/>
      </rPr>
      <t>IF asset UP = we sell even more stock = cashflow positive</t>
    </r>
    <r>
      <rPr>
        <sz val="10"/>
        <rFont val="Arial"/>
        <family val="2"/>
      </rPr>
      <t xml:space="preserve"> = delta increased</t>
    </r>
  </si>
  <si>
    <t>DeltaMin</t>
  </si>
  <si>
    <t>DeltaMax</t>
  </si>
  <si>
    <t>IF asset DOWN = we buy stock back = cashflow negative</t>
  </si>
  <si>
    <t>Call Strike</t>
  </si>
  <si>
    <t>Asset Return</t>
  </si>
  <si>
    <t>if S_T &gt; K this gives call payoff + P&amp;L</t>
  </si>
  <si>
    <t>Gamma_BS</t>
  </si>
  <si>
    <t>Cum P&amp;L</t>
  </si>
  <si>
    <t>Money from replication</t>
  </si>
  <si>
    <t>sigma_a=sigma_i</t>
  </si>
  <si>
    <t>BS option price (premium)</t>
  </si>
  <si>
    <t>IF Delta decreased we reduce position (negative cash flow)</t>
  </si>
  <si>
    <t>IF Delta increased we sell even more (positive cash flow/Cum P&amp;L increases)</t>
  </si>
  <si>
    <t>Replication means that we SELL shares to match call payoff.</t>
  </si>
  <si>
    <t>MtM</t>
  </si>
  <si>
    <t>MtM Notes (P&amp;L over dt)</t>
  </si>
  <si>
    <t xml:space="preserve"> (Forward)</t>
  </si>
  <si>
    <t>dt</t>
  </si>
  <si>
    <t>IF Gamma decreases (over time) we make P&amp;L relatively safely</t>
  </si>
  <si>
    <t>Spikes in Gamma reduce Cum P&amp;L</t>
  </si>
  <si>
    <r>
      <t xml:space="preserve">3.  IF realised &lt; option volatility, </t>
    </r>
    <r>
      <rPr>
        <b/>
        <u/>
        <sz val="11"/>
        <rFont val="Arial"/>
        <family val="2"/>
      </rPr>
      <t>P&amp;L over dt</t>
    </r>
    <r>
      <rPr>
        <b/>
        <sz val="11"/>
        <rFont val="Arial"/>
        <family val="2"/>
      </rPr>
      <t xml:space="preserve"> is NEGATIVE</t>
    </r>
  </si>
  <si>
    <t>1.  Call Gamma &gt; 0 allows to earn money</t>
  </si>
  <si>
    <t>Made Money? r^2 &lt; vol</t>
  </si>
  <si>
    <t>But, the jackpot hit when Gamma high-value and r^2-vol^2 positive.</t>
  </si>
  <si>
    <t>2.  High Gamma/Low Volatility, a risky combination</t>
  </si>
  <si>
    <t xml:space="preserve">  Va</t>
  </si>
  <si>
    <t xml:space="preserve">  Vi</t>
  </si>
  <si>
    <t xml:space="preserve">  Va - Vi</t>
  </si>
  <si>
    <t>Replicating with Implied Vol gives increasing P&amp;L but uncertain cumultive</t>
  </si>
  <si>
    <t>P&amp;L Realized-Implied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</si>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</sst>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000"/>
    <numFmt numFmtId="166" formatCode="0.000"/>
    <numFmt numFmtId="167" formatCode="#,##0.000"/>
  </numFmts>
  <fonts count="1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Menlo"/>
      <family val="2"/>
    </font>
    <font>
      <b/>
      <u/>
      <sz val="12"/>
      <name val="Arial"/>
      <family val="2"/>
    </font>
    <font>
      <sz val="10"/>
      <color indexed="81"/>
      <name val="Calibri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2"/>
      <color rgb="FF000000"/>
      <name val="Helvetica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1" fillId="5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0" fontId="3" fillId="8" borderId="0" xfId="0" applyFont="1" applyFill="1"/>
    <xf numFmtId="0" fontId="0" fillId="9" borderId="0" xfId="0" applyFill="1"/>
    <xf numFmtId="2" fontId="0" fillId="9" borderId="0" xfId="0" applyNumberFormat="1" applyFill="1"/>
    <xf numFmtId="0" fontId="0" fillId="8" borderId="0" xfId="0" applyFill="1"/>
    <xf numFmtId="2" fontId="3" fillId="9" borderId="0" xfId="0" applyNumberFormat="1" applyFont="1" applyFill="1"/>
    <xf numFmtId="165" fontId="0" fillId="10" borderId="0" xfId="0" applyNumberFormat="1" applyFill="1"/>
    <xf numFmtId="165" fontId="0" fillId="11" borderId="0" xfId="0" applyNumberFormat="1" applyFill="1"/>
    <xf numFmtId="0" fontId="3" fillId="2" borderId="1" xfId="0" applyFont="1" applyFill="1" applyBorder="1" applyAlignment="1">
      <alignment horizontal="center"/>
    </xf>
    <xf numFmtId="0" fontId="0" fillId="2" borderId="0" xfId="0" applyFill="1" applyAlignment="1">
      <alignment vertical="top"/>
    </xf>
    <xf numFmtId="0" fontId="11" fillId="0" borderId="0" xfId="0" applyFont="1"/>
    <xf numFmtId="9" fontId="3" fillId="2" borderId="0" xfId="11" applyFont="1" applyFill="1" applyAlignment="1">
      <alignment horizontal="center"/>
    </xf>
    <xf numFmtId="9" fontId="3" fillId="9" borderId="0" xfId="11" applyFont="1" applyFill="1" applyAlignment="1">
      <alignment horizontal="center"/>
    </xf>
    <xf numFmtId="2" fontId="0" fillId="8" borderId="0" xfId="0" applyNumberFormat="1" applyFill="1"/>
    <xf numFmtId="0" fontId="0" fillId="11" borderId="0" xfId="0" applyFill="1" applyAlignment="1">
      <alignment horizontal="center"/>
    </xf>
    <xf numFmtId="0" fontId="12" fillId="8" borderId="0" xfId="0" applyFont="1" applyFill="1"/>
    <xf numFmtId="0" fontId="3" fillId="0" borderId="0" xfId="0" applyFont="1" applyAlignment="1">
      <alignment horizontal="center"/>
    </xf>
    <xf numFmtId="10" fontId="3" fillId="9" borderId="0" xfId="0" applyNumberFormat="1" applyFont="1" applyFill="1" applyAlignment="1">
      <alignment horizontal="center"/>
    </xf>
    <xf numFmtId="10" fontId="0" fillId="9" borderId="0" xfId="0" applyNumberFormat="1" applyFill="1"/>
    <xf numFmtId="166" fontId="0" fillId="2" borderId="0" xfId="0" applyNumberFormat="1" applyFill="1" applyAlignment="1">
      <alignment horizontal="center"/>
    </xf>
    <xf numFmtId="166" fontId="0" fillId="12" borderId="0" xfId="0" applyNumberFormat="1" applyFill="1" applyAlignment="1">
      <alignment horizontal="center"/>
    </xf>
    <xf numFmtId="0" fontId="0" fillId="2" borderId="0" xfId="0" applyFill="1" applyAlignment="1">
      <alignment horizontal="left" vertical="top"/>
    </xf>
    <xf numFmtId="2" fontId="0" fillId="2" borderId="0" xfId="0" applyNumberFormat="1" applyFill="1" applyAlignment="1">
      <alignment horizontal="center"/>
    </xf>
    <xf numFmtId="166" fontId="3" fillId="8" borderId="0" xfId="0" applyNumberFormat="1" applyFont="1" applyFill="1" applyAlignment="1">
      <alignment horizontal="center"/>
    </xf>
    <xf numFmtId="166" fontId="3" fillId="6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 vertical="center" wrapText="1"/>
    </xf>
    <xf numFmtId="0" fontId="15" fillId="2" borderId="0" xfId="0" quotePrefix="1" applyFont="1" applyFill="1" applyAlignment="1">
      <alignment horizontal="left" vertical="center"/>
    </xf>
    <xf numFmtId="16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0" xfId="0" quotePrefix="1" applyFill="1"/>
    <xf numFmtId="0" fontId="14" fillId="2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" fontId="0" fillId="12" borderId="0" xfId="0" applyNumberFormat="1" applyFill="1" applyAlignment="1">
      <alignment horizontal="center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center" wrapText="1"/>
    </xf>
    <xf numFmtId="0" fontId="1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</cellXfs>
  <cellStyles count="1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Percent" xfId="1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"/>
          <c:y val="8.2539938429868606E-2"/>
          <c:w val="0.80857988496118804"/>
          <c:h val="0.834836366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Greeks!$C$13</c:f>
              <c:strCache>
                <c:ptCount val="1"/>
                <c:pt idx="0">
                  <c:v>Delta</c:v>
                </c:pt>
              </c:strCache>
            </c:strRef>
          </c:tx>
          <c:spPr>
            <a:ln w="15875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Greeks!$C$14:$C$113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1.7763568394002505E-15</c:v>
                </c:pt>
                <c:pt idx="10">
                  <c:v>7.0943251273547503E-14</c:v>
                </c:pt>
                <c:pt idx="11">
                  <c:v>1.7051915435217779E-12</c:v>
                </c:pt>
                <c:pt idx="12">
                  <c:v>2.6974533717805116E-11</c:v>
                </c:pt>
                <c:pt idx="13">
                  <c:v>3.023733485818525E-10</c:v>
                </c:pt>
                <c:pt idx="14">
                  <c:v>2.5430513250768172E-9</c:v>
                </c:pt>
                <c:pt idx="15">
                  <c:v>1.6783817557985969E-8</c:v>
                </c:pt>
                <c:pt idx="16">
                  <c:v>9.0096980542853089E-8</c:v>
                </c:pt>
                <c:pt idx="17">
                  <c:v>4.0494857611594881E-7</c:v>
                </c:pt>
                <c:pt idx="18">
                  <c:v>1.5605032926968576E-6</c:v>
                </c:pt>
                <c:pt idx="19">
                  <c:v>5.2581535181506212E-6</c:v>
                </c:pt>
                <c:pt idx="20">
                  <c:v>1.5748253469505258E-5</c:v>
                </c:pt>
                <c:pt idx="21">
                  <c:v>4.2507888714959918E-5</c:v>
                </c:pt>
                <c:pt idx="22">
                  <c:v>1.0462817930068091E-4</c:v>
                </c:pt>
                <c:pt idx="23">
                  <c:v>2.3721246156616083E-4</c:v>
                </c:pt>
                <c:pt idx="24">
                  <c:v>4.9968737837191579E-4</c:v>
                </c:pt>
                <c:pt idx="25">
                  <c:v>9.8535318400039262E-4</c:v>
                </c:pt>
                <c:pt idx="26">
                  <c:v>1.8308797953699996E-3</c:v>
                </c:pt>
                <c:pt idx="27">
                  <c:v>3.223974833830523E-3</c:v>
                </c:pt>
                <c:pt idx="28">
                  <c:v>5.4072817726963374E-3</c:v>
                </c:pt>
                <c:pt idx="29">
                  <c:v>8.6768100215708355E-3</c:v>
                </c:pt>
                <c:pt idx="30">
                  <c:v>1.3373844404928614E-2</c:v>
                </c:pt>
                <c:pt idx="31">
                  <c:v>1.9870211041530972E-2</c:v>
                </c:pt>
                <c:pt idx="32">
                  <c:v>2.8547800039548488E-2</c:v>
                </c:pt>
                <c:pt idx="33">
                  <c:v>3.9774155003621359E-2</c:v>
                </c:pt>
                <c:pt idx="34">
                  <c:v>5.3876563103812392E-2</c:v>
                </c:pt>
                <c:pt idx="35">
                  <c:v>7.1117317743735864E-2</c:v>
                </c:pt>
                <c:pt idx="36">
                  <c:v>9.1672664336472587E-2</c:v>
                </c:pt>
                <c:pt idx="37">
                  <c:v>0.11561743985783657</c:v>
                </c:pt>
                <c:pt idx="38">
                  <c:v>0.14291669145439878</c:v>
                </c:pt>
                <c:pt idx="39">
                  <c:v>0.17342474197829993</c:v>
                </c:pt>
                <c:pt idx="40">
                  <c:v>0.20689138715976574</c:v>
                </c:pt>
                <c:pt idx="41">
                  <c:v>0.24297425892854385</c:v>
                </c:pt>
                <c:pt idx="42">
                  <c:v>0.28125593297578677</c:v>
                </c:pt>
                <c:pt idx="43">
                  <c:v>0.32126411780956554</c:v>
                </c:pt>
                <c:pt idx="44">
                  <c:v>0.36249322583732646</c:v>
                </c:pt>
                <c:pt idx="45">
                  <c:v>0.40442575930731917</c:v>
                </c:pt>
                <c:pt idx="46">
                  <c:v>0.44655219723075135</c:v>
                </c:pt>
                <c:pt idx="47">
                  <c:v>0.48838839242555199</c:v>
                </c:pt>
                <c:pt idx="48">
                  <c:v>0.52948948772755444</c:v>
                </c:pt>
                <c:pt idx="49">
                  <c:v>0.5694601777375784</c:v>
                </c:pt>
                <c:pt idx="50">
                  <c:v>0.60796267377573388</c:v>
                </c:pt>
                <c:pt idx="51">
                  <c:v>0.64471974415599365</c:v>
                </c:pt>
                <c:pt idx="52">
                  <c:v>0.67951553458600267</c:v>
                </c:pt>
                <c:pt idx="53">
                  <c:v>0.71219387801908485</c:v>
                </c:pt>
                <c:pt idx="54">
                  <c:v>0.74265459972125114</c:v>
                </c:pt>
                <c:pt idx="55">
                  <c:v>0.77084836923665034</c:v>
                </c:pt>
                <c:pt idx="56">
                  <c:v>0.79677060951779122</c:v>
                </c:pt>
                <c:pt idx="57">
                  <c:v>0.82045491193554676</c:v>
                </c:pt>
                <c:pt idx="58">
                  <c:v>0.84196633288257072</c:v>
                </c:pt>
                <c:pt idx="59">
                  <c:v>0.8613948706635034</c:v>
                </c:pt>
                <c:pt idx="60">
                  <c:v>0.878849346168592</c:v>
                </c:pt>
                <c:pt idx="61">
                  <c:v>0.89445184164363079</c:v>
                </c:pt>
                <c:pt idx="62">
                  <c:v>0.90833279135367839</c:v>
                </c:pt>
                <c:pt idx="63">
                  <c:v>0.9206267674380274</c:v>
                </c:pt>
                <c:pt idx="64">
                  <c:v>0.93146896408188373</c:v>
                </c:pt>
                <c:pt idx="65">
                  <c:v>0.94099235284194527</c:v>
                </c:pt>
                <c:pt idx="66">
                  <c:v>0.94932546061190171</c:v>
                </c:pt>
                <c:pt idx="67">
                  <c:v>0.95659070806614588</c:v>
                </c:pt>
                <c:pt idx="68">
                  <c:v>0.96290323912519016</c:v>
                </c:pt>
                <c:pt idx="69">
                  <c:v>0.96837016970267209</c:v>
                </c:pt>
                <c:pt idx="70">
                  <c:v>0.97309018547362747</c:v>
                </c:pt>
                <c:pt idx="71">
                  <c:v>0.97715342254464865</c:v>
                </c:pt>
                <c:pt idx="72">
                  <c:v>0.98064157077676761</c:v>
                </c:pt>
                <c:pt idx="73">
                  <c:v>0.98362814635531548</c:v>
                </c:pt>
                <c:pt idx="74">
                  <c:v>0.98617888742905679</c:v>
                </c:pt>
                <c:pt idx="75">
                  <c:v>0.9883522338160714</c:v>
                </c:pt>
                <c:pt idx="76">
                  <c:v>0.99019985858867154</c:v>
                </c:pt>
                <c:pt idx="77">
                  <c:v>0.99176722560426755</c:v>
                </c:pt>
                <c:pt idx="78">
                  <c:v>0.99309415262942236</c:v>
                </c:pt>
                <c:pt idx="79">
                  <c:v>0.99421536456192738</c:v>
                </c:pt>
                <c:pt idx="80">
                  <c:v>0.99516102539035345</c:v>
                </c:pt>
                <c:pt idx="81">
                  <c:v>0.99595724097533522</c:v>
                </c:pt>
                <c:pt idx="82">
                  <c:v>0.99662652754656567</c:v>
                </c:pt>
                <c:pt idx="83">
                  <c:v>0.9971882430510477</c:v>
                </c:pt>
                <c:pt idx="84">
                  <c:v>0.99765898023370114</c:v>
                </c:pt>
                <c:pt idx="85">
                  <c:v>0.99805292165328097</c:v>
                </c:pt>
                <c:pt idx="86">
                  <c:v>0.9983821578037001</c:v>
                </c:pt>
                <c:pt idx="87">
                  <c:v>0.99865697018678878</c:v>
                </c:pt>
                <c:pt idx="88">
                  <c:v>0.99888608162405645</c:v>
                </c:pt>
                <c:pt idx="89">
                  <c:v>0.99907687635173803</c:v>
                </c:pt>
                <c:pt idx="90">
                  <c:v>0.99923559255770567</c:v>
                </c:pt>
                <c:pt idx="91">
                  <c:v>0.99936749002627057</c:v>
                </c:pt>
                <c:pt idx="92">
                  <c:v>0.99947699548675673</c:v>
                </c:pt>
                <c:pt idx="93">
                  <c:v>0.99956782813769129</c:v>
                </c:pt>
                <c:pt idx="94">
                  <c:v>0.99964310765931486</c:v>
                </c:pt>
                <c:pt idx="95">
                  <c:v>0.9997054468475165</c:v>
                </c:pt>
                <c:pt idx="96">
                  <c:v>0.99975703081337397</c:v>
                </c:pt>
                <c:pt idx="97">
                  <c:v>0.99979968450249335</c:v>
                </c:pt>
                <c:pt idx="98">
                  <c:v>0.9998349301032301</c:v>
                </c:pt>
                <c:pt idx="99">
                  <c:v>0.99986403573669724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4-BA46-AA73-F93E84ED71DA}"/>
            </c:ext>
          </c:extLst>
        </c:ser>
        <c:ser>
          <c:idx val="1"/>
          <c:order val="1"/>
          <c:tx>
            <c:strRef>
              <c:f>Greeks!$D$13</c:f>
              <c:strCache>
                <c:ptCount val="1"/>
                <c:pt idx="0">
                  <c:v>Delta+</c:v>
                </c:pt>
              </c:strCache>
            </c:strRef>
          </c:tx>
          <c:spPr>
            <a:ln w="158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Greeks!$D$14:$D$113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1.1102230246251565E-16</c:v>
                </c:pt>
                <c:pt idx="4">
                  <c:v>3.8857805861880479E-14</c:v>
                </c:pt>
                <c:pt idx="5">
                  <c:v>3.2855940190756883E-12</c:v>
                </c:pt>
                <c:pt idx="6">
                  <c:v>1.055658893633904E-10</c:v>
                </c:pt>
                <c:pt idx="7">
                  <c:v>1.7308836586238385E-9</c:v>
                </c:pt>
                <c:pt idx="8">
                  <c:v>1.7383955719374455E-8</c:v>
                </c:pt>
                <c:pt idx="9">
                  <c:v>1.2057497056350286E-7</c:v>
                </c:pt>
                <c:pt idx="10">
                  <c:v>6.2727009886298646E-7</c:v>
                </c:pt>
                <c:pt idx="11">
                  <c:v>2.5963548941909664E-6</c:v>
                </c:pt>
                <c:pt idx="12">
                  <c:v>8.9300945940173904E-6</c:v>
                </c:pt>
                <c:pt idx="13">
                  <c:v>2.6374325522215969E-5</c:v>
                </c:pt>
                <c:pt idx="14">
                  <c:v>6.8601310663440884E-5</c:v>
                </c:pt>
                <c:pt idx="15">
                  <c:v>1.6030364910302186E-4</c:v>
                </c:pt>
                <c:pt idx="16">
                  <c:v>3.4190341720030659E-4</c:v>
                </c:pt>
                <c:pt idx="17">
                  <c:v>6.7419436582238923E-4</c:v>
                </c:pt>
                <c:pt idx="18">
                  <c:v>1.2420840787992216E-3</c:v>
                </c:pt>
                <c:pt idx="19">
                  <c:v>2.156636855717653E-3</c:v>
                </c:pt>
                <c:pt idx="20">
                  <c:v>3.5548262182437673E-3</c:v>
                </c:pt>
                <c:pt idx="21">
                  <c:v>5.5967309987204894E-3</c:v>
                </c:pt>
                <c:pt idx="22">
                  <c:v>8.4602722786122353E-3</c:v>
                </c:pt>
                <c:pt idx="23">
                  <c:v>1.2333915364678649E-2</c:v>
                </c:pt>
                <c:pt idx="24">
                  <c:v>1.7407998105221423E-2</c:v>
                </c:pt>
                <c:pt idx="25">
                  <c:v>2.3865468695874359E-2</c:v>
                </c:pt>
                <c:pt idx="26">
                  <c:v>3.1872823267600991E-2</c:v>
                </c:pt>
                <c:pt idx="27">
                  <c:v>4.1571945509283559E-2</c:v>
                </c:pt>
                <c:pt idx="28">
                  <c:v>5.307339710661052E-2</c:v>
                </c:pt>
                <c:pt idx="29">
                  <c:v>6.6451520980826517E-2</c:v>
                </c:pt>
                <c:pt idx="30">
                  <c:v>8.1741527900126454E-2</c:v>
                </c:pt>
                <c:pt idx="31">
                  <c:v>9.8938563063660778E-2</c:v>
                </c:pt>
                <c:pt idx="32">
                  <c:v>0.1179986069840071</c:v>
                </c:pt>
                <c:pt idx="33">
                  <c:v>0.1388409613158299</c:v>
                </c:pt>
                <c:pt idx="34">
                  <c:v>0.16135200606804967</c:v>
                </c:pt>
                <c:pt idx="35">
                  <c:v>0.18538988644935173</c:v>
                </c:pt>
                <c:pt idx="36">
                  <c:v>0.21078978936497972</c:v>
                </c:pt>
                <c:pt idx="37">
                  <c:v>0.23736949406621743</c:v>
                </c:pt>
                <c:pt idx="38">
                  <c:v>0.26493492134162133</c:v>
                </c:pt>
                <c:pt idx="39">
                  <c:v>0.29328545429089004</c:v>
                </c:pt>
                <c:pt idx="40">
                  <c:v>0.32221885559192176</c:v>
                </c:pt>
                <c:pt idx="41">
                  <c:v>0.3515356569761835</c:v>
                </c:pt>
                <c:pt idx="42">
                  <c:v>0.38104294333641653</c:v>
                </c:pt>
                <c:pt idx="43">
                  <c:v>0.41055749459972135</c:v>
                </c:pt>
                <c:pt idx="44">
                  <c:v>0.43990828224324918</c:v>
                </c:pt>
                <c:pt idx="45">
                  <c:v>0.46893834387547484</c:v>
                </c:pt>
                <c:pt idx="46">
                  <c:v>0.49750607894908017</c:v>
                </c:pt>
                <c:pt idx="47">
                  <c:v>0.52548576474819098</c:v>
                </c:pt>
                <c:pt idx="48">
                  <c:v>0.55276795922856981</c:v>
                </c:pt>
                <c:pt idx="49">
                  <c:v>0.57925968418588936</c:v>
                </c:pt>
                <c:pt idx="50">
                  <c:v>0.60488370713870776</c:v>
                </c:pt>
                <c:pt idx="51">
                  <c:v>0.62957787014960431</c:v>
                </c:pt>
                <c:pt idx="52">
                  <c:v>0.65329421776055885</c:v>
                </c:pt>
                <c:pt idx="53">
                  <c:v>0.67599797440917719</c:v>
                </c:pt>
                <c:pt idx="54">
                  <c:v>0.69766642335182638</c:v>
                </c:pt>
                <c:pt idx="55">
                  <c:v>0.71828773121410616</c:v>
                </c:pt>
                <c:pt idx="56">
                  <c:v>0.73785975480038324</c:v>
                </c:pt>
                <c:pt idx="57">
                  <c:v>0.75638885986171234</c:v>
                </c:pt>
                <c:pt idx="58">
                  <c:v>0.77388877523708854</c:v>
                </c:pt>
                <c:pt idx="59">
                  <c:v>0.79037950019639835</c:v>
                </c:pt>
                <c:pt idx="60">
                  <c:v>0.80588627793943846</c:v>
                </c:pt>
                <c:pt idx="61">
                  <c:v>0.8204386440311543</c:v>
                </c:pt>
                <c:pt idx="62">
                  <c:v>0.83406955504535951</c:v>
                </c:pt>
                <c:pt idx="63">
                  <c:v>0.84681459979984319</c:v>
                </c:pt>
                <c:pt idx="64">
                  <c:v>0.85871129323812656</c:v>
                </c:pt>
                <c:pt idx="65">
                  <c:v>0.86979845118568444</c:v>
                </c:pt>
                <c:pt idx="66">
                  <c:v>0.88011564281846366</c:v>
                </c:pt>
                <c:pt idx="67">
                  <c:v>0.88970271666757361</c:v>
                </c:pt>
                <c:pt idx="68">
                  <c:v>0.89859939528780586</c:v>
                </c:pt>
                <c:pt idx="69">
                  <c:v>0.90684493328530058</c:v>
                </c:pt>
                <c:pt idx="70">
                  <c:v>0.91447783318237097</c:v>
                </c:pt>
                <c:pt idx="71">
                  <c:v>0.9215356135519176</c:v>
                </c:pt>
                <c:pt idx="72">
                  <c:v>0.92805462394207927</c:v>
                </c:pt>
                <c:pt idx="73">
                  <c:v>0.93406990130124701</c:v>
                </c:pt>
                <c:pt idx="74">
                  <c:v>0.93961506287670304</c:v>
                </c:pt>
                <c:pt idx="75">
                  <c:v>0.94472223087395357</c:v>
                </c:pt>
                <c:pt idx="76">
                  <c:v>0.94942198450944681</c:v>
                </c:pt>
                <c:pt idx="77">
                  <c:v>0.95374333545157941</c:v>
                </c:pt>
                <c:pt idx="78">
                  <c:v>0.95771372301168167</c:v>
                </c:pt>
                <c:pt idx="79">
                  <c:v>0.96135902580874</c:v>
                </c:pt>
                <c:pt idx="80">
                  <c:v>0.96470358698197745</c:v>
                </c:pt>
                <c:pt idx="81">
                  <c:v>0.9677702503590363</c:v>
                </c:pt>
                <c:pt idx="82">
                  <c:v>0.97058040530092526</c:v>
                </c:pt>
                <c:pt idx="83">
                  <c:v>0.97315403823595403</c:v>
                </c:pt>
                <c:pt idx="84">
                  <c:v>0.97550978916243924</c:v>
                </c:pt>
                <c:pt idx="85">
                  <c:v>0.97766501164370723</c:v>
                </c:pt>
                <c:pt idx="86">
                  <c:v>0.97963583503912999</c:v>
                </c:pt>
                <c:pt idx="87">
                  <c:v>0.98143722791235843</c:v>
                </c:pt>
                <c:pt idx="88">
                  <c:v>0.9830830617336499</c:v>
                </c:pt>
                <c:pt idx="89">
                  <c:v>0.98458617414852001</c:v>
                </c:pt>
                <c:pt idx="90">
                  <c:v>0.98595843122133209</c:v>
                </c:pt>
                <c:pt idx="91">
                  <c:v>0.98721078818137398</c:v>
                </c:pt>
                <c:pt idx="92">
                  <c:v>0.98835334830200838</c:v>
                </c:pt>
                <c:pt idx="93">
                  <c:v>0.98939541963211264</c:v>
                </c:pt>
                <c:pt idx="94">
                  <c:v>0.99034556937472329</c:v>
                </c:pt>
                <c:pt idx="95">
                  <c:v>0.99121167577195213</c:v>
                </c:pt>
                <c:pt idx="96">
                  <c:v>0.9920009774091525</c:v>
                </c:pt>
                <c:pt idx="97">
                  <c:v>0.99272011989620179</c:v>
                </c:pt>
                <c:pt idx="98">
                  <c:v>0.99337519992074341</c:v>
                </c:pt>
                <c:pt idx="99">
                  <c:v>0.99397180669831686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4-BA46-AA73-F93E84ED7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96752"/>
        <c:axId val="-1003432848"/>
      </c:scatterChart>
      <c:valAx>
        <c:axId val="-97089675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699"/>
              <c:y val="0.91871193150036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3432848"/>
        <c:crosses val="autoZero"/>
        <c:crossBetween val="midCat"/>
      </c:valAx>
      <c:valAx>
        <c:axId val="-1003432848"/>
        <c:scaling>
          <c:orientation val="minMax"/>
          <c:max val="1.25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1E-2"/>
              <c:y val="0.40635050126930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96752"/>
        <c:crosses val="autoZero"/>
        <c:crossBetween val="midCat"/>
        <c:majorUnit val="0.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72166384349704"/>
          <c:y val="0.55445295944545803"/>
          <c:w val="0.13861370283909899"/>
          <c:h val="0.1365084118583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99"/>
          <c:y val="8.2539938429868606E-2"/>
          <c:w val="0.80432561719258799"/>
          <c:h val="0.8000023330417029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Greeks!$E$13</c:f>
              <c:strCache>
                <c:ptCount val="1"/>
                <c:pt idx="0">
                  <c:v>Gamma</c:v>
                </c:pt>
              </c:strCache>
            </c:strRef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Greeks!$E$14:$E$113</c:f>
              <c:numCache>
                <c:formatCode>General</c:formatCode>
                <c:ptCount val="100"/>
                <c:pt idx="0">
                  <c:v>5.0084911673274488E-82</c:v>
                </c:pt>
                <c:pt idx="1">
                  <c:v>9.2887274480900552E-56</c:v>
                </c:pt>
                <c:pt idx="2">
                  <c:v>8.2356287383920902E-43</c:v>
                </c:pt>
                <c:pt idx="3">
                  <c:v>1.0465336777613854E-34</c:v>
                </c:pt>
                <c:pt idx="4">
                  <c:v>4.8634703532361778E-29</c:v>
                </c:pt>
                <c:pt idx="5">
                  <c:v>8.2426100780573973E-25</c:v>
                </c:pt>
                <c:pt idx="6">
                  <c:v>1.6224143689431844E-21</c:v>
                </c:pt>
                <c:pt idx="7">
                  <c:v>7.1630482801383905E-19</c:v>
                </c:pt>
                <c:pt idx="8">
                  <c:v>1.065135275746814E-16</c:v>
                </c:pt>
                <c:pt idx="9">
                  <c:v>6.965758049653437E-15</c:v>
                </c:pt>
                <c:pt idx="10">
                  <c:v>2.4072251785235818E-13</c:v>
                </c:pt>
                <c:pt idx="11">
                  <c:v>5.0116465228976473E-12</c:v>
                </c:pt>
                <c:pt idx="12">
                  <c:v>6.9224540075018397E-11</c:v>
                </c:pt>
                <c:pt idx="13">
                  <c:v>6.8230412732342997E-10</c:v>
                </c:pt>
                <c:pt idx="14">
                  <c:v>5.0758667977619702E-9</c:v>
                </c:pt>
                <c:pt idx="15">
                  <c:v>2.9784494191315159E-8</c:v>
                </c:pt>
                <c:pt idx="16">
                  <c:v>1.4278203918525825E-7</c:v>
                </c:pt>
                <c:pt idx="17">
                  <c:v>5.7529612809118231E-7</c:v>
                </c:pt>
                <c:pt idx="18">
                  <c:v>1.994032342016128E-6</c:v>
                </c:pt>
                <c:pt idx="19">
                  <c:v>6.0609148017800238E-6</c:v>
                </c:pt>
                <c:pt idx="20">
                  <c:v>1.6416264277605462E-5</c:v>
                </c:pt>
                <c:pt idx="21">
                  <c:v>4.0161131085423058E-5</c:v>
                </c:pt>
                <c:pt idx="22">
                  <c:v>8.9765786773274479E-5</c:v>
                </c:pt>
                <c:pt idx="23">
                  <c:v>1.8511592842770743E-4</c:v>
                </c:pt>
                <c:pt idx="24">
                  <c:v>3.5519350655899962E-4</c:v>
                </c:pt>
                <c:pt idx="25">
                  <c:v>6.3876636209564354E-4</c:v>
                </c:pt>
                <c:pt idx="26">
                  <c:v>1.0835050388420489E-3</c:v>
                </c:pt>
                <c:pt idx="27">
                  <c:v>1.7431786325016383E-3</c:v>
                </c:pt>
                <c:pt idx="28">
                  <c:v>2.6729598579908567E-3</c:v>
                </c:pt>
                <c:pt idx="29">
                  <c:v>3.9232954716652219E-3</c:v>
                </c:pt>
                <c:pt idx="30">
                  <c:v>5.533156513490017E-3</c:v>
                </c:pt>
                <c:pt idx="31">
                  <c:v>7.5236790529149399E-3</c:v>
                </c:pt>
                <c:pt idx="32">
                  <c:v>9.8931942041304809E-3</c:v>
                </c:pt>
                <c:pt idx="33">
                  <c:v>1.2614436966213801E-2</c:v>
                </c:pt>
                <c:pt idx="34">
                  <c:v>1.563437453225024E-2</c:v>
                </c:pt>
                <c:pt idx="35">
                  <c:v>1.8876688756397735E-2</c:v>
                </c:pt>
                <c:pt idx="36">
                  <c:v>2.2246567988949247E-2</c:v>
                </c:pt>
                <c:pt idx="37">
                  <c:v>2.563717556258361E-2</c:v>
                </c:pt>
                <c:pt idx="38">
                  <c:v>2.8937001985425342E-2</c:v>
                </c:pt>
                <c:pt idx="39">
                  <c:v>3.2037281254222796E-2</c:v>
                </c:pt>
                <c:pt idx="40">
                  <c:v>3.4838739892415434E-2</c:v>
                </c:pt>
                <c:pt idx="41">
                  <c:v>3.7257116259317685E-2</c:v>
                </c:pt>
                <c:pt idx="42">
                  <c:v>3.9227097812904552E-2</c:v>
                </c:pt>
                <c:pt idx="43">
                  <c:v>4.0704538488218693E-2</c:v>
                </c:pt>
                <c:pt idx="44">
                  <c:v>4.1667008388513518E-2</c:v>
                </c:pt>
                <c:pt idx="45">
                  <c:v>4.2112875244039207E-2</c:v>
                </c:pt>
                <c:pt idx="46">
                  <c:v>4.205921361966606E-2</c:v>
                </c:pt>
                <c:pt idx="47">
                  <c:v>4.1538884339160621E-2</c:v>
                </c:pt>
                <c:pt idx="48">
                  <c:v>4.0597129829167196E-2</c:v>
                </c:pt>
                <c:pt idx="49">
                  <c:v>3.9288001279828448E-2</c:v>
                </c:pt>
                <c:pt idx="50">
                  <c:v>3.7670881971642839E-2</c:v>
                </c:pt>
                <c:pt idx="51">
                  <c:v>3.5807308474253681E-2</c:v>
                </c:pt>
                <c:pt idx="52">
                  <c:v>3.3758226572263079E-2</c:v>
                </c:pt>
                <c:pt idx="53">
                  <c:v>3.1581758334776756E-2</c:v>
                </c:pt>
                <c:pt idx="54">
                  <c:v>2.933150500522556E-2</c:v>
                </c:pt>
                <c:pt idx="55">
                  <c:v>2.7055369542696904E-2</c:v>
                </c:pt>
                <c:pt idx="56">
                  <c:v>2.4794853213882643E-2</c:v>
                </c:pt>
                <c:pt idx="57">
                  <c:v>2.2584761924138205E-2</c:v>
                </c:pt>
                <c:pt idx="58">
                  <c:v>2.0453248533361779E-2</c:v>
                </c:pt>
                <c:pt idx="59">
                  <c:v>1.8422115393202303E-2</c:v>
                </c:pt>
                <c:pt idx="60">
                  <c:v>1.6507304845899923E-2</c:v>
                </c:pt>
                <c:pt idx="61">
                  <c:v>1.4719512639483826E-2</c:v>
                </c:pt>
                <c:pt idx="62">
                  <c:v>1.3064868579177239E-2</c:v>
                </c:pt>
                <c:pt idx="63">
                  <c:v>1.154563899221649E-2</c:v>
                </c:pt>
                <c:pt idx="64">
                  <c:v>1.01609157866172E-2</c:v>
                </c:pt>
                <c:pt idx="65">
                  <c:v>8.9072663781394629E-3</c:v>
                </c:pt>
                <c:pt idx="66">
                  <c:v>7.7793271386688446E-3</c:v>
                </c:pt>
                <c:pt idx="67">
                  <c:v>6.7703300802239141E-3</c:v>
                </c:pt>
                <c:pt idx="68">
                  <c:v>5.8725581812406015E-3</c:v>
                </c:pt>
                <c:pt idx="69">
                  <c:v>5.0777291424090798E-3</c:v>
                </c:pt>
                <c:pt idx="70">
                  <c:v>4.3773105535196335E-3</c:v>
                </c:pt>
                <c:pt idx="71">
                  <c:v>3.7627716234435327E-3</c:v>
                </c:pt>
                <c:pt idx="72">
                  <c:v>3.2257779495648087E-3</c:v>
                </c:pt>
                <c:pt idx="73">
                  <c:v>2.7583364551895823E-3</c:v>
                </c:pt>
                <c:pt idx="74">
                  <c:v>2.3528977648414238E-3</c:v>
                </c:pt>
                <c:pt idx="75">
                  <c:v>2.0024230594804411E-3</c:v>
                </c:pt>
                <c:pt idx="76">
                  <c:v>1.7004219758287615E-3</c:v>
                </c:pt>
                <c:pt idx="77">
                  <c:v>1.4409674828225996E-3</c:v>
                </c:pt>
                <c:pt idx="78">
                  <c:v>1.2186929591767579E-3</c:v>
                </c:pt>
                <c:pt idx="79">
                  <c:v>1.0287759656336323E-3</c:v>
                </c:pt>
                <c:pt idx="80">
                  <c:v>8.6691249398593241E-4</c:v>
                </c:pt>
                <c:pt idx="81">
                  <c:v>7.2928480940597906E-4</c:v>
                </c:pt>
                <c:pt idx="82">
                  <c:v>6.1252539940318961E-4</c:v>
                </c:pt>
                <c:pt idx="83">
                  <c:v>5.1367901018025655E-4</c:v>
                </c:pt>
                <c:pt idx="84">
                  <c:v>4.3016429161391744E-4</c:v>
                </c:pt>
                <c:pt idx="85">
                  <c:v>3.5973618370293528E-4</c:v>
                </c:pt>
                <c:pt idx="86">
                  <c:v>3.0044985549615351E-4</c:v>
                </c:pt>
                <c:pt idx="87">
                  <c:v>2.5062674598046674E-4</c:v>
                </c:pt>
                <c:pt idx="88">
                  <c:v>2.0882304810264558E-4</c:v>
                </c:pt>
                <c:pt idx="89">
                  <c:v>1.7380081474370853E-4</c:v>
                </c:pt>
                <c:pt idx="90">
                  <c:v>1.445017419939534E-4</c:v>
                </c:pt>
                <c:pt idx="91">
                  <c:v>1.2002359390473972E-4</c:v>
                </c:pt>
                <c:pt idx="92">
                  <c:v>9.9599168069981102E-5</c:v>
                </c:pt>
                <c:pt idx="93">
                  <c:v>8.2577657675860744E-5</c:v>
                </c:pt>
                <c:pt idx="94">
                  <c:v>6.8408238534677294E-5</c:v>
                </c:pt>
                <c:pt idx="95">
                  <c:v>5.6625695268417235E-5</c:v>
                </c:pt>
                <c:pt idx="96">
                  <c:v>4.6837896056140886E-5</c:v>
                </c:pt>
                <c:pt idx="97">
                  <c:v>3.8714927613947964E-5</c:v>
                </c:pt>
                <c:pt idx="98">
                  <c:v>3.1979709254048464E-5</c:v>
                </c:pt>
                <c:pt idx="99">
                  <c:v>2.6399915325170486E-5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7942-BE73-A49A39653526}"/>
            </c:ext>
          </c:extLst>
        </c:ser>
        <c:ser>
          <c:idx val="3"/>
          <c:order val="1"/>
          <c:tx>
            <c:strRef>
              <c:f>Greeks!$F$13</c:f>
              <c:strCache>
                <c:ptCount val="1"/>
                <c:pt idx="0">
                  <c:v>Gamma+</c:v>
                </c:pt>
              </c:strCache>
            </c:strRef>
          </c:tx>
          <c:spPr>
            <a:ln w="158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Greeks!$F$14:$F$113</c:f>
              <c:numCache>
                <c:formatCode>General</c:formatCode>
                <c:ptCount val="100"/>
                <c:pt idx="0">
                  <c:v>2.1049947902087335E-36</c:v>
                </c:pt>
                <c:pt idx="1">
                  <c:v>5.5868905792686009E-25</c:v>
                </c:pt>
                <c:pt idx="2">
                  <c:v>2.2645337680339111E-19</c:v>
                </c:pt>
                <c:pt idx="3">
                  <c:v>7.1230509888636144E-16</c:v>
                </c:pt>
                <c:pt idx="4">
                  <c:v>1.9528108615958928E-13</c:v>
                </c:pt>
                <c:pt idx="5">
                  <c:v>1.2714053216316235E-11</c:v>
                </c:pt>
                <c:pt idx="6">
                  <c:v>3.2549037989507448E-10</c:v>
                </c:pt>
                <c:pt idx="7">
                  <c:v>4.3625326244918549E-9</c:v>
                </c:pt>
                <c:pt idx="8">
                  <c:v>3.6524250652014322E-8</c:v>
                </c:pt>
                <c:pt idx="9">
                  <c:v>2.1447033771891672E-7</c:v>
                </c:pt>
                <c:pt idx="10">
                  <c:v>9.564727246342566E-7</c:v>
                </c:pt>
                <c:pt idx="11">
                  <c:v>3.4289882409020124E-6</c:v>
                </c:pt>
                <c:pt idx="12">
                  <c:v>1.0303589030426439E-5</c:v>
                </c:pt>
                <c:pt idx="13">
                  <c:v>2.6780603969057632E-5</c:v>
                </c:pt>
                <c:pt idx="14">
                  <c:v>6.1687712630331936E-5</c:v>
                </c:pt>
                <c:pt idx="15">
                  <c:v>1.2834769380510469E-4</c:v>
                </c:pt>
                <c:pt idx="16">
                  <c:v>2.4489122351713965E-4</c:v>
                </c:pt>
                <c:pt idx="17">
                  <c:v>4.3378309359817633E-4</c:v>
                </c:pt>
                <c:pt idx="18">
                  <c:v>7.2050046038419464E-4</c:v>
                </c:pt>
                <c:pt idx="19">
                  <c:v>1.1314908243522483E-3</c:v>
                </c:pt>
                <c:pt idx="20">
                  <c:v>1.6916887749530585E-3</c:v>
                </c:pt>
                <c:pt idx="21">
                  <c:v>2.4219491680991011E-3</c:v>
                </c:pt>
                <c:pt idx="22">
                  <c:v>3.3367526919931144E-3</c:v>
                </c:pt>
                <c:pt idx="23">
                  <c:v>4.4424721491793826E-3</c:v>
                </c:pt>
                <c:pt idx="24">
                  <c:v>5.7363805399154337E-3</c:v>
                </c:pt>
                <c:pt idx="25">
                  <c:v>7.2064633128603181E-3</c:v>
                </c:pt>
                <c:pt idx="26">
                  <c:v>8.8319899349429618E-3</c:v>
                </c:pt>
                <c:pt idx="27">
                  <c:v>1.0584718789079526E-2</c:v>
                </c:pt>
                <c:pt idx="28">
                  <c:v>1.243056029836833E-2</c:v>
                </c:pt>
                <c:pt idx="29">
                  <c:v>1.4331505149343865E-2</c:v>
                </c:pt>
                <c:pt idx="30">
                  <c:v>1.6247632122943275E-2</c:v>
                </c:pt>
                <c:pt idx="31">
                  <c:v>1.8139035819036722E-2</c:v>
                </c:pt>
                <c:pt idx="32">
                  <c:v>1.9967550725160488E-2</c:v>
                </c:pt>
                <c:pt idx="33">
                  <c:v>2.1698187862371453E-2</c:v>
                </c:pt>
                <c:pt idx="34">
                  <c:v>2.3300238466598282E-2</c:v>
                </c:pt>
                <c:pt idx="35">
                  <c:v>2.4748032402144446E-2</c:v>
                </c:pt>
                <c:pt idx="36">
                  <c:v>2.6021365414559964E-2</c:v>
                </c:pt>
                <c:pt idx="37">
                  <c:v>2.7105628349424322E-2</c:v>
                </c:pt>
                <c:pt idx="38">
                  <c:v>2.7991683441833011E-2</c:v>
                </c:pt>
                <c:pt idx="39">
                  <c:v>2.8675538638672005E-2</c:v>
                </c:pt>
                <c:pt idx="40">
                  <c:v>2.9157871855842326E-2</c:v>
                </c:pt>
                <c:pt idx="41">
                  <c:v>2.9443454367821725E-2</c:v>
                </c:pt>
                <c:pt idx="42">
                  <c:v>2.9540517373126074E-2</c:v>
                </c:pt>
                <c:pt idx="43">
                  <c:v>2.9460099210310241E-2</c:v>
                </c:pt>
                <c:pt idx="44">
                  <c:v>2.9215403548493515E-2</c:v>
                </c:pt>
                <c:pt idx="45">
                  <c:v>2.8821191771089182E-2</c:v>
                </c:pt>
                <c:pt idx="46">
                  <c:v>2.8293226147726089E-2</c:v>
                </c:pt>
                <c:pt idx="47">
                  <c:v>2.7647774519859444E-2</c:v>
                </c:pt>
                <c:pt idx="48">
                  <c:v>2.6901182251041794E-2</c:v>
                </c:pt>
                <c:pt idx="49">
                  <c:v>2.6069513154046032E-2</c:v>
                </c:pt>
                <c:pt idx="50">
                  <c:v>2.5168257973773599E-2</c:v>
                </c:pt>
                <c:pt idx="51">
                  <c:v>2.4212106700534339E-2</c:v>
                </c:pt>
                <c:pt idx="52">
                  <c:v>2.3214779409627313E-2</c:v>
                </c:pt>
                <c:pt idx="53">
                  <c:v>2.2188909355409958E-2</c:v>
                </c:pt>
                <c:pt idx="54">
                  <c:v>2.1145971575717421E-2</c:v>
                </c:pt>
                <c:pt idx="55">
                  <c:v>2.0096250176641534E-2</c:v>
                </c:pt>
                <c:pt idx="56">
                  <c:v>1.9048837670345431E-2</c:v>
                </c:pt>
                <c:pt idx="57">
                  <c:v>1.8011660145076283E-2</c:v>
                </c:pt>
                <c:pt idx="58">
                  <c:v>1.6991522586093426E-2</c:v>
                </c:pt>
                <c:pt idx="59">
                  <c:v>1.5994169281665242E-2</c:v>
                </c:pt>
                <c:pt idx="60">
                  <c:v>1.5024354894916148E-2</c:v>
                </c:pt>
                <c:pt idx="61">
                  <c:v>1.4085922426483965E-2</c:v>
                </c:pt>
                <c:pt idx="62">
                  <c:v>1.3181884910482453E-2</c:v>
                </c:pt>
                <c:pt idx="63">
                  <c:v>1.2314508260778428E-2</c:v>
                </c:pt>
                <c:pt idx="64">
                  <c:v>1.1485393206015179E-2</c:v>
                </c:pt>
                <c:pt idx="65">
                  <c:v>1.0695554714988668E-2</c:v>
                </c:pt>
                <c:pt idx="66">
                  <c:v>9.9454977174777363E-3</c:v>
                </c:pt>
                <c:pt idx="67">
                  <c:v>9.2352882707186293E-3</c:v>
                </c:pt>
                <c:pt idx="68">
                  <c:v>8.5646196115461565E-3</c:v>
                </c:pt>
                <c:pt idx="69">
                  <c:v>7.9328727731510142E-3</c:v>
                </c:pt>
                <c:pt idx="70">
                  <c:v>7.3391716384648351E-3</c:v>
                </c:pt>
                <c:pt idx="71">
                  <c:v>6.7824324547056903E-3</c:v>
                </c:pt>
                <c:pt idx="72">
                  <c:v>6.261407950925597E-3</c:v>
                </c:pt>
                <c:pt idx="73">
                  <c:v>5.7747262876173631E-3</c:v>
                </c:pt>
                <c:pt idx="74">
                  <c:v>5.3209251293448168E-3</c:v>
                </c:pt>
                <c:pt idx="75">
                  <c:v>4.8984811723197077E-3</c:v>
                </c:pt>
                <c:pt idx="76">
                  <c:v>4.5058354827609811E-3</c:v>
                </c:pt>
                <c:pt idx="77">
                  <c:v>4.1414150121673226E-3</c:v>
                </c:pt>
                <c:pt idx="78">
                  <c:v>3.8036506552792432E-3</c:v>
                </c:pt>
                <c:pt idx="79">
                  <c:v>3.4909922080341451E-3</c:v>
                </c:pt>
                <c:pt idx="80">
                  <c:v>3.2019205683557761E-3</c:v>
                </c:pt>
                <c:pt idx="81">
                  <c:v>2.9349575039334208E-3</c:v>
                </c:pt>
                <c:pt idx="82">
                  <c:v>2.6886732896791708E-3</c:v>
                </c:pt>
                <c:pt idx="83">
                  <c:v>2.4616924944637032E-3</c:v>
                </c:pt>
                <c:pt idx="84">
                  <c:v>2.2526981729397147E-3</c:v>
                </c:pt>
                <c:pt idx="85">
                  <c:v>2.0604346944779238E-3</c:v>
                </c:pt>
                <c:pt idx="86">
                  <c:v>1.8837094179992343E-3</c:v>
                </c:pt>
                <c:pt idx="87">
                  <c:v>1.7213933991809039E-3</c:v>
                </c:pt>
                <c:pt idx="88">
                  <c:v>1.5724212954178059E-3</c:v>
                </c:pt>
                <c:pt idx="89">
                  <c:v>1.4357906142104184E-3</c:v>
                </c:pt>
                <c:pt idx="90">
                  <c:v>1.3105604324315722E-3</c:v>
                </c:pt>
                <c:pt idx="91">
                  <c:v>1.195849697236484E-3</c:v>
                </c:pt>
                <c:pt idx="92">
                  <c:v>1.0908352042227529E-3</c:v>
                </c:pt>
                <c:pt idx="93">
                  <c:v>9.9474933478141056E-4</c:v>
                </c:pt>
                <c:pt idx="94">
                  <c:v>9.0687762234530447E-4</c:v>
                </c:pt>
                <c:pt idx="95">
                  <c:v>8.2655620635819344E-4</c:v>
                </c:pt>
                <c:pt idx="96">
                  <c:v>7.5316922316741677E-4</c:v>
                </c:pt>
                <c:pt idx="97">
                  <c:v>6.8614617458907323E-4</c:v>
                </c:pt>
                <c:pt idx="98">
                  <c:v>6.2495930750941303E-4</c:v>
                </c:pt>
                <c:pt idx="99">
                  <c:v>5.6912103147197998E-4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7942-BE73-A49A3965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98176"/>
        <c:axId val="-968694784"/>
      </c:scatterChart>
      <c:valAx>
        <c:axId val="-968698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"/>
              <c:y val="0.9047646595196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4784"/>
        <c:crosses val="autoZero"/>
        <c:crossBetween val="midCat"/>
      </c:valAx>
      <c:valAx>
        <c:axId val="-96869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3001E-2"/>
              <c:y val="0.377779206170657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8176"/>
        <c:crosses val="autoZero"/>
        <c:crossBetween val="midCat"/>
        <c:majorUnit val="0.0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863637048558398"/>
          <c:y val="0.49477909181851099"/>
          <c:w val="0.145396046733096"/>
          <c:h val="0.136508344620187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'Delta Hedge'!$F$11</c:f>
              <c:strCache>
                <c:ptCount val="1"/>
                <c:pt idx="0">
                  <c:v>Cum P&amp;L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Hedge'!$F$12:$F$112</c:f>
              <c:numCache>
                <c:formatCode>#,##0.00</c:formatCode>
                <c:ptCount val="101"/>
                <c:pt idx="0">
                  <c:v>63.683058735763588</c:v>
                </c:pt>
                <c:pt idx="1">
                  <c:v>68.342887273579237</c:v>
                </c:pt>
                <c:pt idx="2">
                  <c:v>71.599449455705695</c:v>
                </c:pt>
                <c:pt idx="3">
                  <c:v>72.000995534029002</c:v>
                </c:pt>
                <c:pt idx="4">
                  <c:v>72.000179941805087</c:v>
                </c:pt>
                <c:pt idx="5">
                  <c:v>71.116069030274801</c:v>
                </c:pt>
                <c:pt idx="6">
                  <c:v>76.4503213392791</c:v>
                </c:pt>
                <c:pt idx="7">
                  <c:v>73.096481928110819</c:v>
                </c:pt>
                <c:pt idx="8">
                  <c:v>74.866415925013769</c:v>
                </c:pt>
                <c:pt idx="9">
                  <c:v>80.825994580132146</c:v>
                </c:pt>
                <c:pt idx="10">
                  <c:v>81.597525920079306</c:v>
                </c:pt>
                <c:pt idx="11">
                  <c:v>83.277552106237934</c:v>
                </c:pt>
                <c:pt idx="12">
                  <c:v>86.583972405843284</c:v>
                </c:pt>
                <c:pt idx="13">
                  <c:v>83.215153791412177</c:v>
                </c:pt>
                <c:pt idx="14">
                  <c:v>83.078976198135138</c:v>
                </c:pt>
                <c:pt idx="15">
                  <c:v>82.429753129399543</c:v>
                </c:pt>
                <c:pt idx="16">
                  <c:v>82.010234042547708</c:v>
                </c:pt>
                <c:pt idx="17">
                  <c:v>80.438203957501699</c:v>
                </c:pt>
                <c:pt idx="18">
                  <c:v>79.0343889814459</c:v>
                </c:pt>
                <c:pt idx="19">
                  <c:v>81.569596254370921</c:v>
                </c:pt>
                <c:pt idx="20">
                  <c:v>82.940652022009175</c:v>
                </c:pt>
                <c:pt idx="21">
                  <c:v>78.585160016232379</c:v>
                </c:pt>
                <c:pt idx="22">
                  <c:v>76.12816363834115</c:v>
                </c:pt>
                <c:pt idx="23">
                  <c:v>76.303990483665828</c:v>
                </c:pt>
                <c:pt idx="24">
                  <c:v>73.139741428522015</c:v>
                </c:pt>
                <c:pt idx="25">
                  <c:v>75.524185807947319</c:v>
                </c:pt>
                <c:pt idx="26">
                  <c:v>78.972170847598576</c:v>
                </c:pt>
                <c:pt idx="27">
                  <c:v>77.989620411426259</c:v>
                </c:pt>
                <c:pt idx="28">
                  <c:v>80.40250818765152</c:v>
                </c:pt>
                <c:pt idx="29">
                  <c:v>79.537426678834422</c:v>
                </c:pt>
                <c:pt idx="30">
                  <c:v>80.694133056377325</c:v>
                </c:pt>
                <c:pt idx="31">
                  <c:v>85.422173581608192</c:v>
                </c:pt>
                <c:pt idx="32">
                  <c:v>81.872932445247045</c:v>
                </c:pt>
                <c:pt idx="33">
                  <c:v>84.053568461263794</c:v>
                </c:pt>
                <c:pt idx="34">
                  <c:v>82.49736175574192</c:v>
                </c:pt>
                <c:pt idx="35">
                  <c:v>70.692096808734988</c:v>
                </c:pt>
                <c:pt idx="36">
                  <c:v>75.354583637820127</c:v>
                </c:pt>
                <c:pt idx="37">
                  <c:v>81.538532324323938</c:v>
                </c:pt>
                <c:pt idx="38">
                  <c:v>82.150837209377968</c:v>
                </c:pt>
                <c:pt idx="39">
                  <c:v>83.345583822481288</c:v>
                </c:pt>
                <c:pt idx="40">
                  <c:v>85.08168495106402</c:v>
                </c:pt>
                <c:pt idx="41">
                  <c:v>78.682524397282862</c:v>
                </c:pt>
                <c:pt idx="42">
                  <c:v>83.692012696377589</c:v>
                </c:pt>
                <c:pt idx="43">
                  <c:v>85.831973589274043</c:v>
                </c:pt>
                <c:pt idx="44">
                  <c:v>81.561159363105148</c:v>
                </c:pt>
                <c:pt idx="45">
                  <c:v>77.571194877853799</c:v>
                </c:pt>
                <c:pt idx="46">
                  <c:v>72.691321341513671</c:v>
                </c:pt>
                <c:pt idx="47">
                  <c:v>64.628322355837867</c:v>
                </c:pt>
                <c:pt idx="48">
                  <c:v>65.050249877333442</c:v>
                </c:pt>
                <c:pt idx="49">
                  <c:v>65.269214859355614</c:v>
                </c:pt>
                <c:pt idx="50">
                  <c:v>60.282979044181644</c:v>
                </c:pt>
                <c:pt idx="51">
                  <c:v>59.281241657037803</c:v>
                </c:pt>
                <c:pt idx="52">
                  <c:v>54.109962714475081</c:v>
                </c:pt>
                <c:pt idx="53">
                  <c:v>50.839358726967617</c:v>
                </c:pt>
                <c:pt idx="54">
                  <c:v>50.058301216856712</c:v>
                </c:pt>
                <c:pt idx="55">
                  <c:v>49.585024797988297</c:v>
                </c:pt>
                <c:pt idx="56">
                  <c:v>52.743411160554018</c:v>
                </c:pt>
                <c:pt idx="57">
                  <c:v>55.525405994699405</c:v>
                </c:pt>
                <c:pt idx="58">
                  <c:v>52.250300884932457</c:v>
                </c:pt>
                <c:pt idx="59">
                  <c:v>57.698675789336455</c:v>
                </c:pt>
                <c:pt idx="60">
                  <c:v>61.502670507371057</c:v>
                </c:pt>
                <c:pt idx="61">
                  <c:v>60.421601023327767</c:v>
                </c:pt>
                <c:pt idx="62">
                  <c:v>53.778862430275588</c:v>
                </c:pt>
                <c:pt idx="63">
                  <c:v>47.653047969243801</c:v>
                </c:pt>
                <c:pt idx="64">
                  <c:v>48.836201851371662</c:v>
                </c:pt>
                <c:pt idx="65">
                  <c:v>64.970557295088582</c:v>
                </c:pt>
                <c:pt idx="66">
                  <c:v>70.207699363295845</c:v>
                </c:pt>
                <c:pt idx="67">
                  <c:v>61.63858079041605</c:v>
                </c:pt>
                <c:pt idx="68">
                  <c:v>53.822956975947044</c:v>
                </c:pt>
                <c:pt idx="69">
                  <c:v>54.342940128650625</c:v>
                </c:pt>
                <c:pt idx="70">
                  <c:v>57.1677622286252</c:v>
                </c:pt>
                <c:pt idx="71">
                  <c:v>57.254879227519673</c:v>
                </c:pt>
                <c:pt idx="72">
                  <c:v>47.287821811226777</c:v>
                </c:pt>
                <c:pt idx="73">
                  <c:v>61.423496445413086</c:v>
                </c:pt>
                <c:pt idx="74">
                  <c:v>76.026519534811641</c:v>
                </c:pt>
                <c:pt idx="75">
                  <c:v>77.773029909585404</c:v>
                </c:pt>
                <c:pt idx="76">
                  <c:v>77.938225701509637</c:v>
                </c:pt>
                <c:pt idx="77">
                  <c:v>73.009008068962842</c:v>
                </c:pt>
                <c:pt idx="78">
                  <c:v>79.481933919675356</c:v>
                </c:pt>
                <c:pt idx="79">
                  <c:v>79.406098454993625</c:v>
                </c:pt>
                <c:pt idx="80">
                  <c:v>89.807404657096882</c:v>
                </c:pt>
                <c:pt idx="81">
                  <c:v>92.561821282602352</c:v>
                </c:pt>
                <c:pt idx="82">
                  <c:v>87.473038228463523</c:v>
                </c:pt>
                <c:pt idx="83">
                  <c:v>80.350471225602845</c:v>
                </c:pt>
                <c:pt idx="84">
                  <c:v>75.734568133680369</c:v>
                </c:pt>
                <c:pt idx="85">
                  <c:v>70.076982243172012</c:v>
                </c:pt>
                <c:pt idx="86">
                  <c:v>53.93861185311134</c:v>
                </c:pt>
                <c:pt idx="87">
                  <c:v>39.600113140865602</c:v>
                </c:pt>
                <c:pt idx="88">
                  <c:v>34.254628275441249</c:v>
                </c:pt>
                <c:pt idx="89">
                  <c:v>26.254266534117193</c:v>
                </c:pt>
                <c:pt idx="90">
                  <c:v>24.945382619276376</c:v>
                </c:pt>
                <c:pt idx="91">
                  <c:v>27.261081163369713</c:v>
                </c:pt>
                <c:pt idx="92">
                  <c:v>30.556503380106868</c:v>
                </c:pt>
                <c:pt idx="93">
                  <c:v>18.708168186102235</c:v>
                </c:pt>
                <c:pt idx="94">
                  <c:v>13.052261603798293</c:v>
                </c:pt>
                <c:pt idx="95">
                  <c:v>10.851038431547984</c:v>
                </c:pt>
                <c:pt idx="96">
                  <c:v>12.118428536410974</c:v>
                </c:pt>
                <c:pt idx="97">
                  <c:v>15.072276977669695</c:v>
                </c:pt>
                <c:pt idx="98">
                  <c:v>18.557917104210723</c:v>
                </c:pt>
                <c:pt idx="99">
                  <c:v>10.94560048465328</c:v>
                </c:pt>
                <c:pt idx="100">
                  <c:v>10.507407611776992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934192"/>
        <c:axId val="-1002525520"/>
      </c:scatterChart>
      <c:scatterChart>
        <c:scatterStyle val="lineMarker"/>
        <c:varyColors val="0"/>
        <c:ser>
          <c:idx val="1"/>
          <c:order val="0"/>
          <c:tx>
            <c:strRef>
              <c:f>'Delta Hedge'!$I$11</c:f>
              <c:strCache>
                <c:ptCount val="1"/>
                <c:pt idx="0">
                  <c:v>Gamma_BS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Hedge'!$I$12:$I$112</c:f>
              <c:numCache>
                <c:formatCode>0.000</c:formatCode>
                <c:ptCount val="101"/>
                <c:pt idx="0">
                  <c:v>1.8762017505869651E-2</c:v>
                </c:pt>
                <c:pt idx="1">
                  <c:v>1.7483687053803012E-2</c:v>
                </c:pt>
                <c:pt idx="2">
                  <c:v>1.6490628751592889E-2</c:v>
                </c:pt>
                <c:pt idx="3">
                  <c:v>1.6443429895452208E-2</c:v>
                </c:pt>
                <c:pt idx="4">
                  <c:v>1.6540093777333866E-2</c:v>
                </c:pt>
                <c:pt idx="5">
                  <c:v>1.6952399311882166E-2</c:v>
                </c:pt>
                <c:pt idx="6">
                  <c:v>1.5076874872534779E-2</c:v>
                </c:pt>
                <c:pt idx="7">
                  <c:v>1.6479113118322477E-2</c:v>
                </c:pt>
                <c:pt idx="8">
                  <c:v>1.5912254480729877E-2</c:v>
                </c:pt>
                <c:pt idx="9">
                  <c:v>1.3581566922905609E-2</c:v>
                </c:pt>
                <c:pt idx="10">
                  <c:v>1.3333680145115073E-2</c:v>
                </c:pt>
                <c:pt idx="11">
                  <c:v>1.2663379331128837E-2</c:v>
                </c:pt>
                <c:pt idx="12">
                  <c:v>1.1183217100716406E-2</c:v>
                </c:pt>
                <c:pt idx="13">
                  <c:v>1.291881999068081E-2</c:v>
                </c:pt>
                <c:pt idx="14">
                  <c:v>1.3080708293325157E-2</c:v>
                </c:pt>
                <c:pt idx="15">
                  <c:v>1.3485284444848296E-2</c:v>
                </c:pt>
                <c:pt idx="16">
                  <c:v>1.3783571732064846E-2</c:v>
                </c:pt>
                <c:pt idx="17">
                  <c:v>1.4613244815242099E-2</c:v>
                </c:pt>
                <c:pt idx="18">
                  <c:v>1.5352592247908673E-2</c:v>
                </c:pt>
                <c:pt idx="19">
                  <c:v>1.4323699063247777E-2</c:v>
                </c:pt>
                <c:pt idx="20">
                  <c:v>1.3786904786223832E-2</c:v>
                </c:pt>
                <c:pt idx="21">
                  <c:v>1.5936104498374022E-2</c:v>
                </c:pt>
                <c:pt idx="22">
                  <c:v>1.7120764557806416E-2</c:v>
                </c:pt>
                <c:pt idx="23">
                  <c:v>1.7174514995696236E-2</c:v>
                </c:pt>
                <c:pt idx="24">
                  <c:v>1.8598440684647249E-2</c:v>
                </c:pt>
                <c:pt idx="25">
                  <c:v>1.7779978746961619E-2</c:v>
                </c:pt>
                <c:pt idx="26">
                  <c:v>1.6425814918013065E-2</c:v>
                </c:pt>
                <c:pt idx="27">
                  <c:v>1.7003004824072944E-2</c:v>
                </c:pt>
                <c:pt idx="28">
                  <c:v>1.6034965702294228E-2</c:v>
                </c:pt>
                <c:pt idx="29">
                  <c:v>1.6579103847198583E-2</c:v>
                </c:pt>
                <c:pt idx="30">
                  <c:v>1.617036720550161E-2</c:v>
                </c:pt>
                <c:pt idx="31">
                  <c:v>1.3930174350770416E-2</c:v>
                </c:pt>
                <c:pt idx="32">
                  <c:v>1.5921459682939561E-2</c:v>
                </c:pt>
                <c:pt idx="33">
                  <c:v>1.495003244837478E-2</c:v>
                </c:pt>
                <c:pt idx="34">
                  <c:v>1.590493049033433E-2</c:v>
                </c:pt>
                <c:pt idx="35">
                  <c:v>2.1441428997890689E-2</c:v>
                </c:pt>
                <c:pt idx="36">
                  <c:v>1.976940476827246E-2</c:v>
                </c:pt>
                <c:pt idx="37">
                  <c:v>1.7087782056060659E-2</c:v>
                </c:pt>
                <c:pt idx="38">
                  <c:v>1.6937805675935856E-2</c:v>
                </c:pt>
                <c:pt idx="39">
                  <c:v>1.6476218387732257E-2</c:v>
                </c:pt>
                <c:pt idx="40">
                  <c:v>1.5695376440084074E-2</c:v>
                </c:pt>
                <c:pt idx="41">
                  <c:v>1.9248763455227892E-2</c:v>
                </c:pt>
                <c:pt idx="42">
                  <c:v>1.6885353251549405E-2</c:v>
                </c:pt>
                <c:pt idx="43">
                  <c:v>1.5861848985098848E-2</c:v>
                </c:pt>
                <c:pt idx="44">
                  <c:v>1.8428128239811093E-2</c:v>
                </c:pt>
                <c:pt idx="45">
                  <c:v>2.0649388867166465E-2</c:v>
                </c:pt>
                <c:pt idx="46">
                  <c:v>2.3060589375359753E-2</c:v>
                </c:pt>
                <c:pt idx="47">
                  <c:v>2.6195707368511192E-2</c:v>
                </c:pt>
                <c:pt idx="48">
                  <c:v>2.6322353097843323E-2</c:v>
                </c:pt>
                <c:pt idx="49">
                  <c:v>2.6514817602654922E-2</c:v>
                </c:pt>
                <c:pt idx="50">
                  <c:v>2.8120384304754893E-2</c:v>
                </c:pt>
                <c:pt idx="51">
                  <c:v>2.861666366070887E-2</c:v>
                </c:pt>
                <c:pt idx="52">
                  <c:v>2.9744467509471417E-2</c:v>
                </c:pt>
                <c:pt idx="53">
                  <c:v>3.0302197492888271E-2</c:v>
                </c:pt>
                <c:pt idx="54">
                  <c:v>3.06346072593629E-2</c:v>
                </c:pt>
                <c:pt idx="55">
                  <c:v>3.0957883100665547E-2</c:v>
                </c:pt>
                <c:pt idx="56">
                  <c:v>3.1128166056668401E-2</c:v>
                </c:pt>
                <c:pt idx="57">
                  <c:v>3.1166080752502962E-2</c:v>
                </c:pt>
                <c:pt idx="58">
                  <c:v>3.1855942179731651E-2</c:v>
                </c:pt>
                <c:pt idx="59">
                  <c:v>3.1554260639875917E-2</c:v>
                </c:pt>
                <c:pt idx="60">
                  <c:v>3.1123897810954291E-2</c:v>
                </c:pt>
                <c:pt idx="61">
                  <c:v>3.1776509872147522E-2</c:v>
                </c:pt>
                <c:pt idx="62">
                  <c:v>3.3284448967258747E-2</c:v>
                </c:pt>
                <c:pt idx="63">
                  <c:v>3.3852311121826101E-2</c:v>
                </c:pt>
                <c:pt idx="64">
                  <c:v>3.4328579207167205E-2</c:v>
                </c:pt>
                <c:pt idx="65">
                  <c:v>3.240538764294694E-2</c:v>
                </c:pt>
                <c:pt idx="66">
                  <c:v>3.0966575357326807E-2</c:v>
                </c:pt>
                <c:pt idx="67">
                  <c:v>3.436724358197972E-2</c:v>
                </c:pt>
                <c:pt idx="68">
                  <c:v>3.618076725993883E-2</c:v>
                </c:pt>
                <c:pt idx="69">
                  <c:v>3.6693122209958171E-2</c:v>
                </c:pt>
                <c:pt idx="70">
                  <c:v>3.6946565271646983E-2</c:v>
                </c:pt>
                <c:pt idx="71">
                  <c:v>3.7546457052023537E-2</c:v>
                </c:pt>
                <c:pt idx="72">
                  <c:v>3.8440265434182802E-2</c:v>
                </c:pt>
                <c:pt idx="73">
                  <c:v>3.8133160221670265E-2</c:v>
                </c:pt>
                <c:pt idx="74">
                  <c:v>3.3009085628623279E-2</c:v>
                </c:pt>
                <c:pt idx="75">
                  <c:v>3.2655113861960051E-2</c:v>
                </c:pt>
                <c:pt idx="76">
                  <c:v>3.3263827061190604E-2</c:v>
                </c:pt>
                <c:pt idx="77">
                  <c:v>3.6915593772466254E-2</c:v>
                </c:pt>
                <c:pt idx="78">
                  <c:v>3.3845249355982793E-2</c:v>
                </c:pt>
                <c:pt idx="79">
                  <c:v>3.4744501322882003E-2</c:v>
                </c:pt>
                <c:pt idx="80">
                  <c:v>2.6899832864282106E-2</c:v>
                </c:pt>
                <c:pt idx="81">
                  <c:v>2.4770567654016036E-2</c:v>
                </c:pt>
                <c:pt idx="82">
                  <c:v>3.0951295466437434E-2</c:v>
                </c:pt>
                <c:pt idx="83">
                  <c:v>3.8362738971844335E-2</c:v>
                </c:pt>
                <c:pt idx="84">
                  <c:v>4.304590407401547E-2</c:v>
                </c:pt>
                <c:pt idx="85">
                  <c:v>4.7942203406547833E-2</c:v>
                </c:pt>
                <c:pt idx="86">
                  <c:v>5.3985067749062719E-2</c:v>
                </c:pt>
                <c:pt idx="87">
                  <c:v>5.1581417966813509E-2</c:v>
                </c:pt>
                <c:pt idx="88">
                  <c:v>4.9392891488105023E-2</c:v>
                </c:pt>
                <c:pt idx="89">
                  <c:v>4.157370061025261E-2</c:v>
                </c:pt>
                <c:pt idx="90">
                  <c:v>4.1282334222082752E-2</c:v>
                </c:pt>
                <c:pt idx="91">
                  <c:v>4.7188147870799675E-2</c:v>
                </c:pt>
                <c:pt idx="92">
                  <c:v>5.4867874172148091E-2</c:v>
                </c:pt>
                <c:pt idx="93">
                  <c:v>3.3414146235351272E-2</c:v>
                </c:pt>
                <c:pt idx="94">
                  <c:v>1.4769027544315735E-2</c:v>
                </c:pt>
                <c:pt idx="95">
                  <c:v>2.8378898518866508E-3</c:v>
                </c:pt>
                <c:pt idx="96">
                  <c:v>1.1806802408974073E-2</c:v>
                </c:pt>
                <c:pt idx="97">
                  <c:v>3.0999567469952177E-2</c:v>
                </c:pt>
                <c:pt idx="98">
                  <c:v>5.7286183297139831E-2</c:v>
                </c:pt>
                <c:pt idx="99">
                  <c:v>7.1966261211578115E-3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2705616"/>
        <c:axId val="-1002703296"/>
      </c:scatterChart>
      <c:valAx>
        <c:axId val="-97093419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525520"/>
        <c:crosses val="autoZero"/>
        <c:crossBetween val="midCat"/>
      </c:valAx>
      <c:valAx>
        <c:axId val="-100252552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934192"/>
        <c:crosses val="autoZero"/>
        <c:crossBetween val="midCat"/>
      </c:valAx>
      <c:valAx>
        <c:axId val="-100270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2703296"/>
        <c:crosses val="autoZero"/>
        <c:crossBetween val="midCat"/>
      </c:valAx>
      <c:valAx>
        <c:axId val="-100270329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70561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97.292811549160419</c:v>
                </c:pt>
                <c:pt idx="2">
                  <c:v>94.234904460672496</c:v>
                </c:pt>
                <c:pt idx="3">
                  <c:v>97.717030453193843</c:v>
                </c:pt>
                <c:pt idx="4">
                  <c:v>99.22239620600503</c:v>
                </c:pt>
                <c:pt idx="5">
                  <c:v>99.258064902598164</c:v>
                </c:pt>
                <c:pt idx="6">
                  <c:v>95.438197071249277</c:v>
                </c:pt>
                <c:pt idx="7">
                  <c:v>93.015751938868775</c:v>
                </c:pt>
                <c:pt idx="8">
                  <c:v>87.197705708782237</c:v>
                </c:pt>
                <c:pt idx="9">
                  <c:v>87.411230560893173</c:v>
                </c:pt>
                <c:pt idx="10">
                  <c:v>88.212504097529362</c:v>
                </c:pt>
                <c:pt idx="11">
                  <c:v>89.394297918036742</c:v>
                </c:pt>
                <c:pt idx="12">
                  <c:v>86.632078177017092</c:v>
                </c:pt>
                <c:pt idx="13">
                  <c:v>87.236830772131185</c:v>
                </c:pt>
                <c:pt idx="14">
                  <c:v>90.320248061128098</c:v>
                </c:pt>
                <c:pt idx="15">
                  <c:v>89.363978936497588</c:v>
                </c:pt>
                <c:pt idx="16">
                  <c:v>90.066909943120535</c:v>
                </c:pt>
                <c:pt idx="17">
                  <c:v>89.864938007957676</c:v>
                </c:pt>
                <c:pt idx="18">
                  <c:v>91.377474738616201</c:v>
                </c:pt>
                <c:pt idx="19">
                  <c:v>88.444379073313144</c:v>
                </c:pt>
                <c:pt idx="20">
                  <c:v>88.061161614383778</c:v>
                </c:pt>
                <c:pt idx="21">
                  <c:v>82.613557970984303</c:v>
                </c:pt>
                <c:pt idx="22">
                  <c:v>86.730794923485178</c:v>
                </c:pt>
                <c:pt idx="23">
                  <c:v>86.705880347599617</c:v>
                </c:pt>
                <c:pt idx="24">
                  <c:v>87.402098881390145</c:v>
                </c:pt>
                <c:pt idx="25">
                  <c:v>91.632594737361146</c:v>
                </c:pt>
                <c:pt idx="26">
                  <c:v>92.075679351069311</c:v>
                </c:pt>
                <c:pt idx="27">
                  <c:v>96.733570605916981</c:v>
                </c:pt>
                <c:pt idx="28">
                  <c:v>96.21886944944454</c:v>
                </c:pt>
                <c:pt idx="29">
                  <c:v>95.557369726056777</c:v>
                </c:pt>
                <c:pt idx="30">
                  <c:v>97.316348945015307</c:v>
                </c:pt>
                <c:pt idx="31">
                  <c:v>95.625936717882638</c:v>
                </c:pt>
                <c:pt idx="32">
                  <c:v>97.561726350764658</c:v>
                </c:pt>
                <c:pt idx="33">
                  <c:v>95.223796336863742</c:v>
                </c:pt>
                <c:pt idx="34">
                  <c:v>91.999253520666016</c:v>
                </c:pt>
                <c:pt idx="35">
                  <c:v>90.355262752089203</c:v>
                </c:pt>
                <c:pt idx="36">
                  <c:v>90.068630151965309</c:v>
                </c:pt>
                <c:pt idx="37">
                  <c:v>88.133210136802205</c:v>
                </c:pt>
                <c:pt idx="38">
                  <c:v>89.815314195121559</c:v>
                </c:pt>
                <c:pt idx="39">
                  <c:v>89.384033067686957</c:v>
                </c:pt>
                <c:pt idx="40">
                  <c:v>93.263386135519838</c:v>
                </c:pt>
                <c:pt idx="41">
                  <c:v>100.07262041610826</c:v>
                </c:pt>
                <c:pt idx="42">
                  <c:v>97.648460540315043</c:v>
                </c:pt>
                <c:pt idx="43">
                  <c:v>98.608579053350283</c:v>
                </c:pt>
                <c:pt idx="44">
                  <c:v>96.217741324450714</c:v>
                </c:pt>
                <c:pt idx="45">
                  <c:v>94.483162922164709</c:v>
                </c:pt>
                <c:pt idx="46">
                  <c:v>98.018620224909441</c:v>
                </c:pt>
                <c:pt idx="47">
                  <c:v>97.860582966472933</c:v>
                </c:pt>
                <c:pt idx="48">
                  <c:v>92.393812154847623</c:v>
                </c:pt>
                <c:pt idx="49">
                  <c:v>87.871738004591208</c:v>
                </c:pt>
                <c:pt idx="50">
                  <c:v>86.968085849165433</c:v>
                </c:pt>
                <c:pt idx="51">
                  <c:v>87.091776118889257</c:v>
                </c:pt>
                <c:pt idx="52">
                  <c:v>91.076697732793079</c:v>
                </c:pt>
                <c:pt idx="53">
                  <c:v>92.570362251946818</c:v>
                </c:pt>
                <c:pt idx="54">
                  <c:v>91.929591934026476</c:v>
                </c:pt>
                <c:pt idx="55">
                  <c:v>92.090928572382566</c:v>
                </c:pt>
                <c:pt idx="56">
                  <c:v>91.99513158252671</c:v>
                </c:pt>
                <c:pt idx="57">
                  <c:v>90.863265852505151</c:v>
                </c:pt>
                <c:pt idx="58">
                  <c:v>88.818435285694719</c:v>
                </c:pt>
                <c:pt idx="59">
                  <c:v>89.963635681142691</c:v>
                </c:pt>
                <c:pt idx="60">
                  <c:v>91.376958020624983</c:v>
                </c:pt>
                <c:pt idx="61">
                  <c:v>88.763003876541177</c:v>
                </c:pt>
                <c:pt idx="62">
                  <c:v>88.086678979012007</c:v>
                </c:pt>
                <c:pt idx="63">
                  <c:v>89.88965741728272</c:v>
                </c:pt>
                <c:pt idx="64">
                  <c:v>90.950082655290515</c:v>
                </c:pt>
                <c:pt idx="65">
                  <c:v>91.036299781617544</c:v>
                </c:pt>
                <c:pt idx="66">
                  <c:v>94.642417802999162</c:v>
                </c:pt>
                <c:pt idx="67">
                  <c:v>93.122787852522649</c:v>
                </c:pt>
                <c:pt idx="68">
                  <c:v>93.22480215441</c:v>
                </c:pt>
                <c:pt idx="69">
                  <c:v>91.405961735784444</c:v>
                </c:pt>
                <c:pt idx="70">
                  <c:v>93.057874206194029</c:v>
                </c:pt>
                <c:pt idx="71">
                  <c:v>91.7705013226131</c:v>
                </c:pt>
                <c:pt idx="72">
                  <c:v>95.264368357404095</c:v>
                </c:pt>
                <c:pt idx="73">
                  <c:v>97.489174342591099</c:v>
                </c:pt>
                <c:pt idx="74">
                  <c:v>101.53936202426215</c:v>
                </c:pt>
                <c:pt idx="75">
                  <c:v>104.70724659412485</c:v>
                </c:pt>
                <c:pt idx="76">
                  <c:v>105.75627068356656</c:v>
                </c:pt>
                <c:pt idx="77">
                  <c:v>101.90366835984048</c:v>
                </c:pt>
                <c:pt idx="78">
                  <c:v>100.06870271769407</c:v>
                </c:pt>
                <c:pt idx="79">
                  <c:v>99.391174556807627</c:v>
                </c:pt>
                <c:pt idx="80">
                  <c:v>101.03650574817304</c:v>
                </c:pt>
                <c:pt idx="81">
                  <c:v>102.62730416287741</c:v>
                </c:pt>
                <c:pt idx="82">
                  <c:v>100.7185695251664</c:v>
                </c:pt>
                <c:pt idx="83">
                  <c:v>100.92464054589695</c:v>
                </c:pt>
                <c:pt idx="84">
                  <c:v>101.65511597380579</c:v>
                </c:pt>
                <c:pt idx="85">
                  <c:v>101.89112028504927</c:v>
                </c:pt>
                <c:pt idx="86">
                  <c:v>106.50781142094435</c:v>
                </c:pt>
                <c:pt idx="87">
                  <c:v>106.17670676705572</c:v>
                </c:pt>
                <c:pt idx="88">
                  <c:v>102.77230644253453</c:v>
                </c:pt>
                <c:pt idx="89">
                  <c:v>103.96907923774779</c:v>
                </c:pt>
                <c:pt idx="90">
                  <c:v>105.77196157501061</c:v>
                </c:pt>
                <c:pt idx="91">
                  <c:v>105.40388147030255</c:v>
                </c:pt>
                <c:pt idx="92">
                  <c:v>106.18893047571993</c:v>
                </c:pt>
                <c:pt idx="93">
                  <c:v>102.88059924301994</c:v>
                </c:pt>
                <c:pt idx="94">
                  <c:v>103.63786242789544</c:v>
                </c:pt>
                <c:pt idx="95">
                  <c:v>110.36415686310627</c:v>
                </c:pt>
                <c:pt idx="96">
                  <c:v>114.81624735439399</c:v>
                </c:pt>
                <c:pt idx="97">
                  <c:v>115.9104499997466</c:v>
                </c:pt>
                <c:pt idx="98">
                  <c:v>114.60629553594514</c:v>
                </c:pt>
                <c:pt idx="99">
                  <c:v>116.46413380028801</c:v>
                </c:pt>
                <c:pt idx="100">
                  <c:v>113.20613445635725</c:v>
                </c:pt>
                <c:pt idx="101">
                  <c:v>115.68932871392217</c:v>
                </c:pt>
                <c:pt idx="102">
                  <c:v>112.67899678705678</c:v>
                </c:pt>
                <c:pt idx="103">
                  <c:v>114.38812838363224</c:v>
                </c:pt>
                <c:pt idx="104">
                  <c:v>107.85433402434414</c:v>
                </c:pt>
                <c:pt idx="105">
                  <c:v>108.69164248603997</c:v>
                </c:pt>
                <c:pt idx="106">
                  <c:v>108.44715778688719</c:v>
                </c:pt>
                <c:pt idx="107">
                  <c:v>107.90056285283468</c:v>
                </c:pt>
                <c:pt idx="108">
                  <c:v>107.78272173563475</c:v>
                </c:pt>
                <c:pt idx="109">
                  <c:v>103.51952496425864</c:v>
                </c:pt>
                <c:pt idx="110">
                  <c:v>107.55560946832223</c:v>
                </c:pt>
                <c:pt idx="111">
                  <c:v>109.27697936135789</c:v>
                </c:pt>
                <c:pt idx="112">
                  <c:v>108.52037597069327</c:v>
                </c:pt>
                <c:pt idx="113">
                  <c:v>105.14006488054898</c:v>
                </c:pt>
                <c:pt idx="114">
                  <c:v>107.51949991442628</c:v>
                </c:pt>
                <c:pt idx="115">
                  <c:v>110.55869206214015</c:v>
                </c:pt>
                <c:pt idx="116">
                  <c:v>108.97508906055178</c:v>
                </c:pt>
                <c:pt idx="117">
                  <c:v>107.57276587450562</c:v>
                </c:pt>
                <c:pt idx="118">
                  <c:v>102.29009509590946</c:v>
                </c:pt>
                <c:pt idx="119">
                  <c:v>108.50601011921775</c:v>
                </c:pt>
                <c:pt idx="120">
                  <c:v>112.14545779534049</c:v>
                </c:pt>
                <c:pt idx="121">
                  <c:v>112.07890177769497</c:v>
                </c:pt>
                <c:pt idx="122">
                  <c:v>109.07083843557962</c:v>
                </c:pt>
                <c:pt idx="123">
                  <c:v>105.05228053649364</c:v>
                </c:pt>
                <c:pt idx="124">
                  <c:v>108.78459055431485</c:v>
                </c:pt>
                <c:pt idx="125">
                  <c:v>110.6334099231082</c:v>
                </c:pt>
                <c:pt idx="126">
                  <c:v>111.1931792449484</c:v>
                </c:pt>
                <c:pt idx="127">
                  <c:v>112.49865585863985</c:v>
                </c:pt>
                <c:pt idx="128">
                  <c:v>117.90725843280906</c:v>
                </c:pt>
                <c:pt idx="129">
                  <c:v>114.34527782991337</c:v>
                </c:pt>
                <c:pt idx="130">
                  <c:v>115.77054136092423</c:v>
                </c:pt>
                <c:pt idx="131">
                  <c:v>118.66116777297164</c:v>
                </c:pt>
                <c:pt idx="132">
                  <c:v>122.92706729089535</c:v>
                </c:pt>
                <c:pt idx="133">
                  <c:v>120.03830080016421</c:v>
                </c:pt>
                <c:pt idx="134">
                  <c:v>119.45621277222462</c:v>
                </c:pt>
                <c:pt idx="135">
                  <c:v>115.75660125612765</c:v>
                </c:pt>
                <c:pt idx="136">
                  <c:v>109.61038829355296</c:v>
                </c:pt>
                <c:pt idx="137">
                  <c:v>111.82032846543648</c:v>
                </c:pt>
                <c:pt idx="138">
                  <c:v>108.72937444732116</c:v>
                </c:pt>
                <c:pt idx="139">
                  <c:v>103.58366021272981</c:v>
                </c:pt>
                <c:pt idx="140">
                  <c:v>103.57635572567207</c:v>
                </c:pt>
                <c:pt idx="141">
                  <c:v>103.84333504838177</c:v>
                </c:pt>
                <c:pt idx="142">
                  <c:v>105.85374995981108</c:v>
                </c:pt>
                <c:pt idx="143">
                  <c:v>108.77885341085263</c:v>
                </c:pt>
                <c:pt idx="144">
                  <c:v>108.39762769322348</c:v>
                </c:pt>
                <c:pt idx="145">
                  <c:v>103.95340412501467</c:v>
                </c:pt>
                <c:pt idx="146">
                  <c:v>100.3463794456667</c:v>
                </c:pt>
                <c:pt idx="147">
                  <c:v>100.01239930434879</c:v>
                </c:pt>
                <c:pt idx="148">
                  <c:v>104.40408824914239</c:v>
                </c:pt>
                <c:pt idx="149">
                  <c:v>102.25306839854956</c:v>
                </c:pt>
                <c:pt idx="150">
                  <c:v>102.50465722293058</c:v>
                </c:pt>
                <c:pt idx="151">
                  <c:v>101.08043113794071</c:v>
                </c:pt>
                <c:pt idx="152">
                  <c:v>99.019261284243058</c:v>
                </c:pt>
                <c:pt idx="153">
                  <c:v>100.65724617095428</c:v>
                </c:pt>
                <c:pt idx="154">
                  <c:v>101.39941212993089</c:v>
                </c:pt>
                <c:pt idx="155">
                  <c:v>98.74836284098437</c:v>
                </c:pt>
                <c:pt idx="156">
                  <c:v>102.46494702748319</c:v>
                </c:pt>
                <c:pt idx="157">
                  <c:v>98.802682583055358</c:v>
                </c:pt>
                <c:pt idx="158">
                  <c:v>95.227008457818542</c:v>
                </c:pt>
                <c:pt idx="159">
                  <c:v>93.846150173475792</c:v>
                </c:pt>
                <c:pt idx="160">
                  <c:v>93.678043081293325</c:v>
                </c:pt>
                <c:pt idx="161">
                  <c:v>96.078566805285689</c:v>
                </c:pt>
                <c:pt idx="162">
                  <c:v>95.809358834419783</c:v>
                </c:pt>
                <c:pt idx="163">
                  <c:v>98.171088642736692</c:v>
                </c:pt>
                <c:pt idx="164">
                  <c:v>97.683118246248611</c:v>
                </c:pt>
                <c:pt idx="165">
                  <c:v>97.072563679170358</c:v>
                </c:pt>
                <c:pt idx="166">
                  <c:v>100.01687111261467</c:v>
                </c:pt>
                <c:pt idx="167">
                  <c:v>104.24435085596147</c:v>
                </c:pt>
                <c:pt idx="168">
                  <c:v>103.23269485094198</c:v>
                </c:pt>
                <c:pt idx="169">
                  <c:v>102.19049006412736</c:v>
                </c:pt>
                <c:pt idx="170">
                  <c:v>101.12016214412783</c:v>
                </c:pt>
                <c:pt idx="171">
                  <c:v>101.29262200941562</c:v>
                </c:pt>
                <c:pt idx="172">
                  <c:v>104.15611242822314</c:v>
                </c:pt>
                <c:pt idx="173">
                  <c:v>101.02890571700759</c:v>
                </c:pt>
                <c:pt idx="174">
                  <c:v>97.395723096582259</c:v>
                </c:pt>
                <c:pt idx="175">
                  <c:v>96.514033615554141</c:v>
                </c:pt>
                <c:pt idx="176">
                  <c:v>97.039970354604264</c:v>
                </c:pt>
                <c:pt idx="177">
                  <c:v>95.663823580610483</c:v>
                </c:pt>
                <c:pt idx="178">
                  <c:v>93.649437384565772</c:v>
                </c:pt>
                <c:pt idx="179">
                  <c:v>92.712885396263218</c:v>
                </c:pt>
                <c:pt idx="180">
                  <c:v>91.6129887474127</c:v>
                </c:pt>
                <c:pt idx="181">
                  <c:v>92.730690164652088</c:v>
                </c:pt>
                <c:pt idx="182">
                  <c:v>92.343693915470183</c:v>
                </c:pt>
                <c:pt idx="183">
                  <c:v>90.388051244875498</c:v>
                </c:pt>
                <c:pt idx="184">
                  <c:v>93.361504788369729</c:v>
                </c:pt>
                <c:pt idx="185">
                  <c:v>93.805986281954617</c:v>
                </c:pt>
                <c:pt idx="186">
                  <c:v>93.689530904044958</c:v>
                </c:pt>
                <c:pt idx="187">
                  <c:v>93.280722211733803</c:v>
                </c:pt>
                <c:pt idx="188">
                  <c:v>95.530674872125857</c:v>
                </c:pt>
                <c:pt idx="189">
                  <c:v>96.860967284483053</c:v>
                </c:pt>
                <c:pt idx="190">
                  <c:v>99.058453770870557</c:v>
                </c:pt>
                <c:pt idx="191">
                  <c:v>99.611881642721471</c:v>
                </c:pt>
                <c:pt idx="192">
                  <c:v>99.229806732813003</c:v>
                </c:pt>
                <c:pt idx="193">
                  <c:v>99.58952595393464</c:v>
                </c:pt>
                <c:pt idx="194">
                  <c:v>96.37297664964872</c:v>
                </c:pt>
                <c:pt idx="195">
                  <c:v>97.800182958894865</c:v>
                </c:pt>
                <c:pt idx="196">
                  <c:v>97.951677872890585</c:v>
                </c:pt>
                <c:pt idx="197">
                  <c:v>99.159919443643091</c:v>
                </c:pt>
                <c:pt idx="198">
                  <c:v>104.02907523655625</c:v>
                </c:pt>
                <c:pt idx="199">
                  <c:v>103.19895639310297</c:v>
                </c:pt>
                <c:pt idx="200">
                  <c:v>101.97805872984775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71488"/>
        <c:axId val="-968669168"/>
      </c:scatterChart>
      <c:scatterChart>
        <c:scatterStyle val="lineMarker"/>
        <c:varyColors val="0"/>
        <c:ser>
          <c:idx val="1"/>
          <c:order val="1"/>
          <c:tx>
            <c:strRef>
              <c:f>'P&amp;L Study'!$G$10</c:f>
              <c:strCache>
                <c:ptCount val="1"/>
                <c:pt idx="0">
                  <c:v>P&amp;L cumulative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Study'!$G$11:$G$211</c:f>
              <c:numCache>
                <c:formatCode>0.00</c:formatCode>
                <c:ptCount val="201"/>
                <c:pt idx="0">
                  <c:v>0</c:v>
                </c:pt>
                <c:pt idx="1">
                  <c:v>5.4005879680794067E-2</c:v>
                </c:pt>
                <c:pt idx="2">
                  <c:v>0.13287300721809459</c:v>
                </c:pt>
                <c:pt idx="3">
                  <c:v>0.23986882398754261</c:v>
                </c:pt>
                <c:pt idx="4">
                  <c:v>0.24291937456280266</c:v>
                </c:pt>
                <c:pt idx="5">
                  <c:v>0.22317850916277138</c:v>
                </c:pt>
                <c:pt idx="6">
                  <c:v>0.35426860321587839</c:v>
                </c:pt>
                <c:pt idx="7">
                  <c:v>0.39876157493490894</c:v>
                </c:pt>
                <c:pt idx="8">
                  <c:v>0.74612950897695995</c:v>
                </c:pt>
                <c:pt idx="9">
                  <c:v>0.73084931157657351</c:v>
                </c:pt>
                <c:pt idx="10">
                  <c:v>0.72113582866797898</c:v>
                </c:pt>
                <c:pt idx="11">
                  <c:v>0.71868442650563935</c:v>
                </c:pt>
                <c:pt idx="12">
                  <c:v>0.78433714852928205</c:v>
                </c:pt>
                <c:pt idx="13">
                  <c:v>0.77229975168692278</c:v>
                </c:pt>
                <c:pt idx="14">
                  <c:v>0.85437472318565355</c:v>
                </c:pt>
                <c:pt idx="15">
                  <c:v>0.84737489968852842</c:v>
                </c:pt>
                <c:pt idx="16">
                  <c:v>0.83507011458038249</c:v>
                </c:pt>
                <c:pt idx="17">
                  <c:v>0.81813787572428964</c:v>
                </c:pt>
                <c:pt idx="18">
                  <c:v>0.82450054741429923</c:v>
                </c:pt>
                <c:pt idx="19">
                  <c:v>0.90234694727039155</c:v>
                </c:pt>
                <c:pt idx="20">
                  <c:v>0.88759276138098286</c:v>
                </c:pt>
                <c:pt idx="21">
                  <c:v>1.1792420336550489</c:v>
                </c:pt>
                <c:pt idx="22">
                  <c:v>1.3254647806499094</c:v>
                </c:pt>
                <c:pt idx="23">
                  <c:v>1.3099934528400503</c:v>
                </c:pt>
                <c:pt idx="24">
                  <c:v>1.2989300648171138</c:v>
                </c:pt>
                <c:pt idx="25">
                  <c:v>1.4731976163894522</c:v>
                </c:pt>
                <c:pt idx="26">
                  <c:v>1.4564191538468378</c:v>
                </c:pt>
                <c:pt idx="27">
                  <c:v>1.6787568817199272</c:v>
                </c:pt>
                <c:pt idx="28">
                  <c:v>1.661309536679596</c:v>
                </c:pt>
                <c:pt idx="29">
                  <c:v>1.6459669532296886</c:v>
                </c:pt>
                <c:pt idx="30">
                  <c:v>1.6594513418449495</c:v>
                </c:pt>
                <c:pt idx="31">
                  <c:v>1.6712230405145903</c:v>
                </c:pt>
                <c:pt idx="32">
                  <c:v>1.6920231595329156</c:v>
                </c:pt>
                <c:pt idx="33">
                  <c:v>1.7334289001649239</c:v>
                </c:pt>
                <c:pt idx="34">
                  <c:v>1.8340681291350691</c:v>
                </c:pt>
                <c:pt idx="35">
                  <c:v>1.846980158657793</c:v>
                </c:pt>
                <c:pt idx="36">
                  <c:v>1.8298340661879919</c:v>
                </c:pt>
                <c:pt idx="37">
                  <c:v>1.8553312458388689</c:v>
                </c:pt>
                <c:pt idx="38">
                  <c:v>1.8682976901296477</c:v>
                </c:pt>
                <c:pt idx="39">
                  <c:v>1.8527009723361303</c:v>
                </c:pt>
                <c:pt idx="40">
                  <c:v>2.0040192832325019</c:v>
                </c:pt>
                <c:pt idx="41">
                  <c:v>2.5180638878769486</c:v>
                </c:pt>
                <c:pt idx="42">
                  <c:v>2.562580981902812</c:v>
                </c:pt>
                <c:pt idx="43">
                  <c:v>2.5511051541020464</c:v>
                </c:pt>
                <c:pt idx="44">
                  <c:v>2.5958625240128939</c:v>
                </c:pt>
                <c:pt idx="45">
                  <c:v>2.6107803799012643</c:v>
                </c:pt>
                <c:pt idx="46">
                  <c:v>2.7354918141455968</c:v>
                </c:pt>
                <c:pt idx="47">
                  <c:v>2.7138384760064795</c:v>
                </c:pt>
                <c:pt idx="48">
                  <c:v>3.0483046174696753</c:v>
                </c:pt>
                <c:pt idx="49">
                  <c:v>3.2719315353196059</c:v>
                </c:pt>
                <c:pt idx="50">
                  <c:v>3.265041072401484</c:v>
                </c:pt>
                <c:pt idx="51">
                  <c:v>3.2490000421014216</c:v>
                </c:pt>
                <c:pt idx="52">
                  <c:v>3.4078546997901356</c:v>
                </c:pt>
                <c:pt idx="53">
                  <c:v>3.4138348332091368</c:v>
                </c:pt>
                <c:pt idx="54">
                  <c:v>3.3989262379471903</c:v>
                </c:pt>
                <c:pt idx="55">
                  <c:v>3.3790358080202836</c:v>
                </c:pt>
                <c:pt idx="56">
                  <c:v>3.3590035495345596</c:v>
                </c:pt>
                <c:pt idx="57">
                  <c:v>3.3552897905994925</c:v>
                </c:pt>
                <c:pt idx="58">
                  <c:v>3.3874302643345935</c:v>
                </c:pt>
                <c:pt idx="59">
                  <c:v>3.3836278986356234</c:v>
                </c:pt>
                <c:pt idx="60">
                  <c:v>3.3872620059403431</c:v>
                </c:pt>
                <c:pt idx="61">
                  <c:v>3.4519274576374599</c:v>
                </c:pt>
                <c:pt idx="62">
                  <c:v>3.4400039340412789</c:v>
                </c:pt>
                <c:pt idx="63">
                  <c:v>3.4583632095469099</c:v>
                </c:pt>
                <c:pt idx="64">
                  <c:v>3.4518223851715284</c:v>
                </c:pt>
                <c:pt idx="65">
                  <c:v>3.4319251833601676</c:v>
                </c:pt>
                <c:pt idx="66">
                  <c:v>3.570695487150104</c:v>
                </c:pt>
                <c:pt idx="67">
                  <c:v>3.5787779215845958</c:v>
                </c:pt>
                <c:pt idx="68">
                  <c:v>3.5572064786977649</c:v>
                </c:pt>
                <c:pt idx="69">
                  <c:v>3.5789532631939061</c:v>
                </c:pt>
                <c:pt idx="70">
                  <c:v>3.5911631674777666</c:v>
                </c:pt>
                <c:pt idx="71">
                  <c:v>3.5916759849314772</c:v>
                </c:pt>
                <c:pt idx="72">
                  <c:v>3.7236259535140235</c:v>
                </c:pt>
                <c:pt idx="73">
                  <c:v>3.7630522245569509</c:v>
                </c:pt>
                <c:pt idx="74">
                  <c:v>3.9443775117759898</c:v>
                </c:pt>
                <c:pt idx="75">
                  <c:v>4.0368848417341923</c:v>
                </c:pt>
                <c:pt idx="76">
                  <c:v>4.0254378799800321</c:v>
                </c:pt>
                <c:pt idx="77">
                  <c:v>4.1653747450537679</c:v>
                </c:pt>
                <c:pt idx="78">
                  <c:v>4.182156721546157</c:v>
                </c:pt>
                <c:pt idx="79">
                  <c:v>4.1633015294158042</c:v>
                </c:pt>
                <c:pt idx="80">
                  <c:v>4.172272893871714</c:v>
                </c:pt>
                <c:pt idx="81">
                  <c:v>4.1782014356197621</c:v>
                </c:pt>
                <c:pt idx="82">
                  <c:v>4.197884712686772</c:v>
                </c:pt>
                <c:pt idx="83">
                  <c:v>4.1731121927215113</c:v>
                </c:pt>
                <c:pt idx="84">
                  <c:v>4.1543580849394672</c:v>
                </c:pt>
                <c:pt idx="85">
                  <c:v>4.1296550274320012</c:v>
                </c:pt>
                <c:pt idx="86">
                  <c:v>4.3574288590760801</c:v>
                </c:pt>
                <c:pt idx="87">
                  <c:v>4.3349103534480236</c:v>
                </c:pt>
                <c:pt idx="88">
                  <c:v>4.4408176529597938</c:v>
                </c:pt>
                <c:pt idx="89">
                  <c:v>4.4327824146811068</c:v>
                </c:pt>
                <c:pt idx="90">
                  <c:v>4.4456972599741675</c:v>
                </c:pt>
                <c:pt idx="91">
                  <c:v>4.4227018740442006</c:v>
                </c:pt>
                <c:pt idx="92">
                  <c:v>4.4051833255063855</c:v>
                </c:pt>
                <c:pt idx="93">
                  <c:v>4.505623119238777</c:v>
                </c:pt>
                <c:pt idx="94">
                  <c:v>4.486748929912558</c:v>
                </c:pt>
                <c:pt idx="95">
                  <c:v>4.9695373066699347</c:v>
                </c:pt>
                <c:pt idx="96">
                  <c:v>5.112173147514838</c:v>
                </c:pt>
                <c:pt idx="97">
                  <c:v>5.1039550777708911</c:v>
                </c:pt>
                <c:pt idx="98">
                  <c:v>5.0977389956082249</c:v>
                </c:pt>
                <c:pt idx="99">
                  <c:v>5.1043095840520607</c:v>
                </c:pt>
                <c:pt idx="100">
                  <c:v>5.1531253738890257</c:v>
                </c:pt>
                <c:pt idx="101">
                  <c:v>5.1798740877066791</c:v>
                </c:pt>
                <c:pt idx="102">
                  <c:v>5.2214917202021667</c:v>
                </c:pt>
                <c:pt idx="103">
                  <c:v>5.2255806465509949</c:v>
                </c:pt>
                <c:pt idx="104">
                  <c:v>5.5449576249087613</c:v>
                </c:pt>
                <c:pt idx="105">
                  <c:v>5.5287696956016248</c:v>
                </c:pt>
                <c:pt idx="106">
                  <c:v>5.5058231962187278</c:v>
                </c:pt>
                <c:pt idx="107">
                  <c:v>5.4848378771316675</c:v>
                </c:pt>
                <c:pt idx="108">
                  <c:v>5.4605894163973687</c:v>
                </c:pt>
                <c:pt idx="109">
                  <c:v>5.6448205571884742</c:v>
                </c:pt>
                <c:pt idx="110">
                  <c:v>5.8227384491893304</c:v>
                </c:pt>
                <c:pt idx="111">
                  <c:v>5.830711562255658</c:v>
                </c:pt>
                <c:pt idx="112">
                  <c:v>5.8126384950567029</c:v>
                </c:pt>
                <c:pt idx="113">
                  <c:v>5.9139604565108925</c:v>
                </c:pt>
                <c:pt idx="114">
                  <c:v>5.9568352581256221</c:v>
                </c:pt>
                <c:pt idx="115">
                  <c:v>6.0315062055844493</c:v>
                </c:pt>
                <c:pt idx="116">
                  <c:v>6.0320076443567814</c:v>
                </c:pt>
                <c:pt idx="117">
                  <c:v>6.0277376451072797</c:v>
                </c:pt>
                <c:pt idx="118">
                  <c:v>6.3463947946960033</c:v>
                </c:pt>
                <c:pt idx="119">
                  <c:v>6.8368399779630806</c:v>
                </c:pt>
                <c:pt idx="120">
                  <c:v>6.9471944235702665</c:v>
                </c:pt>
                <c:pt idx="121">
                  <c:v>6.9270777145300997</c:v>
                </c:pt>
                <c:pt idx="122">
                  <c:v>6.9850063398971116</c:v>
                </c:pt>
                <c:pt idx="123">
                  <c:v>7.1418184099934905</c:v>
                </c:pt>
                <c:pt idx="124">
                  <c:v>7.290268415618911</c:v>
                </c:pt>
                <c:pt idx="125">
                  <c:v>7.3027646324497795</c:v>
                </c:pt>
                <c:pt idx="126">
                  <c:v>7.2840390638669561</c:v>
                </c:pt>
                <c:pt idx="127">
                  <c:v>7.2789240500909784</c:v>
                </c:pt>
                <c:pt idx="128">
                  <c:v>7.4658107559983904</c:v>
                </c:pt>
                <c:pt idx="129">
                  <c:v>7.5165430921924354</c:v>
                </c:pt>
                <c:pt idx="130">
                  <c:v>7.5145648566690255</c:v>
                </c:pt>
                <c:pt idx="131">
                  <c:v>7.5469919793836908</c:v>
                </c:pt>
                <c:pt idx="132">
                  <c:v>7.6038851794218374</c:v>
                </c:pt>
                <c:pt idx="133">
                  <c:v>7.6173723375071773</c:v>
                </c:pt>
                <c:pt idx="134">
                  <c:v>7.6088925788074135</c:v>
                </c:pt>
                <c:pt idx="135">
                  <c:v>7.6534244921229089</c:v>
                </c:pt>
                <c:pt idx="136">
                  <c:v>7.9008857244054411</c:v>
                </c:pt>
                <c:pt idx="137">
                  <c:v>7.927808022953954</c:v>
                </c:pt>
                <c:pt idx="138">
                  <c:v>7.9931522400891879</c:v>
                </c:pt>
                <c:pt idx="139">
                  <c:v>8.3029753928811445</c:v>
                </c:pt>
                <c:pt idx="140">
                  <c:v>8.2695482773451801</c:v>
                </c:pt>
                <c:pt idx="141">
                  <c:v>8.2371747528318124</c:v>
                </c:pt>
                <c:pt idx="142">
                  <c:v>8.2675880776710073</c:v>
                </c:pt>
                <c:pt idx="143">
                  <c:v>8.3547405794976441</c:v>
                </c:pt>
                <c:pt idx="144">
                  <c:v>8.3293667014373654</c:v>
                </c:pt>
                <c:pt idx="145">
                  <c:v>8.5613093266360494</c:v>
                </c:pt>
                <c:pt idx="146">
                  <c:v>8.7503631152148742</c:v>
                </c:pt>
                <c:pt idx="147">
                  <c:v>8.7151303695578193</c:v>
                </c:pt>
                <c:pt idx="148">
                  <c:v>9.0348246580560954</c:v>
                </c:pt>
                <c:pt idx="149">
                  <c:v>9.0768764827677515</c:v>
                </c:pt>
                <c:pt idx="150">
                  <c:v>9.0405261948709423</c:v>
                </c:pt>
                <c:pt idx="151">
                  <c:v>9.0401856096092459</c:v>
                </c:pt>
                <c:pt idx="152">
                  <c:v>9.0861792379372588</c:v>
                </c:pt>
                <c:pt idx="153">
                  <c:v>9.1005063156755739</c:v>
                </c:pt>
                <c:pt idx="154">
                  <c:v>9.0713902673267768</c:v>
                </c:pt>
                <c:pt idx="155">
                  <c:v>9.1756392941012308</c:v>
                </c:pt>
                <c:pt idx="156">
                  <c:v>9.422356335213351</c:v>
                </c:pt>
                <c:pt idx="157">
                  <c:v>9.6562003680930601</c:v>
                </c:pt>
                <c:pt idx="158">
                  <c:v>9.8978284757323607</c:v>
                </c:pt>
                <c:pt idx="159">
                  <c:v>9.9038736400114651</c:v>
                </c:pt>
                <c:pt idx="160">
                  <c:v>9.8715573148486264</c:v>
                </c:pt>
                <c:pt idx="161">
                  <c:v>9.9482028213911917</c:v>
                </c:pt>
                <c:pt idx="162">
                  <c:v>9.9107037268994276</c:v>
                </c:pt>
                <c:pt idx="163">
                  <c:v>9.9914391572563659</c:v>
                </c:pt>
                <c:pt idx="164">
                  <c:v>9.9534382317921413</c:v>
                </c:pt>
                <c:pt idx="165">
                  <c:v>9.919172786649689</c:v>
                </c:pt>
                <c:pt idx="166">
                  <c:v>10.078559708642892</c:v>
                </c:pt>
                <c:pt idx="167">
                  <c:v>10.445191278939262</c:v>
                </c:pt>
                <c:pt idx="168">
                  <c:v>10.421777408034728</c:v>
                </c:pt>
                <c:pt idx="169">
                  <c:v>10.398945319042156</c:v>
                </c:pt>
                <c:pt idx="170">
                  <c:v>10.377239363315113</c:v>
                </c:pt>
                <c:pt idx="171">
                  <c:v>10.327855740907872</c:v>
                </c:pt>
                <c:pt idx="172">
                  <c:v>10.477705550537394</c:v>
                </c:pt>
                <c:pt idx="173">
                  <c:v>10.651228289134991</c:v>
                </c:pt>
                <c:pt idx="174">
                  <c:v>10.959223090102959</c:v>
                </c:pt>
                <c:pt idx="175">
                  <c:v>10.932467647891219</c:v>
                </c:pt>
                <c:pt idx="176">
                  <c:v>10.888882921121628</c:v>
                </c:pt>
                <c:pt idx="177">
                  <c:v>10.894952924397092</c:v>
                </c:pt>
                <c:pt idx="178">
                  <c:v>10.959057454777049</c:v>
                </c:pt>
                <c:pt idx="179">
                  <c:v>10.946924684022163</c:v>
                </c:pt>
                <c:pt idx="180">
                  <c:v>10.944478054854839</c:v>
                </c:pt>
                <c:pt idx="181">
                  <c:v>10.933983323895488</c:v>
                </c:pt>
                <c:pt idx="182">
                  <c:v>10.910051393985594</c:v>
                </c:pt>
                <c:pt idx="183">
                  <c:v>10.949208452863047</c:v>
                </c:pt>
                <c:pt idx="184">
                  <c:v>11.025936361919721</c:v>
                </c:pt>
                <c:pt idx="185">
                  <c:v>10.993852239808444</c:v>
                </c:pt>
                <c:pt idx="186">
                  <c:v>10.959767296766479</c:v>
                </c:pt>
                <c:pt idx="187">
                  <c:v>10.933012401213956</c:v>
                </c:pt>
                <c:pt idx="188">
                  <c:v>10.988746568194678</c:v>
                </c:pt>
                <c:pt idx="189">
                  <c:v>10.97736430280381</c:v>
                </c:pt>
                <c:pt idx="190">
                  <c:v>11.078780579319258</c:v>
                </c:pt>
                <c:pt idx="191">
                  <c:v>11.001957280156596</c:v>
                </c:pt>
                <c:pt idx="192">
                  <c:v>10.915279989797838</c:v>
                </c:pt>
                <c:pt idx="193">
                  <c:v>10.820068577140226</c:v>
                </c:pt>
                <c:pt idx="194">
                  <c:v>11.273720179107732</c:v>
                </c:pt>
                <c:pt idx="195">
                  <c:v>11.259133663908823</c:v>
                </c:pt>
                <c:pt idx="196">
                  <c:v>11.156620367906072</c:v>
                </c:pt>
                <c:pt idx="197">
                  <c:v>11.101968097656936</c:v>
                </c:pt>
                <c:pt idx="198">
                  <c:v>12.729182079429108</c:v>
                </c:pt>
                <c:pt idx="199">
                  <c:v>12.699454319161646</c:v>
                </c:pt>
                <c:pt idx="200">
                  <c:v>12.678929853799346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66336"/>
        <c:axId val="-968664016"/>
      </c:scatterChart>
      <c:valAx>
        <c:axId val="-968671488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9168"/>
        <c:crosses val="autoZero"/>
        <c:crossBetween val="midCat"/>
      </c:valAx>
      <c:valAx>
        <c:axId val="-968669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71488"/>
        <c:crosses val="autoZero"/>
        <c:crossBetween val="midCat"/>
      </c:valAx>
      <c:valAx>
        <c:axId val="-96866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664016"/>
        <c:crosses val="autoZero"/>
        <c:crossBetween val="midCat"/>
      </c:valAx>
      <c:valAx>
        <c:axId val="-9686640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633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97.292811549160419</c:v>
                </c:pt>
                <c:pt idx="2">
                  <c:v>94.234904460672496</c:v>
                </c:pt>
                <c:pt idx="3">
                  <c:v>97.717030453193843</c:v>
                </c:pt>
                <c:pt idx="4">
                  <c:v>99.22239620600503</c:v>
                </c:pt>
                <c:pt idx="5">
                  <c:v>99.258064902598164</c:v>
                </c:pt>
                <c:pt idx="6">
                  <c:v>95.438197071249277</c:v>
                </c:pt>
                <c:pt idx="7">
                  <c:v>93.015751938868775</c:v>
                </c:pt>
                <c:pt idx="8">
                  <c:v>87.197705708782237</c:v>
                </c:pt>
                <c:pt idx="9">
                  <c:v>87.411230560893173</c:v>
                </c:pt>
                <c:pt idx="10">
                  <c:v>88.212504097529362</c:v>
                </c:pt>
                <c:pt idx="11">
                  <c:v>89.394297918036742</c:v>
                </c:pt>
                <c:pt idx="12">
                  <c:v>86.632078177017092</c:v>
                </c:pt>
                <c:pt idx="13">
                  <c:v>87.236830772131185</c:v>
                </c:pt>
                <c:pt idx="14">
                  <c:v>90.320248061128098</c:v>
                </c:pt>
                <c:pt idx="15">
                  <c:v>89.363978936497588</c:v>
                </c:pt>
                <c:pt idx="16">
                  <c:v>90.066909943120535</c:v>
                </c:pt>
                <c:pt idx="17">
                  <c:v>89.864938007957676</c:v>
                </c:pt>
                <c:pt idx="18">
                  <c:v>91.377474738616201</c:v>
                </c:pt>
                <c:pt idx="19">
                  <c:v>88.444379073313144</c:v>
                </c:pt>
                <c:pt idx="20">
                  <c:v>88.061161614383778</c:v>
                </c:pt>
                <c:pt idx="21">
                  <c:v>82.613557970984303</c:v>
                </c:pt>
                <c:pt idx="22">
                  <c:v>86.730794923485178</c:v>
                </c:pt>
                <c:pt idx="23">
                  <c:v>86.705880347599617</c:v>
                </c:pt>
                <c:pt idx="24">
                  <c:v>87.402098881390145</c:v>
                </c:pt>
                <c:pt idx="25">
                  <c:v>91.632594737361146</c:v>
                </c:pt>
                <c:pt idx="26">
                  <c:v>92.075679351069311</c:v>
                </c:pt>
                <c:pt idx="27">
                  <c:v>96.733570605916981</c:v>
                </c:pt>
                <c:pt idx="28">
                  <c:v>96.21886944944454</c:v>
                </c:pt>
                <c:pt idx="29">
                  <c:v>95.557369726056777</c:v>
                </c:pt>
                <c:pt idx="30">
                  <c:v>97.316348945015307</c:v>
                </c:pt>
                <c:pt idx="31">
                  <c:v>95.625936717882638</c:v>
                </c:pt>
                <c:pt idx="32">
                  <c:v>97.561726350764658</c:v>
                </c:pt>
                <c:pt idx="33">
                  <c:v>95.223796336863742</c:v>
                </c:pt>
                <c:pt idx="34">
                  <c:v>91.999253520666016</c:v>
                </c:pt>
                <c:pt idx="35">
                  <c:v>90.355262752089203</c:v>
                </c:pt>
                <c:pt idx="36">
                  <c:v>90.068630151965309</c:v>
                </c:pt>
                <c:pt idx="37">
                  <c:v>88.133210136802205</c:v>
                </c:pt>
                <c:pt idx="38">
                  <c:v>89.815314195121559</c:v>
                </c:pt>
                <c:pt idx="39">
                  <c:v>89.384033067686957</c:v>
                </c:pt>
                <c:pt idx="40">
                  <c:v>93.263386135519838</c:v>
                </c:pt>
                <c:pt idx="41">
                  <c:v>100.07262041610826</c:v>
                </c:pt>
                <c:pt idx="42">
                  <c:v>97.648460540315043</c:v>
                </c:pt>
                <c:pt idx="43">
                  <c:v>98.608579053350283</c:v>
                </c:pt>
                <c:pt idx="44">
                  <c:v>96.217741324450714</c:v>
                </c:pt>
                <c:pt idx="45">
                  <c:v>94.483162922164709</c:v>
                </c:pt>
                <c:pt idx="46">
                  <c:v>98.018620224909441</c:v>
                </c:pt>
                <c:pt idx="47">
                  <c:v>97.860582966472933</c:v>
                </c:pt>
                <c:pt idx="48">
                  <c:v>92.393812154847623</c:v>
                </c:pt>
                <c:pt idx="49">
                  <c:v>87.871738004591208</c:v>
                </c:pt>
                <c:pt idx="50">
                  <c:v>86.968085849165433</c:v>
                </c:pt>
                <c:pt idx="51">
                  <c:v>87.091776118889257</c:v>
                </c:pt>
                <c:pt idx="52">
                  <c:v>91.076697732793079</c:v>
                </c:pt>
                <c:pt idx="53">
                  <c:v>92.570362251946818</c:v>
                </c:pt>
                <c:pt idx="54">
                  <c:v>91.929591934026476</c:v>
                </c:pt>
                <c:pt idx="55">
                  <c:v>92.090928572382566</c:v>
                </c:pt>
                <c:pt idx="56">
                  <c:v>91.99513158252671</c:v>
                </c:pt>
                <c:pt idx="57">
                  <c:v>90.863265852505151</c:v>
                </c:pt>
                <c:pt idx="58">
                  <c:v>88.818435285694719</c:v>
                </c:pt>
                <c:pt idx="59">
                  <c:v>89.963635681142691</c:v>
                </c:pt>
                <c:pt idx="60">
                  <c:v>91.376958020624983</c:v>
                </c:pt>
                <c:pt idx="61">
                  <c:v>88.763003876541177</c:v>
                </c:pt>
                <c:pt idx="62">
                  <c:v>88.086678979012007</c:v>
                </c:pt>
                <c:pt idx="63">
                  <c:v>89.88965741728272</c:v>
                </c:pt>
                <c:pt idx="64">
                  <c:v>90.950082655290515</c:v>
                </c:pt>
                <c:pt idx="65">
                  <c:v>91.036299781617544</c:v>
                </c:pt>
                <c:pt idx="66">
                  <c:v>94.642417802999162</c:v>
                </c:pt>
                <c:pt idx="67">
                  <c:v>93.122787852522649</c:v>
                </c:pt>
                <c:pt idx="68">
                  <c:v>93.22480215441</c:v>
                </c:pt>
                <c:pt idx="69">
                  <c:v>91.405961735784444</c:v>
                </c:pt>
                <c:pt idx="70">
                  <c:v>93.057874206194029</c:v>
                </c:pt>
                <c:pt idx="71">
                  <c:v>91.7705013226131</c:v>
                </c:pt>
                <c:pt idx="72">
                  <c:v>95.264368357404095</c:v>
                </c:pt>
                <c:pt idx="73">
                  <c:v>97.489174342591099</c:v>
                </c:pt>
                <c:pt idx="74">
                  <c:v>101.53936202426215</c:v>
                </c:pt>
                <c:pt idx="75">
                  <c:v>104.70724659412485</c:v>
                </c:pt>
                <c:pt idx="76">
                  <c:v>105.75627068356656</c:v>
                </c:pt>
                <c:pt idx="77">
                  <c:v>101.90366835984048</c:v>
                </c:pt>
                <c:pt idx="78">
                  <c:v>100.06870271769407</c:v>
                </c:pt>
                <c:pt idx="79">
                  <c:v>99.391174556807627</c:v>
                </c:pt>
                <c:pt idx="80">
                  <c:v>101.03650574817304</c:v>
                </c:pt>
                <c:pt idx="81">
                  <c:v>102.62730416287741</c:v>
                </c:pt>
                <c:pt idx="82">
                  <c:v>100.7185695251664</c:v>
                </c:pt>
                <c:pt idx="83">
                  <c:v>100.92464054589695</c:v>
                </c:pt>
                <c:pt idx="84">
                  <c:v>101.65511597380579</c:v>
                </c:pt>
                <c:pt idx="85">
                  <c:v>101.89112028504927</c:v>
                </c:pt>
                <c:pt idx="86">
                  <c:v>106.50781142094435</c:v>
                </c:pt>
                <c:pt idx="87">
                  <c:v>106.17670676705572</c:v>
                </c:pt>
                <c:pt idx="88">
                  <c:v>102.77230644253453</c:v>
                </c:pt>
                <c:pt idx="89">
                  <c:v>103.96907923774779</c:v>
                </c:pt>
                <c:pt idx="90">
                  <c:v>105.77196157501061</c:v>
                </c:pt>
                <c:pt idx="91">
                  <c:v>105.40388147030255</c:v>
                </c:pt>
                <c:pt idx="92">
                  <c:v>106.18893047571993</c:v>
                </c:pt>
                <c:pt idx="93">
                  <c:v>102.88059924301994</c:v>
                </c:pt>
                <c:pt idx="94">
                  <c:v>103.63786242789544</c:v>
                </c:pt>
                <c:pt idx="95">
                  <c:v>110.36415686310627</c:v>
                </c:pt>
                <c:pt idx="96">
                  <c:v>114.81624735439399</c:v>
                </c:pt>
                <c:pt idx="97">
                  <c:v>115.9104499997466</c:v>
                </c:pt>
                <c:pt idx="98">
                  <c:v>114.60629553594514</c:v>
                </c:pt>
                <c:pt idx="99">
                  <c:v>116.46413380028801</c:v>
                </c:pt>
                <c:pt idx="100">
                  <c:v>113.20613445635725</c:v>
                </c:pt>
                <c:pt idx="101">
                  <c:v>115.68932871392217</c:v>
                </c:pt>
                <c:pt idx="102">
                  <c:v>112.67899678705678</c:v>
                </c:pt>
                <c:pt idx="103">
                  <c:v>114.38812838363224</c:v>
                </c:pt>
                <c:pt idx="104">
                  <c:v>107.85433402434414</c:v>
                </c:pt>
                <c:pt idx="105">
                  <c:v>108.69164248603997</c:v>
                </c:pt>
                <c:pt idx="106">
                  <c:v>108.44715778688719</c:v>
                </c:pt>
                <c:pt idx="107">
                  <c:v>107.90056285283468</c:v>
                </c:pt>
                <c:pt idx="108">
                  <c:v>107.78272173563475</c:v>
                </c:pt>
                <c:pt idx="109">
                  <c:v>103.51952496425864</c:v>
                </c:pt>
                <c:pt idx="110">
                  <c:v>107.55560946832223</c:v>
                </c:pt>
                <c:pt idx="111">
                  <c:v>109.27697936135789</c:v>
                </c:pt>
                <c:pt idx="112">
                  <c:v>108.52037597069327</c:v>
                </c:pt>
                <c:pt idx="113">
                  <c:v>105.14006488054898</c:v>
                </c:pt>
                <c:pt idx="114">
                  <c:v>107.51949991442628</c:v>
                </c:pt>
                <c:pt idx="115">
                  <c:v>110.55869206214015</c:v>
                </c:pt>
                <c:pt idx="116">
                  <c:v>108.97508906055178</c:v>
                </c:pt>
                <c:pt idx="117">
                  <c:v>107.57276587450562</c:v>
                </c:pt>
                <c:pt idx="118">
                  <c:v>102.29009509590946</c:v>
                </c:pt>
                <c:pt idx="119">
                  <c:v>108.50601011921775</c:v>
                </c:pt>
                <c:pt idx="120">
                  <c:v>112.14545779534049</c:v>
                </c:pt>
                <c:pt idx="121">
                  <c:v>112.07890177769497</c:v>
                </c:pt>
                <c:pt idx="122">
                  <c:v>109.07083843557962</c:v>
                </c:pt>
                <c:pt idx="123">
                  <c:v>105.05228053649364</c:v>
                </c:pt>
                <c:pt idx="124">
                  <c:v>108.78459055431485</c:v>
                </c:pt>
                <c:pt idx="125">
                  <c:v>110.6334099231082</c:v>
                </c:pt>
                <c:pt idx="126">
                  <c:v>111.1931792449484</c:v>
                </c:pt>
                <c:pt idx="127">
                  <c:v>112.49865585863985</c:v>
                </c:pt>
                <c:pt idx="128">
                  <c:v>117.90725843280906</c:v>
                </c:pt>
                <c:pt idx="129">
                  <c:v>114.34527782991337</c:v>
                </c:pt>
                <c:pt idx="130">
                  <c:v>115.77054136092423</c:v>
                </c:pt>
                <c:pt idx="131">
                  <c:v>118.66116777297164</c:v>
                </c:pt>
                <c:pt idx="132">
                  <c:v>122.92706729089535</c:v>
                </c:pt>
                <c:pt idx="133">
                  <c:v>120.03830080016421</c:v>
                </c:pt>
                <c:pt idx="134">
                  <c:v>119.45621277222462</c:v>
                </c:pt>
                <c:pt idx="135">
                  <c:v>115.75660125612765</c:v>
                </c:pt>
                <c:pt idx="136">
                  <c:v>109.61038829355296</c:v>
                </c:pt>
                <c:pt idx="137">
                  <c:v>111.82032846543648</c:v>
                </c:pt>
                <c:pt idx="138">
                  <c:v>108.72937444732116</c:v>
                </c:pt>
                <c:pt idx="139">
                  <c:v>103.58366021272981</c:v>
                </c:pt>
                <c:pt idx="140">
                  <c:v>103.57635572567207</c:v>
                </c:pt>
                <c:pt idx="141">
                  <c:v>103.84333504838177</c:v>
                </c:pt>
                <c:pt idx="142">
                  <c:v>105.85374995981108</c:v>
                </c:pt>
                <c:pt idx="143">
                  <c:v>108.77885341085263</c:v>
                </c:pt>
                <c:pt idx="144">
                  <c:v>108.39762769322348</c:v>
                </c:pt>
                <c:pt idx="145">
                  <c:v>103.95340412501467</c:v>
                </c:pt>
                <c:pt idx="146">
                  <c:v>100.3463794456667</c:v>
                </c:pt>
                <c:pt idx="147">
                  <c:v>100.01239930434879</c:v>
                </c:pt>
                <c:pt idx="148">
                  <c:v>104.40408824914239</c:v>
                </c:pt>
                <c:pt idx="149">
                  <c:v>102.25306839854956</c:v>
                </c:pt>
                <c:pt idx="150">
                  <c:v>102.50465722293058</c:v>
                </c:pt>
                <c:pt idx="151">
                  <c:v>101.08043113794071</c:v>
                </c:pt>
                <c:pt idx="152">
                  <c:v>99.019261284243058</c:v>
                </c:pt>
                <c:pt idx="153">
                  <c:v>100.65724617095428</c:v>
                </c:pt>
                <c:pt idx="154">
                  <c:v>101.39941212993089</c:v>
                </c:pt>
                <c:pt idx="155">
                  <c:v>98.74836284098437</c:v>
                </c:pt>
                <c:pt idx="156">
                  <c:v>102.46494702748319</c:v>
                </c:pt>
                <c:pt idx="157">
                  <c:v>98.802682583055358</c:v>
                </c:pt>
                <c:pt idx="158">
                  <c:v>95.227008457818542</c:v>
                </c:pt>
                <c:pt idx="159">
                  <c:v>93.846150173475792</c:v>
                </c:pt>
                <c:pt idx="160">
                  <c:v>93.678043081293325</c:v>
                </c:pt>
                <c:pt idx="161">
                  <c:v>96.078566805285689</c:v>
                </c:pt>
                <c:pt idx="162">
                  <c:v>95.809358834419783</c:v>
                </c:pt>
                <c:pt idx="163">
                  <c:v>98.171088642736692</c:v>
                </c:pt>
                <c:pt idx="164">
                  <c:v>97.683118246248611</c:v>
                </c:pt>
                <c:pt idx="165">
                  <c:v>97.072563679170358</c:v>
                </c:pt>
                <c:pt idx="166">
                  <c:v>100.01687111261467</c:v>
                </c:pt>
                <c:pt idx="167">
                  <c:v>104.24435085596147</c:v>
                </c:pt>
                <c:pt idx="168">
                  <c:v>103.23269485094198</c:v>
                </c:pt>
                <c:pt idx="169">
                  <c:v>102.19049006412736</c:v>
                </c:pt>
                <c:pt idx="170">
                  <c:v>101.12016214412783</c:v>
                </c:pt>
                <c:pt idx="171">
                  <c:v>101.29262200941562</c:v>
                </c:pt>
                <c:pt idx="172">
                  <c:v>104.15611242822314</c:v>
                </c:pt>
                <c:pt idx="173">
                  <c:v>101.02890571700759</c:v>
                </c:pt>
                <c:pt idx="174">
                  <c:v>97.395723096582259</c:v>
                </c:pt>
                <c:pt idx="175">
                  <c:v>96.514033615554141</c:v>
                </c:pt>
                <c:pt idx="176">
                  <c:v>97.039970354604264</c:v>
                </c:pt>
                <c:pt idx="177">
                  <c:v>95.663823580610483</c:v>
                </c:pt>
                <c:pt idx="178">
                  <c:v>93.649437384565772</c:v>
                </c:pt>
                <c:pt idx="179">
                  <c:v>92.712885396263218</c:v>
                </c:pt>
                <c:pt idx="180">
                  <c:v>91.6129887474127</c:v>
                </c:pt>
                <c:pt idx="181">
                  <c:v>92.730690164652088</c:v>
                </c:pt>
                <c:pt idx="182">
                  <c:v>92.343693915470183</c:v>
                </c:pt>
                <c:pt idx="183">
                  <c:v>90.388051244875498</c:v>
                </c:pt>
                <c:pt idx="184">
                  <c:v>93.361504788369729</c:v>
                </c:pt>
                <c:pt idx="185">
                  <c:v>93.805986281954617</c:v>
                </c:pt>
                <c:pt idx="186">
                  <c:v>93.689530904044958</c:v>
                </c:pt>
                <c:pt idx="187">
                  <c:v>93.280722211733803</c:v>
                </c:pt>
                <c:pt idx="188">
                  <c:v>95.530674872125857</c:v>
                </c:pt>
                <c:pt idx="189">
                  <c:v>96.860967284483053</c:v>
                </c:pt>
                <c:pt idx="190">
                  <c:v>99.058453770870557</c:v>
                </c:pt>
                <c:pt idx="191">
                  <c:v>99.611881642721471</c:v>
                </c:pt>
                <c:pt idx="192">
                  <c:v>99.229806732813003</c:v>
                </c:pt>
                <c:pt idx="193">
                  <c:v>99.58952595393464</c:v>
                </c:pt>
                <c:pt idx="194">
                  <c:v>96.37297664964872</c:v>
                </c:pt>
                <c:pt idx="195">
                  <c:v>97.800182958894865</c:v>
                </c:pt>
                <c:pt idx="196">
                  <c:v>97.951677872890585</c:v>
                </c:pt>
                <c:pt idx="197">
                  <c:v>99.159919443643091</c:v>
                </c:pt>
                <c:pt idx="198">
                  <c:v>104.02907523655625</c:v>
                </c:pt>
                <c:pt idx="199">
                  <c:v>103.19895639310297</c:v>
                </c:pt>
                <c:pt idx="200">
                  <c:v>101.97805872984775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831056"/>
        <c:axId val="-968923120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1.9552134865534521E-2</c:v>
                </c:pt>
                <c:pt idx="1">
                  <c:v>2.0514217682906198E-2</c:v>
                </c:pt>
                <c:pt idx="2">
                  <c:v>2.1169244814499426E-2</c:v>
                </c:pt>
                <c:pt idx="3">
                  <c:v>2.0498702280365926E-2</c:v>
                </c:pt>
                <c:pt idx="4">
                  <c:v>2.0053854751138238E-2</c:v>
                </c:pt>
                <c:pt idx="5">
                  <c:v>2.0094103374228647E-2</c:v>
                </c:pt>
                <c:pt idx="6">
                  <c:v>2.120427689373023E-2</c:v>
                </c:pt>
                <c:pt idx="7">
                  <c:v>2.1509609516373741E-2</c:v>
                </c:pt>
                <c:pt idx="8">
                  <c:v>2.0571769795268004E-2</c:v>
                </c:pt>
                <c:pt idx="9">
                  <c:v>2.0679698073315836E-2</c:v>
                </c:pt>
                <c:pt idx="10">
                  <c:v>2.0980495485121448E-2</c:v>
                </c:pt>
                <c:pt idx="11">
                  <c:v>2.1336825340283843E-2</c:v>
                </c:pt>
                <c:pt idx="12">
                  <c:v>2.0458307450412064E-2</c:v>
                </c:pt>
                <c:pt idx="13">
                  <c:v>2.0734991734429303E-2</c:v>
                </c:pt>
                <c:pt idx="14">
                  <c:v>2.1651455714442328E-2</c:v>
                </c:pt>
                <c:pt idx="15">
                  <c:v>2.1489925327408916E-2</c:v>
                </c:pt>
                <c:pt idx="16">
                  <c:v>2.1691133922531153E-2</c:v>
                </c:pt>
                <c:pt idx="17">
                  <c:v>2.1691486605460279E-2</c:v>
                </c:pt>
                <c:pt idx="18">
                  <c:v>2.1992352781615151E-2</c:v>
                </c:pt>
                <c:pt idx="19">
                  <c:v>2.1374843509467303E-2</c:v>
                </c:pt>
                <c:pt idx="20">
                  <c:v>2.1275131197640702E-2</c:v>
                </c:pt>
                <c:pt idx="21">
                  <c:v>1.8231505428184459E-2</c:v>
                </c:pt>
                <c:pt idx="22">
                  <c:v>2.0772479632123014E-2</c:v>
                </c:pt>
                <c:pt idx="23">
                  <c:v>2.0787582430501435E-2</c:v>
                </c:pt>
                <c:pt idx="24">
                  <c:v>2.1139900896770918E-2</c:v>
                </c:pt>
                <c:pt idx="25">
                  <c:v>2.2376994772827924E-2</c:v>
                </c:pt>
                <c:pt idx="26">
                  <c:v>2.2477223706495405E-2</c:v>
                </c:pt>
                <c:pt idx="27">
                  <c:v>2.2170866668478839E-2</c:v>
                </c:pt>
                <c:pt idx="28">
                  <c:v>2.2349209181667364E-2</c:v>
                </c:pt>
                <c:pt idx="29">
                  <c:v>2.2533579518386571E-2</c:v>
                </c:pt>
                <c:pt idx="30">
                  <c:v>2.2217222292478609E-2</c:v>
                </c:pt>
                <c:pt idx="31">
                  <c:v>2.2652131058954073E-2</c:v>
                </c:pt>
                <c:pt idx="32">
                  <c:v>2.2281647847555326E-2</c:v>
                </c:pt>
                <c:pt idx="33">
                  <c:v>2.2841322409656528E-2</c:v>
                </c:pt>
                <c:pt idx="34">
                  <c:v>2.2912946977632298E-2</c:v>
                </c:pt>
                <c:pt idx="35">
                  <c:v>2.2640961102575591E-2</c:v>
                </c:pt>
                <c:pt idx="36">
                  <c:v>2.2608502592329636E-2</c:v>
                </c:pt>
                <c:pt idx="37">
                  <c:v>2.1910617076701625E-2</c:v>
                </c:pt>
                <c:pt idx="38">
                  <c:v>2.2624199886637778E-2</c:v>
                </c:pt>
                <c:pt idx="39">
                  <c:v>2.2518120547204475E-2</c:v>
                </c:pt>
                <c:pt idx="40">
                  <c:v>2.3386080292341526E-2</c:v>
                </c:pt>
                <c:pt idx="41">
                  <c:v>2.1986549844909178E-2</c:v>
                </c:pt>
                <c:pt idx="42">
                  <c:v>2.2960569338764593E-2</c:v>
                </c:pt>
                <c:pt idx="43">
                  <c:v>2.2721639777871356E-2</c:v>
                </c:pt>
                <c:pt idx="44">
                  <c:v>2.3453138531989461E-2</c:v>
                </c:pt>
                <c:pt idx="45">
                  <c:v>2.3726339477837637E-2</c:v>
                </c:pt>
                <c:pt idx="46">
                  <c:v>2.3147586913596793E-2</c:v>
                </c:pt>
                <c:pt idx="47">
                  <c:v>2.3273951027624692E-2</c:v>
                </c:pt>
                <c:pt idx="48">
                  <c:v>2.3816740506346887E-2</c:v>
                </c:pt>
                <c:pt idx="49">
                  <c:v>2.2205175699685342E-2</c:v>
                </c:pt>
                <c:pt idx="50">
                  <c:v>2.1676874158843135E-2</c:v>
                </c:pt>
                <c:pt idx="51">
                  <c:v>2.1786545200275606E-2</c:v>
                </c:pt>
                <c:pt idx="52">
                  <c:v>2.3764686419369869E-2</c:v>
                </c:pt>
                <c:pt idx="53">
                  <c:v>2.4176191412905935E-2</c:v>
                </c:pt>
                <c:pt idx="54">
                  <c:v>2.4116313160009516E-2</c:v>
                </c:pt>
                <c:pt idx="55">
                  <c:v>2.4218498187311054E-2</c:v>
                </c:pt>
                <c:pt idx="56">
                  <c:v>2.4262921292462918E-2</c:v>
                </c:pt>
                <c:pt idx="57">
                  <c:v>2.3990386369574609E-2</c:v>
                </c:pt>
                <c:pt idx="58">
                  <c:v>2.3097902485146846E-2</c:v>
                </c:pt>
                <c:pt idx="59">
                  <c:v>2.3735132531053443E-2</c:v>
                </c:pt>
                <c:pt idx="60">
                  <c:v>2.4350778083684306E-2</c:v>
                </c:pt>
                <c:pt idx="61">
                  <c:v>2.3195413286517041E-2</c:v>
                </c:pt>
                <c:pt idx="62">
                  <c:v>2.2805849069210963E-2</c:v>
                </c:pt>
                <c:pt idx="63">
                  <c:v>2.3912766526616204E-2</c:v>
                </c:pt>
                <c:pt idx="64">
                  <c:v>2.444986097880843E-2</c:v>
                </c:pt>
                <c:pt idx="65">
                  <c:v>2.4547415619839062E-2</c:v>
                </c:pt>
                <c:pt idx="66">
                  <c:v>2.5367865982286183E-2</c:v>
                </c:pt>
                <c:pt idx="67">
                  <c:v>2.5300992770649781E-2</c:v>
                </c:pt>
                <c:pt idx="68">
                  <c:v>2.5399686309071568E-2</c:v>
                </c:pt>
                <c:pt idx="69">
                  <c:v>2.4957281697754696E-2</c:v>
                </c:pt>
                <c:pt idx="70">
                  <c:v>2.552920604159483E-2</c:v>
                </c:pt>
                <c:pt idx="71">
                  <c:v>2.5235817403475934E-2</c:v>
                </c:pt>
                <c:pt idx="72">
                  <c:v>2.5906325251112344E-2</c:v>
                </c:pt>
                <c:pt idx="73">
                  <c:v>2.5676558394879367E-2</c:v>
                </c:pt>
                <c:pt idx="74">
                  <c:v>2.3958405922455774E-2</c:v>
                </c:pt>
                <c:pt idx="75">
                  <c:v>2.1786127812905134E-2</c:v>
                </c:pt>
                <c:pt idx="76">
                  <c:v>2.1001993837948655E-2</c:v>
                </c:pt>
                <c:pt idx="77">
                  <c:v>2.4020497677218134E-2</c:v>
                </c:pt>
                <c:pt idx="78">
                  <c:v>2.5195096530886609E-2</c:v>
                </c:pt>
                <c:pt idx="79">
                  <c:v>2.5628143046503415E-2</c:v>
                </c:pt>
                <c:pt idx="80">
                  <c:v>2.4869910007844373E-2</c:v>
                </c:pt>
                <c:pt idx="81">
                  <c:v>2.3921658444913091E-2</c:v>
                </c:pt>
                <c:pt idx="82">
                  <c:v>2.527194061178753E-2</c:v>
                </c:pt>
                <c:pt idx="83">
                  <c:v>2.5260408033386798E-2</c:v>
                </c:pt>
                <c:pt idx="84">
                  <c:v>2.4908498776500351E-2</c:v>
                </c:pt>
                <c:pt idx="85">
                  <c:v>2.4857953475576365E-2</c:v>
                </c:pt>
                <c:pt idx="86">
                  <c:v>2.1104263926806109E-2</c:v>
                </c:pt>
                <c:pt idx="87">
                  <c:v>2.1496878379209335E-2</c:v>
                </c:pt>
                <c:pt idx="88">
                  <c:v>2.4542603469010223E-2</c:v>
                </c:pt>
                <c:pt idx="89">
                  <c:v>2.3674750843037454E-2</c:v>
                </c:pt>
                <c:pt idx="90">
                  <c:v>2.2136015213872866E-2</c:v>
                </c:pt>
                <c:pt idx="91">
                  <c:v>2.2575883092943644E-2</c:v>
                </c:pt>
                <c:pt idx="92">
                  <c:v>2.1907012216668444E-2</c:v>
                </c:pt>
                <c:pt idx="93">
                  <c:v>2.5015297795582665E-2</c:v>
                </c:pt>
                <c:pt idx="94">
                  <c:v>2.4491961772240261E-2</c:v>
                </c:pt>
                <c:pt idx="95">
                  <c:v>1.7742906163037114E-2</c:v>
                </c:pt>
                <c:pt idx="96">
                  <c:v>1.312413324299536E-2</c:v>
                </c:pt>
                <c:pt idx="97">
                  <c:v>1.2063213766466147E-2</c:v>
                </c:pt>
                <c:pt idx="98">
                  <c:v>1.3347626772285752E-2</c:v>
                </c:pt>
                <c:pt idx="99">
                  <c:v>1.1527806807183098E-2</c:v>
                </c:pt>
                <c:pt idx="100">
                  <c:v>1.483410081913953E-2</c:v>
                </c:pt>
                <c:pt idx="101">
                  <c:v>1.2267489289887322E-2</c:v>
                </c:pt>
                <c:pt idx="102">
                  <c:v>1.5451350578913715E-2</c:v>
                </c:pt>
                <c:pt idx="103">
                  <c:v>1.3607145576116987E-2</c:v>
                </c:pt>
                <c:pt idx="104">
                  <c:v>2.1123032766086326E-2</c:v>
                </c:pt>
                <c:pt idx="105">
                  <c:v>2.0212814831016918E-2</c:v>
                </c:pt>
                <c:pt idx="106">
                  <c:v>2.0575790361706876E-2</c:v>
                </c:pt>
                <c:pt idx="107">
                  <c:v>2.1309046669189688E-2</c:v>
                </c:pt>
                <c:pt idx="108">
                  <c:v>2.1533642604226525E-2</c:v>
                </c:pt>
                <c:pt idx="109">
                  <c:v>2.6460768176756442E-2</c:v>
                </c:pt>
                <c:pt idx="110">
                  <c:v>2.1983493559045632E-2</c:v>
                </c:pt>
                <c:pt idx="111">
                  <c:v>1.989590097610229E-2</c:v>
                </c:pt>
                <c:pt idx="112">
                  <c:v>2.0932374141522693E-2</c:v>
                </c:pt>
                <c:pt idx="113">
                  <c:v>2.5232908509266707E-2</c:v>
                </c:pt>
                <c:pt idx="114">
                  <c:v>2.2390995105102861E-2</c:v>
                </c:pt>
                <c:pt idx="115">
                  <c:v>1.8454887637359096E-2</c:v>
                </c:pt>
                <c:pt idx="116">
                  <c:v>2.0628586133435382E-2</c:v>
                </c:pt>
                <c:pt idx="117">
                  <c:v>2.2601763377976643E-2</c:v>
                </c:pt>
                <c:pt idx="118">
                  <c:v>2.9071764923853039E-2</c:v>
                </c:pt>
                <c:pt idx="119">
                  <c:v>2.1497969284905681E-2</c:v>
                </c:pt>
                <c:pt idx="120">
                  <c:v>1.6500242858483637E-2</c:v>
                </c:pt>
                <c:pt idx="121">
                  <c:v>1.6610749404902741E-2</c:v>
                </c:pt>
                <c:pt idx="122">
                  <c:v>2.0921965279247279E-2</c:v>
                </c:pt>
                <c:pt idx="123">
                  <c:v>2.6714089167305579E-2</c:v>
                </c:pt>
                <c:pt idx="124">
                  <c:v>2.1491733336044976E-2</c:v>
                </c:pt>
                <c:pt idx="125">
                  <c:v>1.8793519566798259E-2</c:v>
                </c:pt>
                <c:pt idx="126">
                  <c:v>1.7998887599173837E-2</c:v>
                </c:pt>
                <c:pt idx="127">
                  <c:v>1.6105652090888638E-2</c:v>
                </c:pt>
                <c:pt idx="128">
                  <c:v>9.2539753777060481E-3</c:v>
                </c:pt>
                <c:pt idx="129">
                  <c:v>1.3503513294117876E-2</c:v>
                </c:pt>
                <c:pt idx="130">
                  <c:v>1.1614274608053733E-2</c:v>
                </c:pt>
                <c:pt idx="131">
                  <c:v>8.2926228606272443E-3</c:v>
                </c:pt>
                <c:pt idx="132">
                  <c:v>4.6941453281743751E-3</c:v>
                </c:pt>
                <c:pt idx="133">
                  <c:v>6.8430139347029498E-3</c:v>
                </c:pt>
                <c:pt idx="134">
                  <c:v>7.3014560256558182E-3</c:v>
                </c:pt>
                <c:pt idx="135">
                  <c:v>1.1386993076891736E-2</c:v>
                </c:pt>
                <c:pt idx="136">
                  <c:v>2.0988220054161771E-2</c:v>
                </c:pt>
                <c:pt idx="137">
                  <c:v>1.7212040496386024E-2</c:v>
                </c:pt>
                <c:pt idx="138">
                  <c:v>2.270670303049422E-2</c:v>
                </c:pt>
                <c:pt idx="139">
                  <c:v>3.1800433546262233E-2</c:v>
                </c:pt>
                <c:pt idx="140">
                  <c:v>3.2051549570022139E-2</c:v>
                </c:pt>
                <c:pt idx="141">
                  <c:v>3.1876905889261238E-2</c:v>
                </c:pt>
                <c:pt idx="142">
                  <c:v>2.8586961312890527E-2</c:v>
                </c:pt>
                <c:pt idx="143">
                  <c:v>2.3015500444237606E-2</c:v>
                </c:pt>
                <c:pt idx="144">
                  <c:v>2.3865167094374719E-2</c:v>
                </c:pt>
                <c:pt idx="145">
                  <c:v>3.2694243708639679E-2</c:v>
                </c:pt>
                <c:pt idx="146">
                  <c:v>3.7897380095451273E-2</c:v>
                </c:pt>
                <c:pt idx="147">
                  <c:v>3.8534290661757273E-2</c:v>
                </c:pt>
                <c:pt idx="148">
                  <c:v>3.2652500491994682E-2</c:v>
                </c:pt>
                <c:pt idx="149">
                  <c:v>3.6683773190351175E-2</c:v>
                </c:pt>
                <c:pt idx="150">
                  <c:v>3.6640603652760652E-2</c:v>
                </c:pt>
                <c:pt idx="151">
                  <c:v>3.9018981604994903E-2</c:v>
                </c:pt>
                <c:pt idx="152">
                  <c:v>4.1120017511848413E-2</c:v>
                </c:pt>
                <c:pt idx="153">
                  <c:v>4.0329561406691819E-2</c:v>
                </c:pt>
                <c:pt idx="154">
                  <c:v>3.9846400567554001E-2</c:v>
                </c:pt>
                <c:pt idx="155">
                  <c:v>4.2554650102264668E-2</c:v>
                </c:pt>
                <c:pt idx="156">
                  <c:v>3.8992013102663849E-2</c:v>
                </c:pt>
                <c:pt idx="157">
                  <c:v>4.3510329185048123E-2</c:v>
                </c:pt>
                <c:pt idx="158">
                  <c:v>4.1456690113087891E-2</c:v>
                </c:pt>
                <c:pt idx="159">
                  <c:v>3.8955150268463572E-2</c:v>
                </c:pt>
                <c:pt idx="160">
                  <c:v>3.8778215728508793E-2</c:v>
                </c:pt>
                <c:pt idx="161">
                  <c:v>4.3991039223996567E-2</c:v>
                </c:pt>
                <c:pt idx="162">
                  <c:v>4.4022402258254809E-2</c:v>
                </c:pt>
                <c:pt idx="163">
                  <c:v>4.6851352520493682E-2</c:v>
                </c:pt>
                <c:pt idx="164">
                  <c:v>4.7257283185750718E-2</c:v>
                </c:pt>
                <c:pt idx="165">
                  <c:v>4.7343858596248449E-2</c:v>
                </c:pt>
                <c:pt idx="166">
                  <c:v>4.8198283836903479E-2</c:v>
                </c:pt>
                <c:pt idx="167">
                  <c:v>3.9514047739840713E-2</c:v>
                </c:pt>
                <c:pt idx="168">
                  <c:v>4.3097481388649841E-2</c:v>
                </c:pt>
                <c:pt idx="169">
                  <c:v>4.6569605582196319E-2</c:v>
                </c:pt>
                <c:pt idx="170">
                  <c:v>4.9701014968329911E-2</c:v>
                </c:pt>
                <c:pt idx="171">
                  <c:v>5.0188625306651309E-2</c:v>
                </c:pt>
                <c:pt idx="172">
                  <c:v>4.2260313198977474E-2</c:v>
                </c:pt>
                <c:pt idx="173">
                  <c:v>5.2533412085173405E-2</c:v>
                </c:pt>
                <c:pt idx="174">
                  <c:v>5.4402862230609514E-2</c:v>
                </c:pt>
                <c:pt idx="175">
                  <c:v>5.3269995229346501E-2</c:v>
                </c:pt>
                <c:pt idx="176">
                  <c:v>5.5526773087762181E-2</c:v>
                </c:pt>
                <c:pt idx="177">
                  <c:v>5.1792900439065037E-2</c:v>
                </c:pt>
                <c:pt idx="178">
                  <c:v>4.1953080694145557E-2</c:v>
                </c:pt>
                <c:pt idx="179">
                  <c:v>3.6150035268638178E-2</c:v>
                </c:pt>
                <c:pt idx="180">
                  <c:v>2.8743573810925044E-2</c:v>
                </c:pt>
                <c:pt idx="181">
                  <c:v>3.550289487045747E-2</c:v>
                </c:pt>
                <c:pt idx="182">
                  <c:v>3.2245338410064155E-2</c:v>
                </c:pt>
                <c:pt idx="183">
                  <c:v>1.8618935845732019E-2</c:v>
                </c:pt>
                <c:pt idx="184">
                  <c:v>3.8647067115487273E-2</c:v>
                </c:pt>
                <c:pt idx="185">
                  <c:v>4.1811925062496799E-2</c:v>
                </c:pt>
                <c:pt idx="186">
                  <c:v>4.0163009985398943E-2</c:v>
                </c:pt>
                <c:pt idx="187">
                  <c:v>3.5416254507783622E-2</c:v>
                </c:pt>
                <c:pt idx="188">
                  <c:v>5.7656288146953519E-2</c:v>
                </c:pt>
                <c:pt idx="189">
                  <c:v>7.1865835518112667E-2</c:v>
                </c:pt>
                <c:pt idx="190">
                  <c:v>8.8809846866041209E-2</c:v>
                </c:pt>
                <c:pt idx="191">
                  <c:v>9.4283643007606388E-2</c:v>
                </c:pt>
                <c:pt idx="192">
                  <c:v>9.9335664767778442E-2</c:v>
                </c:pt>
                <c:pt idx="193">
                  <c:v>0.10678016730863203</c:v>
                </c:pt>
                <c:pt idx="194">
                  <c:v>7.0172049717058108E-2</c:v>
                </c:pt>
                <c:pt idx="195">
                  <c:v>0.1029372665010837</c:v>
                </c:pt>
                <c:pt idx="196">
                  <c:v>0.11243635492323391</c:v>
                </c:pt>
                <c:pt idx="197">
                  <c:v>0.15605373883485699</c:v>
                </c:pt>
                <c:pt idx="198">
                  <c:v>2.6209777406323659E-2</c:v>
                </c:pt>
                <c:pt idx="199">
                  <c:v>2.2205575093092834E-2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904304"/>
        <c:axId val="-968917920"/>
      </c:scatterChart>
      <c:valAx>
        <c:axId val="-9678310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23120"/>
        <c:crosses val="autoZero"/>
        <c:crossBetween val="midCat"/>
      </c:valAx>
      <c:valAx>
        <c:axId val="-968923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831056"/>
        <c:crosses val="autoZero"/>
        <c:crossBetween val="midCat"/>
      </c:valAx>
      <c:valAx>
        <c:axId val="-96890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917920"/>
        <c:crosses val="autoZero"/>
        <c:crossBetween val="midCat"/>
      </c:valAx>
      <c:valAx>
        <c:axId val="-968917920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0430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Study'!$T$10</c:f>
              <c:strCache>
                <c:ptCount val="1"/>
                <c:pt idx="0">
                  <c:v>P&amp;L Realized-Implied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Study'!$T$11:$T$211</c:f>
              <c:numCache>
                <c:formatCode>0.0000</c:formatCode>
                <c:ptCount val="201"/>
                <c:pt idx="1">
                  <c:v>5.1739418176662923E-2</c:v>
                </c:pt>
                <c:pt idx="2">
                  <c:v>7.4052130474519529E-2</c:v>
                </c:pt>
                <c:pt idx="3">
                  <c:v>0.11405604841614853</c:v>
                </c:pt>
                <c:pt idx="4">
                  <c:v>3.6845753362451518E-3</c:v>
                </c:pt>
                <c:pt idx="5">
                  <c:v>-1.9784247466095421E-2</c:v>
                </c:pt>
                <c:pt idx="6">
                  <c:v>0.12370823826950128</c:v>
                </c:pt>
                <c:pt idx="7">
                  <c:v>4.1338626974708151E-2</c:v>
                </c:pt>
                <c:pt idx="8">
                  <c:v>0.29033842737989191</c:v>
                </c:pt>
                <c:pt idx="9">
                  <c:v>-1.5327050010178055E-2</c:v>
                </c:pt>
                <c:pt idx="10">
                  <c:v>-9.4666635801963373E-3</c:v>
                </c:pt>
                <c:pt idx="11">
                  <c:v>-1.7491819125345304E-3</c:v>
                </c:pt>
                <c:pt idx="12">
                  <c:v>5.7944114809392509E-2</c:v>
                </c:pt>
                <c:pt idx="13">
                  <c:v>-1.1935096100489881E-2</c:v>
                </c:pt>
                <c:pt idx="14">
                  <c:v>9.2666928397806367E-2</c:v>
                </c:pt>
                <c:pt idx="15">
                  <c:v>-7.5429053848772082E-3</c:v>
                </c:pt>
                <c:pt idx="16">
                  <c:v>-1.2152390299715017E-2</c:v>
                </c:pt>
                <c:pt idx="17">
                  <c:v>-1.7076964483899205E-2</c:v>
                </c:pt>
                <c:pt idx="18">
                  <c:v>7.6473868294028432E-3</c:v>
                </c:pt>
                <c:pt idx="19">
                  <c:v>6.9416295124319793E-2</c:v>
                </c:pt>
                <c:pt idx="20">
                  <c:v>-1.4949692907210491E-2</c:v>
                </c:pt>
                <c:pt idx="21">
                  <c:v>0.22564492374058012</c:v>
                </c:pt>
                <c:pt idx="22">
                  <c:v>0.17842465066288868</c:v>
                </c:pt>
                <c:pt idx="23">
                  <c:v>-1.5621468636914554E-2</c:v>
                </c:pt>
                <c:pt idx="24">
                  <c:v>-1.094295980545997E-2</c:v>
                </c:pt>
                <c:pt idx="25">
                  <c:v>0.20130627703804274</c:v>
                </c:pt>
                <c:pt idx="26">
                  <c:v>-1.6828236063440482E-2</c:v>
                </c:pt>
                <c:pt idx="27">
                  <c:v>0.24471194292230961</c:v>
                </c:pt>
                <c:pt idx="28">
                  <c:v>-1.7762129397296721E-2</c:v>
                </c:pt>
                <c:pt idx="29">
                  <c:v>-1.5713299553603663E-2</c:v>
                </c:pt>
                <c:pt idx="30">
                  <c:v>1.4606360183748727E-2</c:v>
                </c:pt>
                <c:pt idx="31">
                  <c:v>1.0535741745921916E-2</c:v>
                </c:pt>
                <c:pt idx="32">
                  <c:v>2.2246822877144426E-2</c:v>
                </c:pt>
                <c:pt idx="33">
                  <c:v>3.8756872985183502E-2</c:v>
                </c:pt>
                <c:pt idx="34">
                  <c:v>9.1796577162248344E-2</c:v>
                </c:pt>
                <c:pt idx="35">
                  <c:v>1.1027975077438631E-2</c:v>
                </c:pt>
                <c:pt idx="36">
                  <c:v>-1.7417972615538454E-2</c:v>
                </c:pt>
                <c:pt idx="37">
                  <c:v>2.2273280965655711E-2</c:v>
                </c:pt>
                <c:pt idx="38">
                  <c:v>1.4990262087843874E-2</c:v>
                </c:pt>
                <c:pt idx="39">
                  <c:v>-1.5916704958474134E-2</c:v>
                </c:pt>
                <c:pt idx="40">
                  <c:v>0.17123792226589599</c:v>
                </c:pt>
                <c:pt idx="41">
                  <c:v>0.56483788187838713</c:v>
                </c:pt>
                <c:pt idx="42">
                  <c:v>4.2342135558806948E-2</c:v>
                </c:pt>
                <c:pt idx="43">
                  <c:v>-1.1414058329788378E-2</c:v>
                </c:pt>
                <c:pt idx="44">
                  <c:v>4.2106735053637621E-2</c:v>
                </c:pt>
                <c:pt idx="45">
                  <c:v>1.323745523727873E-2</c:v>
                </c:pt>
                <c:pt idx="46">
                  <c:v>0.13345581619627972</c:v>
                </c:pt>
                <c:pt idx="47">
                  <c:v>-2.1999043992988233E-2</c:v>
                </c:pt>
                <c:pt idx="48">
                  <c:v>0.2969058574286666</c:v>
                </c:pt>
                <c:pt idx="49">
                  <c:v>0.18821269044032524</c:v>
                </c:pt>
                <c:pt idx="50">
                  <c:v>-7.7257592731831155E-3</c:v>
                </c:pt>
                <c:pt idx="51">
                  <c:v>-1.6357911786545741E-2</c:v>
                </c:pt>
                <c:pt idx="52">
                  <c:v>0.18663606030795882</c:v>
                </c:pt>
                <c:pt idx="53">
                  <c:v>7.1435520125796761E-3</c:v>
                </c:pt>
                <c:pt idx="54">
                  <c:v>-1.5498202110480452E-2</c:v>
                </c:pt>
                <c:pt idx="55">
                  <c:v>-2.0222771365778065E-2</c:v>
                </c:pt>
                <c:pt idx="56">
                  <c:v>-2.0422863514847487E-2</c:v>
                </c:pt>
                <c:pt idx="57">
                  <c:v>-4.8153176643299309E-3</c:v>
                </c:pt>
                <c:pt idx="58">
                  <c:v>2.7919698091948303E-2</c:v>
                </c:pt>
                <c:pt idx="59">
                  <c:v>-3.2418553310929214E-3</c:v>
                </c:pt>
                <c:pt idx="60">
                  <c:v>4.7579455900676184E-3</c:v>
                </c:pt>
                <c:pt idx="61">
                  <c:v>5.6500015074152699E-2</c:v>
                </c:pt>
                <c:pt idx="62">
                  <c:v>-1.2558966515927326E-2</c:v>
                </c:pt>
                <c:pt idx="63">
                  <c:v>2.1152473653612214E-2</c:v>
                </c:pt>
                <c:pt idx="64">
                  <c:v>-6.1515105729944199E-3</c:v>
                </c:pt>
                <c:pt idx="65">
                  <c:v>-2.0252527158253708E-2</c:v>
                </c:pt>
                <c:pt idx="66">
                  <c:v>0.15554670875689267</c:v>
                </c:pt>
                <c:pt idx="67">
                  <c:v>6.3422235806665289E-3</c:v>
                </c:pt>
                <c:pt idx="68">
                  <c:v>-2.194206531318443E-2</c:v>
                </c:pt>
                <c:pt idx="69">
                  <c:v>1.8834546939183492E-2</c:v>
                </c:pt>
                <c:pt idx="70">
                  <c:v>1.3994908814453536E-2</c:v>
                </c:pt>
                <c:pt idx="71">
                  <c:v>-9.1573462472119879E-4</c:v>
                </c:pt>
                <c:pt idx="72">
                  <c:v>0.14687893383374506</c:v>
                </c:pt>
                <c:pt idx="73">
                  <c:v>4.2145851740904287E-2</c:v>
                </c:pt>
                <c:pt idx="74">
                  <c:v>0.18847233399020413</c:v>
                </c:pt>
                <c:pt idx="75">
                  <c:v>9.2359299653086174E-2</c:v>
                </c:pt>
                <c:pt idx="76">
                  <c:v>-1.1700900773621275E-2</c:v>
                </c:pt>
                <c:pt idx="77">
                  <c:v>0.14056759469054708</c:v>
                </c:pt>
                <c:pt idx="78">
                  <c:v>1.5673615506513937E-2</c:v>
                </c:pt>
                <c:pt idx="79">
                  <c:v>-1.9514186930701043E-2</c:v>
                </c:pt>
                <c:pt idx="80">
                  <c:v>9.3984529633059904E-3</c:v>
                </c:pt>
                <c:pt idx="81">
                  <c:v>6.0340349627925295E-3</c:v>
                </c:pt>
                <c:pt idx="82">
                  <c:v>1.870328319212182E-2</c:v>
                </c:pt>
                <c:pt idx="83">
                  <c:v>-2.5191161701451952E-2</c:v>
                </c:pt>
                <c:pt idx="84">
                  <c:v>-1.8997787815734891E-2</c:v>
                </c:pt>
                <c:pt idx="85">
                  <c:v>-2.5111543433798816E-2</c:v>
                </c:pt>
                <c:pt idx="86">
                  <c:v>0.22180869840307776</c:v>
                </c:pt>
                <c:pt idx="87">
                  <c:v>-2.3063451394771031E-2</c:v>
                </c:pt>
                <c:pt idx="88">
                  <c:v>0.10732724087016443</c:v>
                </c:pt>
                <c:pt idx="89">
                  <c:v>-8.2399661084767914E-3</c:v>
                </c:pt>
                <c:pt idx="90">
                  <c:v>1.2468636585913993E-2</c:v>
                </c:pt>
                <c:pt idx="91">
                  <c:v>-2.3563058584557168E-2</c:v>
                </c:pt>
                <c:pt idx="92">
                  <c:v>-1.7850942246156975E-2</c:v>
                </c:pt>
                <c:pt idx="93">
                  <c:v>0.10202246833838292</c:v>
                </c:pt>
                <c:pt idx="94">
                  <c:v>-1.9180155726578562E-2</c:v>
                </c:pt>
                <c:pt idx="95">
                  <c:v>0.43355040519098581</c:v>
                </c:pt>
                <c:pt idx="96">
                  <c:v>0.12347170182239307</c:v>
                </c:pt>
                <c:pt idx="97">
                  <c:v>-8.8473907241045074E-3</c:v>
                </c:pt>
                <c:pt idx="98">
                  <c:v>-6.4346211935175923E-3</c:v>
                </c:pt>
                <c:pt idx="99">
                  <c:v>4.9085115593125589E-3</c:v>
                </c:pt>
                <c:pt idx="100">
                  <c:v>5.5374743921449067E-2</c:v>
                </c:pt>
                <c:pt idx="101">
                  <c:v>2.3080863658104599E-2</c:v>
                </c:pt>
                <c:pt idx="102">
                  <c:v>4.6796858634121329E-2</c:v>
                </c:pt>
                <c:pt idx="103">
                  <c:v>2.6771404927163492E-3</c:v>
                </c:pt>
                <c:pt idx="104">
                  <c:v>0.37626799556531326</c:v>
                </c:pt>
                <c:pt idx="105">
                  <c:v>-1.6683267294651961E-2</c:v>
                </c:pt>
                <c:pt idx="106">
                  <c:v>-2.3586574106943328E-2</c:v>
                </c:pt>
                <c:pt idx="107">
                  <c:v>-2.1657922214427836E-2</c:v>
                </c:pt>
                <c:pt idx="108">
                  <c:v>-2.4866693098289611E-2</c:v>
                </c:pt>
                <c:pt idx="109">
                  <c:v>0.19345812531721768</c:v>
                </c:pt>
                <c:pt idx="110">
                  <c:v>0.16785877684637587</c:v>
                </c:pt>
                <c:pt idx="111">
                  <c:v>6.6693821511937222E-3</c:v>
                </c:pt>
                <c:pt idx="112">
                  <c:v>-1.874269309739587E-2</c:v>
                </c:pt>
                <c:pt idx="113">
                  <c:v>0.10742725072265627</c:v>
                </c:pt>
                <c:pt idx="114">
                  <c:v>4.0402129253208165E-2</c:v>
                </c:pt>
                <c:pt idx="115">
                  <c:v>6.7559656887580713E-2</c:v>
                </c:pt>
                <c:pt idx="116">
                  <c:v>6.3285786409746363E-4</c:v>
                </c:pt>
                <c:pt idx="117">
                  <c:v>-4.4995058074455757E-3</c:v>
                </c:pt>
                <c:pt idx="118">
                  <c:v>0.33636595810174313</c:v>
                </c:pt>
                <c:pt idx="119">
                  <c:v>0.44201316136184854</c:v>
                </c:pt>
                <c:pt idx="120">
                  <c:v>9.5979535608042538E-2</c:v>
                </c:pt>
                <c:pt idx="121">
                  <c:v>-2.0829145538435744E-2</c:v>
                </c:pt>
                <c:pt idx="122">
                  <c:v>6.4753215413698578E-2</c:v>
                </c:pt>
                <c:pt idx="123">
                  <c:v>0.17061718839181084</c:v>
                </c:pt>
                <c:pt idx="124">
                  <c:v>0.13508335788243403</c:v>
                </c:pt>
                <c:pt idx="125">
                  <c:v>1.0217604301595956E-2</c:v>
                </c:pt>
                <c:pt idx="126">
                  <c:v>-1.9405177506373879E-2</c:v>
                </c:pt>
                <c:pt idx="127">
                  <c:v>-6.3348929808371129E-3</c:v>
                </c:pt>
                <c:pt idx="128">
                  <c:v>0.13581581481656807</c:v>
                </c:pt>
                <c:pt idx="129">
                  <c:v>6.2911011650885418E-2</c:v>
                </c:pt>
                <c:pt idx="130">
                  <c:v>-3.4740124226032092E-3</c:v>
                </c:pt>
                <c:pt idx="131">
                  <c:v>2.4720709904435652E-2</c:v>
                </c:pt>
                <c:pt idx="132">
                  <c:v>3.8744638928073429E-2</c:v>
                </c:pt>
                <c:pt idx="133">
                  <c:v>1.7365963098149258E-2</c:v>
                </c:pt>
                <c:pt idx="134">
                  <c:v>-9.194026208837882E-3</c:v>
                </c:pt>
                <c:pt idx="135">
                  <c:v>5.7917337661221771E-2</c:v>
                </c:pt>
                <c:pt idx="136">
                  <c:v>0.33022908926245587</c:v>
                </c:pt>
                <c:pt idx="137">
                  <c:v>2.2220720712466963E-2</c:v>
                </c:pt>
                <c:pt idx="138">
                  <c:v>7.5712044053917793E-2</c:v>
                </c:pt>
                <c:pt idx="139">
                  <c:v>0.34798482198221886</c:v>
                </c:pt>
                <c:pt idx="140">
                  <c:v>-3.4384244441750304E-2</c:v>
                </c:pt>
                <c:pt idx="141">
                  <c:v>-3.3232339996580637E-2</c:v>
                </c:pt>
                <c:pt idx="142">
                  <c:v>2.7997750098430439E-2</c:v>
                </c:pt>
                <c:pt idx="143">
                  <c:v>7.6746016954004501E-2</c:v>
                </c:pt>
                <c:pt idx="144">
                  <c:v>-2.6319615665108258E-2</c:v>
                </c:pt>
                <c:pt idx="145">
                  <c:v>0.26161113660005159</c:v>
                </c:pt>
                <c:pt idx="146">
                  <c:v>0.19156205865528408</c:v>
                </c:pt>
                <c:pt idx="147">
                  <c:v>-3.6409018983648178E-2</c:v>
                </c:pt>
                <c:pt idx="148">
                  <c:v>0.30755247340025993</c:v>
                </c:pt>
                <c:pt idx="149">
                  <c:v>4.3049480487950285E-2</c:v>
                </c:pt>
                <c:pt idx="150">
                  <c:v>-3.7333700105599721E-2</c:v>
                </c:pt>
                <c:pt idx="151">
                  <c:v>-1.38529013639604E-3</c:v>
                </c:pt>
                <c:pt idx="152">
                  <c:v>4.3504207577623438E-2</c:v>
                </c:pt>
                <c:pt idx="153">
                  <c:v>1.5045286922686049E-2</c:v>
                </c:pt>
                <c:pt idx="154">
                  <c:v>-2.9833108337116651E-2</c:v>
                </c:pt>
                <c:pt idx="155">
                  <c:v>0.10032527719229885</c:v>
                </c:pt>
                <c:pt idx="156">
                  <c:v>0.2490129184344442</c:v>
                </c:pt>
                <c:pt idx="157">
                  <c:v>0.22882460563470761</c:v>
                </c:pt>
                <c:pt idx="158">
                  <c:v>0.20859228649036241</c:v>
                </c:pt>
                <c:pt idx="159">
                  <c:v>1.7617772496900965E-3</c:v>
                </c:pt>
                <c:pt idx="160">
                  <c:v>-3.3484142181786011E-2</c:v>
                </c:pt>
                <c:pt idx="161">
                  <c:v>9.2720170996428208E-2</c:v>
                </c:pt>
                <c:pt idx="162">
                  <c:v>-3.8823780916623009E-2</c:v>
                </c:pt>
                <c:pt idx="163">
                  <c:v>9.2030855659450642E-2</c:v>
                </c:pt>
                <c:pt idx="164">
                  <c:v>-3.9522316995376096E-2</c:v>
                </c:pt>
                <c:pt idx="165">
                  <c:v>-3.5898127120084312E-2</c:v>
                </c:pt>
                <c:pt idx="166">
                  <c:v>0.17356496151479514</c:v>
                </c:pt>
                <c:pt idx="167">
                  <c:v>0.34062920887118669</c:v>
                </c:pt>
                <c:pt idx="168">
                  <c:v>-2.4300903268980045E-2</c:v>
                </c:pt>
                <c:pt idx="169">
                  <c:v>-2.3848514073752675E-2</c:v>
                </c:pt>
                <c:pt idx="170">
                  <c:v>-2.2945160255195697E-2</c:v>
                </c:pt>
                <c:pt idx="171">
                  <c:v>-5.0745596387896254E-2</c:v>
                </c:pt>
                <c:pt idx="172">
                  <c:v>0.13734658246800929</c:v>
                </c:pt>
                <c:pt idx="173">
                  <c:v>0.18805990724736235</c:v>
                </c:pt>
                <c:pt idx="174">
                  <c:v>0.28209267294221874</c:v>
                </c:pt>
                <c:pt idx="175">
                  <c:v>-2.9288544487432077E-2</c:v>
                </c:pt>
                <c:pt idx="176">
                  <c:v>-4.4524665782292583E-2</c:v>
                </c:pt>
                <c:pt idx="177">
                  <c:v>2.6246274393892135E-4</c:v>
                </c:pt>
                <c:pt idx="178">
                  <c:v>4.4776941241045899E-2</c:v>
                </c:pt>
                <c:pt idx="179">
                  <c:v>-1.5534793425678197E-2</c:v>
                </c:pt>
                <c:pt idx="180">
                  <c:v>-7.1477973425496484E-3</c:v>
                </c:pt>
                <c:pt idx="181">
                  <c:v>-7.8083521006403686E-3</c:v>
                </c:pt>
                <c:pt idx="182">
                  <c:v>-2.5102236640763598E-2</c:v>
                </c:pt>
                <c:pt idx="183">
                  <c:v>1.8900663295749943E-2</c:v>
                </c:pt>
                <c:pt idx="184">
                  <c:v>0.14858685082813144</c:v>
                </c:pt>
                <c:pt idx="185">
                  <c:v>-3.2622984926106685E-2</c:v>
                </c:pt>
                <c:pt idx="186">
                  <c:v>-3.4982331857880355E-2</c:v>
                </c:pt>
                <c:pt idx="187">
                  <c:v>-2.7883029014523272E-2</c:v>
                </c:pt>
                <c:pt idx="188">
                  <c:v>0.10044351668746489</c:v>
                </c:pt>
                <c:pt idx="189">
                  <c:v>-2.0518332487324278E-3</c:v>
                </c:pt>
                <c:pt idx="190">
                  <c:v>0.13712354362385304</c:v>
                </c:pt>
                <c:pt idx="191">
                  <c:v>-7.8952702914995218E-2</c:v>
                </c:pt>
                <c:pt idx="192">
                  <c:v>-9.0616346967063083E-2</c:v>
                </c:pt>
                <c:pt idx="193">
                  <c:v>-9.8946611575799884E-2</c:v>
                </c:pt>
                <c:pt idx="194">
                  <c:v>0.27476245774876101</c:v>
                </c:pt>
                <c:pt idx="195">
                  <c:v>9.5072676428585266E-3</c:v>
                </c:pt>
                <c:pt idx="196">
                  <c:v>-0.10658316413642295</c:v>
                </c:pt>
                <c:pt idx="197">
                  <c:v>-3.6708009113462919E-2</c:v>
                </c:pt>
                <c:pt idx="198">
                  <c:v>0.31359763167540222</c:v>
                </c:pt>
                <c:pt idx="199">
                  <c:v>-1.6119707568366358E-2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53776"/>
        <c:axId val="-967451456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1.9552134865534521E-2</c:v>
                </c:pt>
                <c:pt idx="1">
                  <c:v>2.0514217682906198E-2</c:v>
                </c:pt>
                <c:pt idx="2">
                  <c:v>2.1169244814499426E-2</c:v>
                </c:pt>
                <c:pt idx="3">
                  <c:v>2.0498702280365926E-2</c:v>
                </c:pt>
                <c:pt idx="4">
                  <c:v>2.0053854751138238E-2</c:v>
                </c:pt>
                <c:pt idx="5">
                  <c:v>2.0094103374228647E-2</c:v>
                </c:pt>
                <c:pt idx="6">
                  <c:v>2.120427689373023E-2</c:v>
                </c:pt>
                <c:pt idx="7">
                  <c:v>2.1509609516373741E-2</c:v>
                </c:pt>
                <c:pt idx="8">
                  <c:v>2.0571769795268004E-2</c:v>
                </c:pt>
                <c:pt idx="9">
                  <c:v>2.0679698073315836E-2</c:v>
                </c:pt>
                <c:pt idx="10">
                  <c:v>2.0980495485121448E-2</c:v>
                </c:pt>
                <c:pt idx="11">
                  <c:v>2.1336825340283843E-2</c:v>
                </c:pt>
                <c:pt idx="12">
                  <c:v>2.0458307450412064E-2</c:v>
                </c:pt>
                <c:pt idx="13">
                  <c:v>2.0734991734429303E-2</c:v>
                </c:pt>
                <c:pt idx="14">
                  <c:v>2.1651455714442328E-2</c:v>
                </c:pt>
                <c:pt idx="15">
                  <c:v>2.1489925327408916E-2</c:v>
                </c:pt>
                <c:pt idx="16">
                  <c:v>2.1691133922531153E-2</c:v>
                </c:pt>
                <c:pt idx="17">
                  <c:v>2.1691486605460279E-2</c:v>
                </c:pt>
                <c:pt idx="18">
                  <c:v>2.1992352781615151E-2</c:v>
                </c:pt>
                <c:pt idx="19">
                  <c:v>2.1374843509467303E-2</c:v>
                </c:pt>
                <c:pt idx="20">
                  <c:v>2.1275131197640702E-2</c:v>
                </c:pt>
                <c:pt idx="21">
                  <c:v>1.8231505428184459E-2</c:v>
                </c:pt>
                <c:pt idx="22">
                  <c:v>2.0772479632123014E-2</c:v>
                </c:pt>
                <c:pt idx="23">
                  <c:v>2.0787582430501435E-2</c:v>
                </c:pt>
                <c:pt idx="24">
                  <c:v>2.1139900896770918E-2</c:v>
                </c:pt>
                <c:pt idx="25">
                  <c:v>2.2376994772827924E-2</c:v>
                </c:pt>
                <c:pt idx="26">
                  <c:v>2.2477223706495405E-2</c:v>
                </c:pt>
                <c:pt idx="27">
                  <c:v>2.2170866668478839E-2</c:v>
                </c:pt>
                <c:pt idx="28">
                  <c:v>2.2349209181667364E-2</c:v>
                </c:pt>
                <c:pt idx="29">
                  <c:v>2.2533579518386571E-2</c:v>
                </c:pt>
                <c:pt idx="30">
                  <c:v>2.2217222292478609E-2</c:v>
                </c:pt>
                <c:pt idx="31">
                  <c:v>2.2652131058954073E-2</c:v>
                </c:pt>
                <c:pt idx="32">
                  <c:v>2.2281647847555326E-2</c:v>
                </c:pt>
                <c:pt idx="33">
                  <c:v>2.2841322409656528E-2</c:v>
                </c:pt>
                <c:pt idx="34">
                  <c:v>2.2912946977632298E-2</c:v>
                </c:pt>
                <c:pt idx="35">
                  <c:v>2.2640961102575591E-2</c:v>
                </c:pt>
                <c:pt idx="36">
                  <c:v>2.2608502592329636E-2</c:v>
                </c:pt>
                <c:pt idx="37">
                  <c:v>2.1910617076701625E-2</c:v>
                </c:pt>
                <c:pt idx="38">
                  <c:v>2.2624199886637778E-2</c:v>
                </c:pt>
                <c:pt idx="39">
                  <c:v>2.2518120547204475E-2</c:v>
                </c:pt>
                <c:pt idx="40">
                  <c:v>2.3386080292341526E-2</c:v>
                </c:pt>
                <c:pt idx="41">
                  <c:v>2.1986549844909178E-2</c:v>
                </c:pt>
                <c:pt idx="42">
                  <c:v>2.2960569338764593E-2</c:v>
                </c:pt>
                <c:pt idx="43">
                  <c:v>2.2721639777871356E-2</c:v>
                </c:pt>
                <c:pt idx="44">
                  <c:v>2.3453138531989461E-2</c:v>
                </c:pt>
                <c:pt idx="45">
                  <c:v>2.3726339477837637E-2</c:v>
                </c:pt>
                <c:pt idx="46">
                  <c:v>2.3147586913596793E-2</c:v>
                </c:pt>
                <c:pt idx="47">
                  <c:v>2.3273951027624692E-2</c:v>
                </c:pt>
                <c:pt idx="48">
                  <c:v>2.3816740506346887E-2</c:v>
                </c:pt>
                <c:pt idx="49">
                  <c:v>2.2205175699685342E-2</c:v>
                </c:pt>
                <c:pt idx="50">
                  <c:v>2.1676874158843135E-2</c:v>
                </c:pt>
                <c:pt idx="51">
                  <c:v>2.1786545200275606E-2</c:v>
                </c:pt>
                <c:pt idx="52">
                  <c:v>2.3764686419369869E-2</c:v>
                </c:pt>
                <c:pt idx="53">
                  <c:v>2.4176191412905935E-2</c:v>
                </c:pt>
                <c:pt idx="54">
                  <c:v>2.4116313160009516E-2</c:v>
                </c:pt>
                <c:pt idx="55">
                  <c:v>2.4218498187311054E-2</c:v>
                </c:pt>
                <c:pt idx="56">
                  <c:v>2.4262921292462918E-2</c:v>
                </c:pt>
                <c:pt idx="57">
                  <c:v>2.3990386369574609E-2</c:v>
                </c:pt>
                <c:pt idx="58">
                  <c:v>2.3097902485146846E-2</c:v>
                </c:pt>
                <c:pt idx="59">
                  <c:v>2.3735132531053443E-2</c:v>
                </c:pt>
                <c:pt idx="60">
                  <c:v>2.4350778083684306E-2</c:v>
                </c:pt>
                <c:pt idx="61">
                  <c:v>2.3195413286517041E-2</c:v>
                </c:pt>
                <c:pt idx="62">
                  <c:v>2.2805849069210963E-2</c:v>
                </c:pt>
                <c:pt idx="63">
                  <c:v>2.3912766526616204E-2</c:v>
                </c:pt>
                <c:pt idx="64">
                  <c:v>2.444986097880843E-2</c:v>
                </c:pt>
                <c:pt idx="65">
                  <c:v>2.4547415619839062E-2</c:v>
                </c:pt>
                <c:pt idx="66">
                  <c:v>2.5367865982286183E-2</c:v>
                </c:pt>
                <c:pt idx="67">
                  <c:v>2.5300992770649781E-2</c:v>
                </c:pt>
                <c:pt idx="68">
                  <c:v>2.5399686309071568E-2</c:v>
                </c:pt>
                <c:pt idx="69">
                  <c:v>2.4957281697754696E-2</c:v>
                </c:pt>
                <c:pt idx="70">
                  <c:v>2.552920604159483E-2</c:v>
                </c:pt>
                <c:pt idx="71">
                  <c:v>2.5235817403475934E-2</c:v>
                </c:pt>
                <c:pt idx="72">
                  <c:v>2.5906325251112344E-2</c:v>
                </c:pt>
                <c:pt idx="73">
                  <c:v>2.5676558394879367E-2</c:v>
                </c:pt>
                <c:pt idx="74">
                  <c:v>2.3958405922455774E-2</c:v>
                </c:pt>
                <c:pt idx="75">
                  <c:v>2.1786127812905134E-2</c:v>
                </c:pt>
                <c:pt idx="76">
                  <c:v>2.1001993837948655E-2</c:v>
                </c:pt>
                <c:pt idx="77">
                  <c:v>2.4020497677218134E-2</c:v>
                </c:pt>
                <c:pt idx="78">
                  <c:v>2.5195096530886609E-2</c:v>
                </c:pt>
                <c:pt idx="79">
                  <c:v>2.5628143046503415E-2</c:v>
                </c:pt>
                <c:pt idx="80">
                  <c:v>2.4869910007844373E-2</c:v>
                </c:pt>
                <c:pt idx="81">
                  <c:v>2.3921658444913091E-2</c:v>
                </c:pt>
                <c:pt idx="82">
                  <c:v>2.527194061178753E-2</c:v>
                </c:pt>
                <c:pt idx="83">
                  <c:v>2.5260408033386798E-2</c:v>
                </c:pt>
                <c:pt idx="84">
                  <c:v>2.4908498776500351E-2</c:v>
                </c:pt>
                <c:pt idx="85">
                  <c:v>2.4857953475576365E-2</c:v>
                </c:pt>
                <c:pt idx="86">
                  <c:v>2.1104263926806109E-2</c:v>
                </c:pt>
                <c:pt idx="87">
                  <c:v>2.1496878379209335E-2</c:v>
                </c:pt>
                <c:pt idx="88">
                  <c:v>2.4542603469010223E-2</c:v>
                </c:pt>
                <c:pt idx="89">
                  <c:v>2.3674750843037454E-2</c:v>
                </c:pt>
                <c:pt idx="90">
                  <c:v>2.2136015213872866E-2</c:v>
                </c:pt>
                <c:pt idx="91">
                  <c:v>2.2575883092943644E-2</c:v>
                </c:pt>
                <c:pt idx="92">
                  <c:v>2.1907012216668444E-2</c:v>
                </c:pt>
                <c:pt idx="93">
                  <c:v>2.5015297795582665E-2</c:v>
                </c:pt>
                <c:pt idx="94">
                  <c:v>2.4491961772240261E-2</c:v>
                </c:pt>
                <c:pt idx="95">
                  <c:v>1.7742906163037114E-2</c:v>
                </c:pt>
                <c:pt idx="96">
                  <c:v>1.312413324299536E-2</c:v>
                </c:pt>
                <c:pt idx="97">
                  <c:v>1.2063213766466147E-2</c:v>
                </c:pt>
                <c:pt idx="98">
                  <c:v>1.3347626772285752E-2</c:v>
                </c:pt>
                <c:pt idx="99">
                  <c:v>1.1527806807183098E-2</c:v>
                </c:pt>
                <c:pt idx="100">
                  <c:v>1.483410081913953E-2</c:v>
                </c:pt>
                <c:pt idx="101">
                  <c:v>1.2267489289887322E-2</c:v>
                </c:pt>
                <c:pt idx="102">
                  <c:v>1.5451350578913715E-2</c:v>
                </c:pt>
                <c:pt idx="103">
                  <c:v>1.3607145576116987E-2</c:v>
                </c:pt>
                <c:pt idx="104">
                  <c:v>2.1123032766086326E-2</c:v>
                </c:pt>
                <c:pt idx="105">
                  <c:v>2.0212814831016918E-2</c:v>
                </c:pt>
                <c:pt idx="106">
                  <c:v>2.0575790361706876E-2</c:v>
                </c:pt>
                <c:pt idx="107">
                  <c:v>2.1309046669189688E-2</c:v>
                </c:pt>
                <c:pt idx="108">
                  <c:v>2.1533642604226525E-2</c:v>
                </c:pt>
                <c:pt idx="109">
                  <c:v>2.6460768176756442E-2</c:v>
                </c:pt>
                <c:pt idx="110">
                  <c:v>2.1983493559045632E-2</c:v>
                </c:pt>
                <c:pt idx="111">
                  <c:v>1.989590097610229E-2</c:v>
                </c:pt>
                <c:pt idx="112">
                  <c:v>2.0932374141522693E-2</c:v>
                </c:pt>
                <c:pt idx="113">
                  <c:v>2.5232908509266707E-2</c:v>
                </c:pt>
                <c:pt idx="114">
                  <c:v>2.2390995105102861E-2</c:v>
                </c:pt>
                <c:pt idx="115">
                  <c:v>1.8454887637359096E-2</c:v>
                </c:pt>
                <c:pt idx="116">
                  <c:v>2.0628586133435382E-2</c:v>
                </c:pt>
                <c:pt idx="117">
                  <c:v>2.2601763377976643E-2</c:v>
                </c:pt>
                <c:pt idx="118">
                  <c:v>2.9071764923853039E-2</c:v>
                </c:pt>
                <c:pt idx="119">
                  <c:v>2.1497969284905681E-2</c:v>
                </c:pt>
                <c:pt idx="120">
                  <c:v>1.6500242858483637E-2</c:v>
                </c:pt>
                <c:pt idx="121">
                  <c:v>1.6610749404902741E-2</c:v>
                </c:pt>
                <c:pt idx="122">
                  <c:v>2.0921965279247279E-2</c:v>
                </c:pt>
                <c:pt idx="123">
                  <c:v>2.6714089167305579E-2</c:v>
                </c:pt>
                <c:pt idx="124">
                  <c:v>2.1491733336044976E-2</c:v>
                </c:pt>
                <c:pt idx="125">
                  <c:v>1.8793519566798259E-2</c:v>
                </c:pt>
                <c:pt idx="126">
                  <c:v>1.7998887599173837E-2</c:v>
                </c:pt>
                <c:pt idx="127">
                  <c:v>1.6105652090888638E-2</c:v>
                </c:pt>
                <c:pt idx="128">
                  <c:v>9.2539753777060481E-3</c:v>
                </c:pt>
                <c:pt idx="129">
                  <c:v>1.3503513294117876E-2</c:v>
                </c:pt>
                <c:pt idx="130">
                  <c:v>1.1614274608053733E-2</c:v>
                </c:pt>
                <c:pt idx="131">
                  <c:v>8.2926228606272443E-3</c:v>
                </c:pt>
                <c:pt idx="132">
                  <c:v>4.6941453281743751E-3</c:v>
                </c:pt>
                <c:pt idx="133">
                  <c:v>6.8430139347029498E-3</c:v>
                </c:pt>
                <c:pt idx="134">
                  <c:v>7.3014560256558182E-3</c:v>
                </c:pt>
                <c:pt idx="135">
                  <c:v>1.1386993076891736E-2</c:v>
                </c:pt>
                <c:pt idx="136">
                  <c:v>2.0988220054161771E-2</c:v>
                </c:pt>
                <c:pt idx="137">
                  <c:v>1.7212040496386024E-2</c:v>
                </c:pt>
                <c:pt idx="138">
                  <c:v>2.270670303049422E-2</c:v>
                </c:pt>
                <c:pt idx="139">
                  <c:v>3.1800433546262233E-2</c:v>
                </c:pt>
                <c:pt idx="140">
                  <c:v>3.2051549570022139E-2</c:v>
                </c:pt>
                <c:pt idx="141">
                  <c:v>3.1876905889261238E-2</c:v>
                </c:pt>
                <c:pt idx="142">
                  <c:v>2.8586961312890527E-2</c:v>
                </c:pt>
                <c:pt idx="143">
                  <c:v>2.3015500444237606E-2</c:v>
                </c:pt>
                <c:pt idx="144">
                  <c:v>2.3865167094374719E-2</c:v>
                </c:pt>
                <c:pt idx="145">
                  <c:v>3.2694243708639679E-2</c:v>
                </c:pt>
                <c:pt idx="146">
                  <c:v>3.7897380095451273E-2</c:v>
                </c:pt>
                <c:pt idx="147">
                  <c:v>3.8534290661757273E-2</c:v>
                </c:pt>
                <c:pt idx="148">
                  <c:v>3.2652500491994682E-2</c:v>
                </c:pt>
                <c:pt idx="149">
                  <c:v>3.6683773190351175E-2</c:v>
                </c:pt>
                <c:pt idx="150">
                  <c:v>3.6640603652760652E-2</c:v>
                </c:pt>
                <c:pt idx="151">
                  <c:v>3.9018981604994903E-2</c:v>
                </c:pt>
                <c:pt idx="152">
                  <c:v>4.1120017511848413E-2</c:v>
                </c:pt>
                <c:pt idx="153">
                  <c:v>4.0329561406691819E-2</c:v>
                </c:pt>
                <c:pt idx="154">
                  <c:v>3.9846400567554001E-2</c:v>
                </c:pt>
                <c:pt idx="155">
                  <c:v>4.2554650102264668E-2</c:v>
                </c:pt>
                <c:pt idx="156">
                  <c:v>3.8992013102663849E-2</c:v>
                </c:pt>
                <c:pt idx="157">
                  <c:v>4.3510329185048123E-2</c:v>
                </c:pt>
                <c:pt idx="158">
                  <c:v>4.1456690113087891E-2</c:v>
                </c:pt>
                <c:pt idx="159">
                  <c:v>3.8955150268463572E-2</c:v>
                </c:pt>
                <c:pt idx="160">
                  <c:v>3.8778215728508793E-2</c:v>
                </c:pt>
                <c:pt idx="161">
                  <c:v>4.3991039223996567E-2</c:v>
                </c:pt>
                <c:pt idx="162">
                  <c:v>4.4022402258254809E-2</c:v>
                </c:pt>
                <c:pt idx="163">
                  <c:v>4.6851352520493682E-2</c:v>
                </c:pt>
                <c:pt idx="164">
                  <c:v>4.7257283185750718E-2</c:v>
                </c:pt>
                <c:pt idx="165">
                  <c:v>4.7343858596248449E-2</c:v>
                </c:pt>
                <c:pt idx="166">
                  <c:v>4.8198283836903479E-2</c:v>
                </c:pt>
                <c:pt idx="167">
                  <c:v>3.9514047739840713E-2</c:v>
                </c:pt>
                <c:pt idx="168">
                  <c:v>4.3097481388649841E-2</c:v>
                </c:pt>
                <c:pt idx="169">
                  <c:v>4.6569605582196319E-2</c:v>
                </c:pt>
                <c:pt idx="170">
                  <c:v>4.9701014968329911E-2</c:v>
                </c:pt>
                <c:pt idx="171">
                  <c:v>5.0188625306651309E-2</c:v>
                </c:pt>
                <c:pt idx="172">
                  <c:v>4.2260313198977474E-2</c:v>
                </c:pt>
                <c:pt idx="173">
                  <c:v>5.2533412085173405E-2</c:v>
                </c:pt>
                <c:pt idx="174">
                  <c:v>5.4402862230609514E-2</c:v>
                </c:pt>
                <c:pt idx="175">
                  <c:v>5.3269995229346501E-2</c:v>
                </c:pt>
                <c:pt idx="176">
                  <c:v>5.5526773087762181E-2</c:v>
                </c:pt>
                <c:pt idx="177">
                  <c:v>5.1792900439065037E-2</c:v>
                </c:pt>
                <c:pt idx="178">
                  <c:v>4.1953080694145557E-2</c:v>
                </c:pt>
                <c:pt idx="179">
                  <c:v>3.6150035268638178E-2</c:v>
                </c:pt>
                <c:pt idx="180">
                  <c:v>2.8743573810925044E-2</c:v>
                </c:pt>
                <c:pt idx="181">
                  <c:v>3.550289487045747E-2</c:v>
                </c:pt>
                <c:pt idx="182">
                  <c:v>3.2245338410064155E-2</c:v>
                </c:pt>
                <c:pt idx="183">
                  <c:v>1.8618935845732019E-2</c:v>
                </c:pt>
                <c:pt idx="184">
                  <c:v>3.8647067115487273E-2</c:v>
                </c:pt>
                <c:pt idx="185">
                  <c:v>4.1811925062496799E-2</c:v>
                </c:pt>
                <c:pt idx="186">
                  <c:v>4.0163009985398943E-2</c:v>
                </c:pt>
                <c:pt idx="187">
                  <c:v>3.5416254507783622E-2</c:v>
                </c:pt>
                <c:pt idx="188">
                  <c:v>5.7656288146953519E-2</c:v>
                </c:pt>
                <c:pt idx="189">
                  <c:v>7.1865835518112667E-2</c:v>
                </c:pt>
                <c:pt idx="190">
                  <c:v>8.8809846866041209E-2</c:v>
                </c:pt>
                <c:pt idx="191">
                  <c:v>9.4283643007606388E-2</c:v>
                </c:pt>
                <c:pt idx="192">
                  <c:v>9.9335664767778442E-2</c:v>
                </c:pt>
                <c:pt idx="193">
                  <c:v>0.10678016730863203</c:v>
                </c:pt>
                <c:pt idx="194">
                  <c:v>7.0172049717058108E-2</c:v>
                </c:pt>
                <c:pt idx="195">
                  <c:v>0.1029372665010837</c:v>
                </c:pt>
                <c:pt idx="196">
                  <c:v>0.11243635492323391</c:v>
                </c:pt>
                <c:pt idx="197">
                  <c:v>0.15605373883485699</c:v>
                </c:pt>
                <c:pt idx="198">
                  <c:v>2.6209777406323659E-2</c:v>
                </c:pt>
                <c:pt idx="199">
                  <c:v>2.2205575093092834E-2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48624"/>
        <c:axId val="-967487568"/>
      </c:scatterChart>
      <c:valAx>
        <c:axId val="-967453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1456"/>
        <c:crosses val="autoZero"/>
        <c:crossBetween val="midCat"/>
      </c:valAx>
      <c:valAx>
        <c:axId val="-9674514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3776"/>
        <c:crosses val="autoZero"/>
        <c:crossBetween val="midCat"/>
      </c:valAx>
      <c:valAx>
        <c:axId val="-96744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7487568"/>
        <c:crosses val="autoZero"/>
        <c:crossBetween val="midCat"/>
      </c:valAx>
      <c:valAx>
        <c:axId val="-967487568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48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06E-2"/>
          <c:y val="0.17274980219216199"/>
          <c:w val="0.88026029066211997"/>
          <c:h val="0.698298496185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7A-4B40-94E4-F497ADA150A5}"/>
            </c:ext>
          </c:extLst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7A-4B40-94E4-F497ADA150A5}"/>
            </c:ext>
          </c:extLst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7A-4B40-94E4-F497ADA1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24784"/>
        <c:axId val="-967422032"/>
      </c:scatterChart>
      <c:valAx>
        <c:axId val="-96742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2032"/>
        <c:crosses val="autoZero"/>
        <c:crossBetween val="midCat"/>
      </c:valAx>
      <c:valAx>
        <c:axId val="-96742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4784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99"/>
          <c:y val="0.92457650822844195"/>
          <c:w val="0.43689388341020502"/>
          <c:h val="5.8394416026463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598E-2"/>
          <c:y val="3.5593220338983003E-2"/>
          <c:w val="0.81075491209927597"/>
          <c:h val="0.9288135593220340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D-784A-8E0B-E1CD04AAF025}"/>
            </c:ext>
          </c:extLst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D-784A-8E0B-E1CD04AAF025}"/>
            </c:ext>
          </c:extLst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BD-784A-8E0B-E1CD04AAF025}"/>
            </c:ext>
          </c:extLst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BD-784A-8E0B-E1CD04AA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50736"/>
        <c:axId val="-1002625920"/>
      </c:scatterChart>
      <c:valAx>
        <c:axId val="-97085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625920"/>
        <c:crosses val="autoZero"/>
        <c:crossBetween val="midCat"/>
      </c:valAx>
      <c:valAx>
        <c:axId val="-1002625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50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105"/>
          <c:y val="0.42881354116449699"/>
          <c:w val="0.10858319394013601"/>
          <c:h val="0.144067884371596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workbookViewId="0"/>
  </sheetViews>
  <pageMargins left="0.75" right="0.75" top="1" bottom="1" header="0.5" footer="0.5"/>
  <pageSetup paperSize="9" orientation="landscape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if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1</xdr:row>
      <xdr:rowOff>37465</xdr:rowOff>
    </xdr:from>
    <xdr:to>
      <xdr:col>15</xdr:col>
      <xdr:colOff>51435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102871</xdr:colOff>
      <xdr:row>24</xdr:row>
      <xdr:rowOff>12701</xdr:rowOff>
    </xdr:from>
    <xdr:to>
      <xdr:col>15</xdr:col>
      <xdr:colOff>40641</xdr:colOff>
      <xdr:row>44</xdr:row>
      <xdr:rowOff>20321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477520</xdr:colOff>
      <xdr:row>18</xdr:row>
      <xdr:rowOff>132080</xdr:rowOff>
    </xdr:from>
    <xdr:to>
      <xdr:col>18</xdr:col>
      <xdr:colOff>568960</xdr:colOff>
      <xdr:row>28</xdr:row>
      <xdr:rowOff>152017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95720" y="3459480"/>
          <a:ext cx="2110740" cy="167093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0.14066</cdr:x>
      <cdr:y>0.11934</cdr:y>
    </cdr:from>
    <cdr:to>
      <cdr:x>0.35759</cdr:x>
      <cdr:y>0.19923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43280" y="470535"/>
          <a:ext cx="130048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i="1"/>
            <a:t>CDF</a:t>
          </a:r>
          <a:r>
            <a:rPr lang="en-US" sz="1200" i="1" baseline="0"/>
            <a:t> function, N(d1)</a:t>
          </a:r>
          <a:endParaRPr lang="en-US" sz="120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0.55487</cdr:x>
      <cdr:y>0.12044</cdr:y>
    </cdr:from>
    <cdr:to>
      <cdr:x>0.87198</cdr:x>
      <cdr:y>0.21617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93440" y="396240"/>
          <a:ext cx="193929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PDF-like </a:t>
          </a:r>
          <a:r>
            <a:rPr lang="en-US" sz="1200" i="1" baseline="0"/>
            <a:t>function, N'(d1)/...</a:t>
          </a:r>
          <a:endParaRPr lang="en-US" sz="1200" i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15</xdr:row>
      <xdr:rowOff>81280</xdr:rowOff>
    </xdr:from>
    <xdr:to>
      <xdr:col>17</xdr:col>
      <xdr:colOff>529363</xdr:colOff>
      <xdr:row>33</xdr:row>
      <xdr:rowOff>26915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143016</xdr:colOff>
      <xdr:row>15</xdr:row>
      <xdr:rowOff>37912</xdr:rowOff>
    </xdr:from>
    <xdr:to>
      <xdr:col>14</xdr:col>
      <xdr:colOff>587611</xdr:colOff>
      <xdr:row>33</xdr:row>
      <xdr:rowOff>9478</xdr:rowOff>
    </xdr:to>
    <xdr:graphicFrame macro="">
      <xdr:nvGraphicFramePr>
        <xdr:cNvPr id="5177" name="Chart 12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66675</xdr:rowOff>
        </xdr:from>
        <xdr:to>
          <xdr:col>8</xdr:col>
          <xdr:colOff>352425</xdr:colOff>
          <xdr:row>8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Resimulate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66344</xdr:colOff>
      <xdr:row>15</xdr:row>
      <xdr:rowOff>37910</xdr:rowOff>
    </xdr:from>
    <xdr:to>
      <xdr:col>23</xdr:col>
      <xdr:colOff>93925</xdr:colOff>
      <xdr:row>33</xdr:row>
      <xdr:rowOff>9476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644478</xdr:colOff>
      <xdr:row>15</xdr:row>
      <xdr:rowOff>18957</xdr:rowOff>
    </xdr:from>
    <xdr:to>
      <xdr:col>32</xdr:col>
      <xdr:colOff>27580</xdr:colOff>
      <xdr:row>32</xdr:row>
      <xdr:rowOff>151642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32</xdr:col>
      <xdr:colOff>312759</xdr:colOff>
      <xdr:row>2</xdr:row>
      <xdr:rowOff>85298</xdr:rowOff>
    </xdr:from>
    <xdr:to>
      <xdr:col>39</xdr:col>
      <xdr:colOff>510273</xdr:colOff>
      <xdr:row>9</xdr:row>
      <xdr:rowOff>351011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97311" y="407537"/>
          <a:ext cx="4907887" cy="1450414"/>
        </a:xfrm>
        <a:prstGeom prst="rect">
          <a:avLst/>
        </a:prstGeom>
      </xdr:spPr>
    </xdr:pic>
    <xdr:clientData/>
  </xdr:twoCellAnchor>
  <xdr:twoCellAnchor editAs="oneCell">
    <xdr:from>
      <xdr:col>16</xdr:col>
      <xdr:colOff>464402</xdr:colOff>
      <xdr:row>4</xdr:row>
      <xdr:rowOff>113730</xdr:rowOff>
    </xdr:from>
    <xdr:to>
      <xdr:col>20</xdr:col>
      <xdr:colOff>360337</xdr:colOff>
      <xdr:row>7</xdr:row>
      <xdr:rowOff>154120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85298" y="758208"/>
          <a:ext cx="3080412" cy="54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90DCB0-ABDA-462C-AC8E-42CBF875DFD6}" autoFormatId="16" applyNumberFormats="0" applyBorderFormats="0" applyFontFormats="0" applyPatternFormats="0" applyAlignmentFormats="0" applyWidthHeightFormats="0">
  <queryTableRefresh nextId="2">
    <queryTableFields count="1">
      <queryTableField id="1" name="B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DAD98D-2EAC-455C-9926-055A7C80AD05}" name="bs" displayName="bs" ref="A1:A201" tableType="queryTable" totalsRowShown="0">
  <autoFilter ref="A1:A201" xr:uid="{F1DAD98D-2EAC-455C-9926-055A7C80AD05}"/>
  <tableColumns count="1">
    <tableColumn id="1" xr3:uid="{6FF98B48-BCA2-4F8E-A8C6-5A42E24EC479}" uniqueName="1" name="B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13"/>
  <sheetViews>
    <sheetView zoomScale="125" zoomScaleNormal="125" zoomScalePageLayoutView="125" workbookViewId="0">
      <selection activeCell="C14" sqref="C14"/>
    </sheetView>
  </sheetViews>
  <sheetFormatPr defaultColWidth="8.85546875" defaultRowHeight="12.75"/>
  <cols>
    <col min="1" max="1" width="8.85546875" style="7"/>
    <col min="2" max="2" width="10.7109375" style="7" customWidth="1"/>
    <col min="3" max="6" width="12.42578125" style="7" bestFit="1" customWidth="1"/>
    <col min="7" max="16384" width="8.85546875" style="7"/>
  </cols>
  <sheetData>
    <row r="2" spans="1:12">
      <c r="B2" s="26" t="s">
        <v>4</v>
      </c>
      <c r="C2" s="27">
        <v>50</v>
      </c>
    </row>
    <row r="3" spans="1:12">
      <c r="B3" s="26" t="s">
        <v>46</v>
      </c>
      <c r="C3" s="43">
        <v>1.4999999999999999E-2</v>
      </c>
    </row>
    <row r="4" spans="1:12">
      <c r="B4" s="26" t="s">
        <v>7</v>
      </c>
      <c r="C4" s="28">
        <v>1</v>
      </c>
    </row>
    <row r="5" spans="1:12">
      <c r="B5" s="26"/>
      <c r="C5" s="38"/>
    </row>
    <row r="6" spans="1:12" ht="15.95" customHeight="1">
      <c r="B6" s="61" t="s">
        <v>60</v>
      </c>
      <c r="C6" s="61"/>
      <c r="D6" s="61"/>
      <c r="E6" s="61"/>
      <c r="F6" s="61"/>
    </row>
    <row r="7" spans="1:12" ht="15.95" customHeight="1">
      <c r="B7" s="61"/>
      <c r="C7" s="61"/>
      <c r="D7" s="61"/>
      <c r="E7" s="61"/>
      <c r="F7" s="61"/>
    </row>
    <row r="9" spans="1:12">
      <c r="B9" s="35" t="s">
        <v>56</v>
      </c>
      <c r="C9" s="34"/>
      <c r="D9" s="34"/>
      <c r="E9" s="34"/>
      <c r="F9" s="34"/>
    </row>
    <row r="10" spans="1:12">
      <c r="B10" s="35" t="s">
        <v>57</v>
      </c>
    </row>
    <row r="12" spans="1:12">
      <c r="B12" s="11" t="s">
        <v>58</v>
      </c>
      <c r="C12" s="37">
        <v>0.2</v>
      </c>
      <c r="D12" s="37">
        <v>0.3</v>
      </c>
      <c r="E12" s="36">
        <f>BS_IVLow</f>
        <v>0.2</v>
      </c>
      <c r="F12" s="36">
        <f>BS_IVHigh</f>
        <v>0.3</v>
      </c>
    </row>
    <row r="13" spans="1:12">
      <c r="A13" s="8"/>
      <c r="B13" s="8" t="s">
        <v>23</v>
      </c>
      <c r="C13" s="8" t="s">
        <v>20</v>
      </c>
      <c r="D13" s="8" t="s">
        <v>24</v>
      </c>
      <c r="E13" s="8" t="s">
        <v>25</v>
      </c>
      <c r="F13" s="8" t="s">
        <v>26</v>
      </c>
      <c r="G13" s="8"/>
      <c r="H13" s="8"/>
      <c r="I13" s="8"/>
      <c r="J13" s="8"/>
      <c r="K13" s="8"/>
      <c r="L13" s="8"/>
    </row>
    <row r="14" spans="1:12" ht="14.1" customHeight="1">
      <c r="A14" s="8"/>
      <c r="B14" s="8">
        <v>1</v>
      </c>
      <c r="C14" s="8">
        <f t="shared" ref="C14:C45" si="0">CallDelta(B14,BS_IVLow,0,BS_r,BS_K,BS_T)</f>
        <v>0</v>
      </c>
      <c r="D14" s="8">
        <f t="shared" ref="D14:D45" si="1">CallDelta(B14,BS_IVHigh,0,BS_r,BS_K,BS_T)</f>
        <v>0</v>
      </c>
      <c r="E14" s="8">
        <f t="shared" ref="E14:E45" si="2">CallGamma(B14,BS_IVLow,0,BS_r,BS_K,BS_T)</f>
        <v>5.0084911673274488E-82</v>
      </c>
      <c r="F14" s="8">
        <f t="shared" ref="F14:F45" si="3">CallGamma(B14,BS_IVHigh,0,BS_r,BS_K,BS_T)</f>
        <v>2.1049947902087335E-36</v>
      </c>
      <c r="G14" s="8"/>
      <c r="H14" s="8"/>
      <c r="I14" s="8"/>
      <c r="J14" s="8"/>
      <c r="K14" s="8"/>
      <c r="L14" s="8"/>
    </row>
    <row r="15" spans="1:12">
      <c r="A15" s="8"/>
      <c r="B15" s="8">
        <v>2</v>
      </c>
      <c r="C15" s="8">
        <f t="shared" si="0"/>
        <v>0</v>
      </c>
      <c r="D15" s="8">
        <f t="shared" si="1"/>
        <v>0</v>
      </c>
      <c r="E15" s="8">
        <f t="shared" si="2"/>
        <v>9.2887274480900552E-56</v>
      </c>
      <c r="F15" s="8">
        <f t="shared" si="3"/>
        <v>5.5868905792686009E-25</v>
      </c>
      <c r="G15" s="8"/>
      <c r="H15" s="8"/>
      <c r="I15" s="8"/>
      <c r="J15" s="8"/>
      <c r="K15" s="8"/>
      <c r="L15" s="8"/>
    </row>
    <row r="16" spans="1:12">
      <c r="A16" s="8"/>
      <c r="B16" s="8">
        <v>3</v>
      </c>
      <c r="C16" s="8">
        <f t="shared" si="0"/>
        <v>0</v>
      </c>
      <c r="D16" s="8">
        <f t="shared" si="1"/>
        <v>0</v>
      </c>
      <c r="E16" s="8">
        <f t="shared" si="2"/>
        <v>8.2356287383920902E-43</v>
      </c>
      <c r="F16" s="8">
        <f t="shared" si="3"/>
        <v>2.2645337680339111E-19</v>
      </c>
      <c r="G16" s="8"/>
      <c r="H16" s="8"/>
      <c r="I16" s="8"/>
      <c r="J16" s="8"/>
      <c r="K16" s="8"/>
      <c r="L16" s="8"/>
    </row>
    <row r="17" spans="1:12">
      <c r="A17" s="8"/>
      <c r="B17" s="8">
        <v>4</v>
      </c>
      <c r="C17" s="8">
        <f t="shared" si="0"/>
        <v>0</v>
      </c>
      <c r="D17" s="8">
        <f t="shared" si="1"/>
        <v>1.1102230246251565E-16</v>
      </c>
      <c r="E17" s="8">
        <f t="shared" si="2"/>
        <v>1.0465336777613854E-34</v>
      </c>
      <c r="F17" s="8">
        <f t="shared" si="3"/>
        <v>7.1230509888636144E-16</v>
      </c>
      <c r="G17" s="8"/>
      <c r="H17" s="8"/>
      <c r="I17" s="8"/>
      <c r="J17" s="8"/>
      <c r="K17" s="8"/>
      <c r="L17" s="8"/>
    </row>
    <row r="18" spans="1:12">
      <c r="A18" s="8"/>
      <c r="B18" s="8">
        <v>5</v>
      </c>
      <c r="C18" s="8">
        <f t="shared" si="0"/>
        <v>0</v>
      </c>
      <c r="D18" s="8">
        <f t="shared" si="1"/>
        <v>3.8857805861880479E-14</v>
      </c>
      <c r="E18" s="8">
        <f t="shared" si="2"/>
        <v>4.8634703532361778E-29</v>
      </c>
      <c r="F18" s="8">
        <f t="shared" si="3"/>
        <v>1.9528108615958928E-13</v>
      </c>
      <c r="G18" s="8"/>
      <c r="H18" s="8"/>
      <c r="I18" s="8"/>
      <c r="J18" s="8"/>
      <c r="K18" s="8"/>
      <c r="L18" s="8"/>
    </row>
    <row r="19" spans="1:12">
      <c r="A19" s="8"/>
      <c r="B19" s="8">
        <v>6</v>
      </c>
      <c r="C19" s="8">
        <f t="shared" si="0"/>
        <v>0</v>
      </c>
      <c r="D19" s="8">
        <f t="shared" si="1"/>
        <v>3.2855940190756883E-12</v>
      </c>
      <c r="E19" s="8">
        <f t="shared" si="2"/>
        <v>8.2426100780573973E-25</v>
      </c>
      <c r="F19" s="8">
        <f t="shared" si="3"/>
        <v>1.2714053216316235E-11</v>
      </c>
      <c r="G19" s="8"/>
      <c r="H19" s="8"/>
      <c r="I19" s="8"/>
      <c r="J19" s="8"/>
      <c r="K19" s="8"/>
      <c r="L19" s="8"/>
    </row>
    <row r="20" spans="1:12">
      <c r="A20" s="8"/>
      <c r="B20" s="8">
        <v>7</v>
      </c>
      <c r="C20" s="8">
        <f t="shared" si="0"/>
        <v>0</v>
      </c>
      <c r="D20" s="8">
        <f t="shared" si="1"/>
        <v>1.055658893633904E-10</v>
      </c>
      <c r="E20" s="8">
        <f t="shared" si="2"/>
        <v>1.6224143689431844E-21</v>
      </c>
      <c r="F20" s="8">
        <f t="shared" si="3"/>
        <v>3.2549037989507448E-10</v>
      </c>
      <c r="G20" s="8"/>
      <c r="H20" s="8"/>
      <c r="I20" s="8"/>
      <c r="J20" s="8"/>
      <c r="K20" s="8"/>
      <c r="L20" s="8"/>
    </row>
    <row r="21" spans="1:12">
      <c r="A21" s="8"/>
      <c r="B21" s="8">
        <v>8</v>
      </c>
      <c r="C21" s="8">
        <f t="shared" si="0"/>
        <v>0</v>
      </c>
      <c r="D21" s="8">
        <f t="shared" si="1"/>
        <v>1.7308836586238385E-9</v>
      </c>
      <c r="E21" s="8">
        <f t="shared" si="2"/>
        <v>7.1630482801383905E-19</v>
      </c>
      <c r="F21" s="8">
        <f t="shared" si="3"/>
        <v>4.3625326244918549E-9</v>
      </c>
      <c r="G21" s="8"/>
      <c r="H21" s="8"/>
      <c r="I21" s="8"/>
      <c r="J21" s="8"/>
      <c r="K21" s="8"/>
      <c r="L21" s="8"/>
    </row>
    <row r="22" spans="1:12">
      <c r="A22" s="8"/>
      <c r="B22" s="8">
        <v>9</v>
      </c>
      <c r="C22" s="8">
        <f t="shared" si="0"/>
        <v>0</v>
      </c>
      <c r="D22" s="8">
        <f t="shared" si="1"/>
        <v>1.7383955719374455E-8</v>
      </c>
      <c r="E22" s="8">
        <f t="shared" si="2"/>
        <v>1.065135275746814E-16</v>
      </c>
      <c r="F22" s="8">
        <f t="shared" si="3"/>
        <v>3.6524250652014322E-8</v>
      </c>
      <c r="G22" s="8"/>
      <c r="H22" s="8"/>
      <c r="I22" s="8"/>
      <c r="J22" s="8"/>
      <c r="K22" s="8"/>
      <c r="L22" s="8"/>
    </row>
    <row r="23" spans="1:12">
      <c r="A23" s="8"/>
      <c r="B23" s="8">
        <v>10</v>
      </c>
      <c r="C23" s="8">
        <f t="shared" si="0"/>
        <v>1.7763568394002505E-15</v>
      </c>
      <c r="D23" s="8">
        <f t="shared" si="1"/>
        <v>1.2057497056350286E-7</v>
      </c>
      <c r="E23" s="8">
        <f t="shared" si="2"/>
        <v>6.965758049653437E-15</v>
      </c>
      <c r="F23" s="8">
        <f t="shared" si="3"/>
        <v>2.1447033771891672E-7</v>
      </c>
      <c r="G23" s="8"/>
      <c r="H23" s="8"/>
      <c r="I23" s="8"/>
      <c r="J23" s="8"/>
      <c r="K23" s="8"/>
      <c r="L23" s="8"/>
    </row>
    <row r="24" spans="1:12">
      <c r="A24" s="8"/>
      <c r="B24" s="8">
        <v>11</v>
      </c>
      <c r="C24" s="8">
        <f t="shared" si="0"/>
        <v>7.0943251273547503E-14</v>
      </c>
      <c r="D24" s="8">
        <f t="shared" si="1"/>
        <v>6.2727009886298646E-7</v>
      </c>
      <c r="E24" s="8">
        <f t="shared" si="2"/>
        <v>2.4072251785235818E-13</v>
      </c>
      <c r="F24" s="8">
        <f t="shared" si="3"/>
        <v>9.564727246342566E-7</v>
      </c>
      <c r="G24" s="8"/>
      <c r="H24" s="8"/>
      <c r="I24" s="8"/>
      <c r="J24" s="8"/>
      <c r="K24" s="8"/>
      <c r="L24" s="8"/>
    </row>
    <row r="25" spans="1:12">
      <c r="A25" s="8"/>
      <c r="B25" s="8">
        <v>12</v>
      </c>
      <c r="C25" s="8">
        <f t="shared" si="0"/>
        <v>1.7051915435217779E-12</v>
      </c>
      <c r="D25" s="8">
        <f t="shared" si="1"/>
        <v>2.5963548941909664E-6</v>
      </c>
      <c r="E25" s="8">
        <f t="shared" si="2"/>
        <v>5.0116465228976473E-12</v>
      </c>
      <c r="F25" s="8">
        <f t="shared" si="3"/>
        <v>3.4289882409020124E-6</v>
      </c>
      <c r="G25" s="8"/>
      <c r="H25" s="8"/>
      <c r="I25" s="8"/>
      <c r="J25" s="8"/>
      <c r="K25" s="8"/>
      <c r="L25" s="8"/>
    </row>
    <row r="26" spans="1:12">
      <c r="A26" s="8"/>
      <c r="B26" s="8">
        <v>13</v>
      </c>
      <c r="C26" s="8">
        <f t="shared" si="0"/>
        <v>2.6974533717805116E-11</v>
      </c>
      <c r="D26" s="8">
        <f t="shared" si="1"/>
        <v>8.9300945940173904E-6</v>
      </c>
      <c r="E26" s="8">
        <f t="shared" si="2"/>
        <v>6.9224540075018397E-11</v>
      </c>
      <c r="F26" s="8">
        <f t="shared" si="3"/>
        <v>1.0303589030426439E-5</v>
      </c>
      <c r="G26" s="8"/>
      <c r="H26" s="8"/>
      <c r="I26" s="8"/>
      <c r="J26" s="8"/>
      <c r="K26" s="8"/>
      <c r="L26" s="8"/>
    </row>
    <row r="27" spans="1:12">
      <c r="A27" s="8"/>
      <c r="B27" s="8">
        <v>14</v>
      </c>
      <c r="C27" s="8">
        <f t="shared" si="0"/>
        <v>3.023733485818525E-10</v>
      </c>
      <c r="D27" s="8">
        <f t="shared" si="1"/>
        <v>2.6374325522215969E-5</v>
      </c>
      <c r="E27" s="8">
        <f t="shared" si="2"/>
        <v>6.8230412732342997E-10</v>
      </c>
      <c r="F27" s="8">
        <f t="shared" si="3"/>
        <v>2.6780603969057632E-5</v>
      </c>
      <c r="G27" s="8"/>
      <c r="H27" s="8"/>
      <c r="I27" s="8"/>
      <c r="J27" s="8"/>
      <c r="K27" s="8"/>
      <c r="L27" s="8"/>
    </row>
    <row r="28" spans="1:12">
      <c r="A28" s="8"/>
      <c r="B28" s="8">
        <v>15</v>
      </c>
      <c r="C28" s="8">
        <f t="shared" si="0"/>
        <v>2.5430513250768172E-9</v>
      </c>
      <c r="D28" s="8">
        <f t="shared" si="1"/>
        <v>6.8601310663440884E-5</v>
      </c>
      <c r="E28" s="8">
        <f t="shared" si="2"/>
        <v>5.0758667977619702E-9</v>
      </c>
      <c r="F28" s="8">
        <f t="shared" si="3"/>
        <v>6.1687712630331936E-5</v>
      </c>
      <c r="G28" s="8"/>
      <c r="H28" s="8"/>
      <c r="I28" s="8"/>
      <c r="J28" s="8"/>
      <c r="K28" s="8"/>
      <c r="L28" s="8"/>
    </row>
    <row r="29" spans="1:12">
      <c r="A29" s="8"/>
      <c r="B29" s="8">
        <v>16</v>
      </c>
      <c r="C29" s="8">
        <f t="shared" si="0"/>
        <v>1.6783817557985969E-8</v>
      </c>
      <c r="D29" s="8">
        <f t="shared" si="1"/>
        <v>1.6030364910302186E-4</v>
      </c>
      <c r="E29" s="8">
        <f t="shared" si="2"/>
        <v>2.9784494191315159E-8</v>
      </c>
      <c r="F29" s="8">
        <f t="shared" si="3"/>
        <v>1.2834769380510469E-4</v>
      </c>
      <c r="G29" s="8"/>
      <c r="H29" s="8"/>
      <c r="I29" s="8"/>
      <c r="J29" s="8"/>
      <c r="K29" s="8"/>
      <c r="L29" s="8"/>
    </row>
    <row r="30" spans="1:12">
      <c r="A30" s="8"/>
      <c r="B30" s="8">
        <v>17</v>
      </c>
      <c r="C30" s="8">
        <f t="shared" si="0"/>
        <v>9.0096980542853089E-8</v>
      </c>
      <c r="D30" s="8">
        <f t="shared" si="1"/>
        <v>3.4190341720030659E-4</v>
      </c>
      <c r="E30" s="8">
        <f t="shared" si="2"/>
        <v>1.4278203918525825E-7</v>
      </c>
      <c r="F30" s="8">
        <f t="shared" si="3"/>
        <v>2.4489122351713965E-4</v>
      </c>
      <c r="G30" s="8"/>
      <c r="H30" s="8"/>
      <c r="I30" s="8"/>
      <c r="J30" s="8"/>
      <c r="K30" s="8"/>
      <c r="L30" s="8"/>
    </row>
    <row r="31" spans="1:12">
      <c r="A31" s="8"/>
      <c r="B31" s="8">
        <v>18</v>
      </c>
      <c r="C31" s="8">
        <f t="shared" si="0"/>
        <v>4.0494857611594881E-7</v>
      </c>
      <c r="D31" s="8">
        <f t="shared" si="1"/>
        <v>6.7419436582238923E-4</v>
      </c>
      <c r="E31" s="8">
        <f t="shared" si="2"/>
        <v>5.7529612809118231E-7</v>
      </c>
      <c r="F31" s="8">
        <f t="shared" si="3"/>
        <v>4.3378309359817633E-4</v>
      </c>
      <c r="G31" s="8"/>
      <c r="H31" s="8"/>
      <c r="I31" s="8"/>
      <c r="J31" s="8"/>
      <c r="K31" s="8"/>
      <c r="L31" s="8"/>
    </row>
    <row r="32" spans="1:12">
      <c r="A32" s="8"/>
      <c r="B32" s="8">
        <v>19</v>
      </c>
      <c r="C32" s="8">
        <f t="shared" si="0"/>
        <v>1.5605032926968576E-6</v>
      </c>
      <c r="D32" s="8">
        <f t="shared" si="1"/>
        <v>1.2420840787992216E-3</v>
      </c>
      <c r="E32" s="8">
        <f t="shared" si="2"/>
        <v>1.994032342016128E-6</v>
      </c>
      <c r="F32" s="8">
        <f t="shared" si="3"/>
        <v>7.2050046038419464E-4</v>
      </c>
      <c r="G32" s="8"/>
      <c r="H32" s="8"/>
      <c r="I32" s="8"/>
      <c r="J32" s="8"/>
      <c r="K32" s="8"/>
      <c r="L32" s="8"/>
    </row>
    <row r="33" spans="1:12">
      <c r="A33" s="8"/>
      <c r="B33" s="8">
        <v>20</v>
      </c>
      <c r="C33" s="8">
        <f t="shared" si="0"/>
        <v>5.2581535181506212E-6</v>
      </c>
      <c r="D33" s="8">
        <f t="shared" si="1"/>
        <v>2.156636855717653E-3</v>
      </c>
      <c r="E33" s="8">
        <f t="shared" si="2"/>
        <v>6.0609148017800238E-6</v>
      </c>
      <c r="F33" s="8">
        <f t="shared" si="3"/>
        <v>1.1314908243522483E-3</v>
      </c>
      <c r="G33" s="8"/>
      <c r="H33" s="8"/>
      <c r="I33" s="8"/>
      <c r="J33" s="8"/>
      <c r="K33" s="8"/>
      <c r="L33" s="8"/>
    </row>
    <row r="34" spans="1:12">
      <c r="A34" s="8"/>
      <c r="B34" s="8">
        <v>21</v>
      </c>
      <c r="C34" s="8">
        <f t="shared" si="0"/>
        <v>1.5748253469505258E-5</v>
      </c>
      <c r="D34" s="8">
        <f t="shared" si="1"/>
        <v>3.5548262182437673E-3</v>
      </c>
      <c r="E34" s="8">
        <f t="shared" si="2"/>
        <v>1.6416264277605462E-5</v>
      </c>
      <c r="F34" s="8">
        <f t="shared" si="3"/>
        <v>1.6916887749530585E-3</v>
      </c>
      <c r="G34" s="8"/>
      <c r="H34" s="8"/>
      <c r="I34" s="8"/>
      <c r="J34" s="8"/>
      <c r="K34" s="8"/>
      <c r="L34" s="8"/>
    </row>
    <row r="35" spans="1:12">
      <c r="B35" s="8">
        <v>22</v>
      </c>
      <c r="C35" s="8">
        <f t="shared" si="0"/>
        <v>4.2507888714959918E-5</v>
      </c>
      <c r="D35" s="8">
        <f t="shared" si="1"/>
        <v>5.5967309987204894E-3</v>
      </c>
      <c r="E35" s="8">
        <f t="shared" si="2"/>
        <v>4.0161131085423058E-5</v>
      </c>
      <c r="F35" s="8">
        <f t="shared" si="3"/>
        <v>2.4219491680991011E-3</v>
      </c>
    </row>
    <row r="36" spans="1:12">
      <c r="B36" s="8">
        <v>23</v>
      </c>
      <c r="C36" s="8">
        <f t="shared" si="0"/>
        <v>1.0462817930068091E-4</v>
      </c>
      <c r="D36" s="8">
        <f t="shared" si="1"/>
        <v>8.4602722786122353E-3</v>
      </c>
      <c r="E36" s="8">
        <f t="shared" si="2"/>
        <v>8.9765786773274479E-5</v>
      </c>
      <c r="F36" s="8">
        <f t="shared" si="3"/>
        <v>3.3367526919931144E-3</v>
      </c>
    </row>
    <row r="37" spans="1:12">
      <c r="B37" s="8">
        <v>24</v>
      </c>
      <c r="C37" s="8">
        <f t="shared" si="0"/>
        <v>2.3721246156616083E-4</v>
      </c>
      <c r="D37" s="8">
        <f t="shared" si="1"/>
        <v>1.2333915364678649E-2</v>
      </c>
      <c r="E37" s="8">
        <f t="shared" si="2"/>
        <v>1.8511592842770743E-4</v>
      </c>
      <c r="F37" s="8">
        <f t="shared" si="3"/>
        <v>4.4424721491793826E-3</v>
      </c>
    </row>
    <row r="38" spans="1:12">
      <c r="B38" s="8">
        <v>25</v>
      </c>
      <c r="C38" s="8">
        <f t="shared" si="0"/>
        <v>4.9968737837191579E-4</v>
      </c>
      <c r="D38" s="8">
        <f t="shared" si="1"/>
        <v>1.7407998105221423E-2</v>
      </c>
      <c r="E38" s="8">
        <f t="shared" si="2"/>
        <v>3.5519350655899962E-4</v>
      </c>
      <c r="F38" s="8">
        <f t="shared" si="3"/>
        <v>5.7363805399154337E-3</v>
      </c>
    </row>
    <row r="39" spans="1:12">
      <c r="B39" s="8">
        <v>26</v>
      </c>
      <c r="C39" s="8">
        <f t="shared" si="0"/>
        <v>9.8535318400039262E-4</v>
      </c>
      <c r="D39" s="8">
        <f t="shared" si="1"/>
        <v>2.3865468695874359E-2</v>
      </c>
      <c r="E39" s="8">
        <f t="shared" si="2"/>
        <v>6.3876636209564354E-4</v>
      </c>
      <c r="F39" s="8">
        <f t="shared" si="3"/>
        <v>7.2064633128603181E-3</v>
      </c>
    </row>
    <row r="40" spans="1:12">
      <c r="B40" s="8">
        <v>27</v>
      </c>
      <c r="C40" s="8">
        <f t="shared" si="0"/>
        <v>1.8308797953699996E-3</v>
      </c>
      <c r="D40" s="8">
        <f t="shared" si="1"/>
        <v>3.1872823267600991E-2</v>
      </c>
      <c r="E40" s="8">
        <f t="shared" si="2"/>
        <v>1.0835050388420489E-3</v>
      </c>
      <c r="F40" s="8">
        <f t="shared" si="3"/>
        <v>8.8319899349429618E-3</v>
      </c>
    </row>
    <row r="41" spans="1:12">
      <c r="B41" s="8">
        <v>28</v>
      </c>
      <c r="C41" s="8">
        <f t="shared" si="0"/>
        <v>3.223974833830523E-3</v>
      </c>
      <c r="D41" s="8">
        <f t="shared" si="1"/>
        <v>4.1571945509283559E-2</v>
      </c>
      <c r="E41" s="8">
        <f t="shared" si="2"/>
        <v>1.7431786325016383E-3</v>
      </c>
      <c r="F41" s="8">
        <f t="shared" si="3"/>
        <v>1.0584718789079526E-2</v>
      </c>
    </row>
    <row r="42" spans="1:12">
      <c r="B42" s="8">
        <v>29</v>
      </c>
      <c r="C42" s="8">
        <f t="shared" si="0"/>
        <v>5.4072817726963374E-3</v>
      </c>
      <c r="D42" s="8">
        <f t="shared" si="1"/>
        <v>5.307339710661052E-2</v>
      </c>
      <c r="E42" s="8">
        <f t="shared" si="2"/>
        <v>2.6729598579908567E-3</v>
      </c>
      <c r="F42" s="8">
        <f t="shared" si="3"/>
        <v>1.243056029836833E-2</v>
      </c>
    </row>
    <row r="43" spans="1:12">
      <c r="B43" s="8">
        <v>30</v>
      </c>
      <c r="C43" s="8">
        <f t="shared" si="0"/>
        <v>8.6768100215708355E-3</v>
      </c>
      <c r="D43" s="8">
        <f t="shared" si="1"/>
        <v>6.6451520980826517E-2</v>
      </c>
      <c r="E43" s="8">
        <f t="shared" si="2"/>
        <v>3.9232954716652219E-3</v>
      </c>
      <c r="F43" s="8">
        <f t="shared" si="3"/>
        <v>1.4331505149343865E-2</v>
      </c>
    </row>
    <row r="44" spans="1:12">
      <c r="B44" s="8">
        <v>31</v>
      </c>
      <c r="C44" s="8">
        <f t="shared" si="0"/>
        <v>1.3373844404928614E-2</v>
      </c>
      <c r="D44" s="8">
        <f t="shared" si="1"/>
        <v>8.1741527900126454E-2</v>
      </c>
      <c r="E44" s="8">
        <f t="shared" si="2"/>
        <v>5.533156513490017E-3</v>
      </c>
      <c r="F44" s="8">
        <f t="shared" si="3"/>
        <v>1.6247632122943275E-2</v>
      </c>
    </row>
    <row r="45" spans="1:12">
      <c r="B45" s="8">
        <v>32</v>
      </c>
      <c r="C45" s="8">
        <f t="shared" si="0"/>
        <v>1.9870211041530972E-2</v>
      </c>
      <c r="D45" s="8">
        <f t="shared" si="1"/>
        <v>9.8938563063660778E-2</v>
      </c>
      <c r="E45" s="8">
        <f t="shared" si="2"/>
        <v>7.5236790529149399E-3</v>
      </c>
      <c r="F45" s="8">
        <f t="shared" si="3"/>
        <v>1.8139035819036722E-2</v>
      </c>
    </row>
    <row r="46" spans="1:12">
      <c r="B46" s="8">
        <v>33</v>
      </c>
      <c r="C46" s="8">
        <f t="shared" ref="C46:C77" si="4">CallDelta(B46,BS_IVLow,0,BS_r,BS_K,BS_T)</f>
        <v>2.8547800039548488E-2</v>
      </c>
      <c r="D46" s="8">
        <f t="shared" ref="D46:D77" si="5">CallDelta(B46,BS_IVHigh,0,BS_r,BS_K,BS_T)</f>
        <v>0.1179986069840071</v>
      </c>
      <c r="E46" s="8">
        <f t="shared" ref="E46:E77" si="6">CallGamma(B46,BS_IVLow,0,BS_r,BS_K,BS_T)</f>
        <v>9.8931942041304809E-3</v>
      </c>
      <c r="F46" s="8">
        <f t="shared" ref="F46:F77" si="7">CallGamma(B46,BS_IVHigh,0,BS_r,BS_K,BS_T)</f>
        <v>1.9967550725160488E-2</v>
      </c>
    </row>
    <row r="47" spans="1:12">
      <c r="B47" s="8">
        <v>34</v>
      </c>
      <c r="C47" s="8">
        <f t="shared" si="4"/>
        <v>3.9774155003621359E-2</v>
      </c>
      <c r="D47" s="8">
        <f t="shared" si="5"/>
        <v>0.1388409613158299</v>
      </c>
      <c r="E47" s="8">
        <f t="shared" si="6"/>
        <v>1.2614436966213801E-2</v>
      </c>
      <c r="F47" s="8">
        <f t="shared" si="7"/>
        <v>2.1698187862371453E-2</v>
      </c>
    </row>
    <row r="48" spans="1:12">
      <c r="B48" s="8">
        <v>35</v>
      </c>
      <c r="C48" s="8">
        <f t="shared" si="4"/>
        <v>5.3876563103812392E-2</v>
      </c>
      <c r="D48" s="8">
        <f t="shared" si="5"/>
        <v>0.16135200606804967</v>
      </c>
      <c r="E48" s="8">
        <f t="shared" si="6"/>
        <v>1.563437453225024E-2</v>
      </c>
      <c r="F48" s="8">
        <f t="shared" si="7"/>
        <v>2.3300238466598282E-2</v>
      </c>
    </row>
    <row r="49" spans="2:6">
      <c r="B49" s="8">
        <v>36</v>
      </c>
      <c r="C49" s="8">
        <f t="shared" si="4"/>
        <v>7.1117317743735864E-2</v>
      </c>
      <c r="D49" s="8">
        <f t="shared" si="5"/>
        <v>0.18538988644935173</v>
      </c>
      <c r="E49" s="8">
        <f t="shared" si="6"/>
        <v>1.8876688756397735E-2</v>
      </c>
      <c r="F49" s="8">
        <f t="shared" si="7"/>
        <v>2.4748032402144446E-2</v>
      </c>
    </row>
    <row r="50" spans="2:6">
      <c r="B50" s="8">
        <v>37</v>
      </c>
      <c r="C50" s="8">
        <f t="shared" si="4"/>
        <v>9.1672664336472587E-2</v>
      </c>
      <c r="D50" s="8">
        <f t="shared" si="5"/>
        <v>0.21078978936497972</v>
      </c>
      <c r="E50" s="8">
        <f t="shared" si="6"/>
        <v>2.2246567988949247E-2</v>
      </c>
      <c r="F50" s="8">
        <f t="shared" si="7"/>
        <v>2.6021365414559964E-2</v>
      </c>
    </row>
    <row r="51" spans="2:6">
      <c r="B51" s="8">
        <v>38</v>
      </c>
      <c r="C51" s="8">
        <f t="shared" si="4"/>
        <v>0.11561743985783657</v>
      </c>
      <c r="D51" s="8">
        <f t="shared" si="5"/>
        <v>0.23736949406621743</v>
      </c>
      <c r="E51" s="8">
        <f t="shared" si="6"/>
        <v>2.563717556258361E-2</v>
      </c>
      <c r="F51" s="8">
        <f t="shared" si="7"/>
        <v>2.7105628349424322E-2</v>
      </c>
    </row>
    <row r="52" spans="2:6">
      <c r="B52" s="8">
        <v>39</v>
      </c>
      <c r="C52" s="8">
        <f t="shared" si="4"/>
        <v>0.14291669145439878</v>
      </c>
      <c r="D52" s="8">
        <f t="shared" si="5"/>
        <v>0.26493492134162133</v>
      </c>
      <c r="E52" s="8">
        <f t="shared" si="6"/>
        <v>2.8937001985425342E-2</v>
      </c>
      <c r="F52" s="8">
        <f t="shared" si="7"/>
        <v>2.7991683441833011E-2</v>
      </c>
    </row>
    <row r="53" spans="2:6">
      <c r="B53" s="8">
        <v>40</v>
      </c>
      <c r="C53" s="8">
        <f t="shared" si="4"/>
        <v>0.17342474197829993</v>
      </c>
      <c r="D53" s="8">
        <f t="shared" si="5"/>
        <v>0.29328545429089004</v>
      </c>
      <c r="E53" s="8">
        <f t="shared" si="6"/>
        <v>3.2037281254222796E-2</v>
      </c>
      <c r="F53" s="8">
        <f t="shared" si="7"/>
        <v>2.8675538638672005E-2</v>
      </c>
    </row>
    <row r="54" spans="2:6">
      <c r="B54" s="8">
        <v>41</v>
      </c>
      <c r="C54" s="8">
        <f t="shared" si="4"/>
        <v>0.20689138715976574</v>
      </c>
      <c r="D54" s="8">
        <f t="shared" si="5"/>
        <v>0.32221885559192176</v>
      </c>
      <c r="E54" s="8">
        <f t="shared" si="6"/>
        <v>3.4838739892415434E-2</v>
      </c>
      <c r="F54" s="8">
        <f t="shared" si="7"/>
        <v>2.9157871855842326E-2</v>
      </c>
    </row>
    <row r="55" spans="2:6">
      <c r="B55" s="8">
        <v>42</v>
      </c>
      <c r="C55" s="8">
        <f t="shared" si="4"/>
        <v>0.24297425892854385</v>
      </c>
      <c r="D55" s="8">
        <f t="shared" si="5"/>
        <v>0.3515356569761835</v>
      </c>
      <c r="E55" s="8">
        <f t="shared" si="6"/>
        <v>3.7257116259317685E-2</v>
      </c>
      <c r="F55" s="8">
        <f t="shared" si="7"/>
        <v>2.9443454367821725E-2</v>
      </c>
    </row>
    <row r="56" spans="2:6">
      <c r="B56" s="8">
        <v>43</v>
      </c>
      <c r="C56" s="8">
        <f t="shared" si="4"/>
        <v>0.28125593297578677</v>
      </c>
      <c r="D56" s="8">
        <f t="shared" si="5"/>
        <v>0.38104294333641653</v>
      </c>
      <c r="E56" s="8">
        <f t="shared" si="6"/>
        <v>3.9227097812904552E-2</v>
      </c>
      <c r="F56" s="8">
        <f t="shared" si="7"/>
        <v>2.9540517373126074E-2</v>
      </c>
    </row>
    <row r="57" spans="2:6">
      <c r="B57" s="8">
        <v>44</v>
      </c>
      <c r="C57" s="8">
        <f t="shared" si="4"/>
        <v>0.32126411780956554</v>
      </c>
      <c r="D57" s="8">
        <f t="shared" si="5"/>
        <v>0.41055749459972135</v>
      </c>
      <c r="E57" s="8">
        <f t="shared" si="6"/>
        <v>4.0704538488218693E-2</v>
      </c>
      <c r="F57" s="8">
        <f t="shared" si="7"/>
        <v>2.9460099210310241E-2</v>
      </c>
    </row>
    <row r="58" spans="2:6">
      <c r="B58" s="8">
        <v>45</v>
      </c>
      <c r="C58" s="8">
        <f t="shared" si="4"/>
        <v>0.36249322583732646</v>
      </c>
      <c r="D58" s="8">
        <f t="shared" si="5"/>
        <v>0.43990828224324918</v>
      </c>
      <c r="E58" s="8">
        <f t="shared" si="6"/>
        <v>4.1667008388513518E-2</v>
      </c>
      <c r="F58" s="8">
        <f t="shared" si="7"/>
        <v>2.9215403548493515E-2</v>
      </c>
    </row>
    <row r="59" spans="2:6">
      <c r="B59" s="8">
        <v>46</v>
      </c>
      <c r="C59" s="8">
        <f t="shared" si="4"/>
        <v>0.40442575930731917</v>
      </c>
      <c r="D59" s="8">
        <f t="shared" si="5"/>
        <v>0.46893834387547484</v>
      </c>
      <c r="E59" s="8">
        <f t="shared" si="6"/>
        <v>4.2112875244039207E-2</v>
      </c>
      <c r="F59" s="8">
        <f t="shared" si="7"/>
        <v>2.8821191771089182E-2</v>
      </c>
    </row>
    <row r="60" spans="2:6">
      <c r="B60" s="8">
        <v>47</v>
      </c>
      <c r="C60" s="8">
        <f t="shared" si="4"/>
        <v>0.44655219723075135</v>
      </c>
      <c r="D60" s="8">
        <f t="shared" si="5"/>
        <v>0.49750607894908017</v>
      </c>
      <c r="E60" s="8">
        <f t="shared" si="6"/>
        <v>4.205921361966606E-2</v>
      </c>
      <c r="F60" s="8">
        <f t="shared" si="7"/>
        <v>2.8293226147726089E-2</v>
      </c>
    </row>
    <row r="61" spans="2:6">
      <c r="B61" s="8">
        <v>48</v>
      </c>
      <c r="C61" s="8">
        <f t="shared" si="4"/>
        <v>0.48838839242555199</v>
      </c>
      <c r="D61" s="8">
        <f t="shared" si="5"/>
        <v>0.52548576474819098</v>
      </c>
      <c r="E61" s="8">
        <f t="shared" si="6"/>
        <v>4.1538884339160621E-2</v>
      </c>
      <c r="F61" s="8">
        <f t="shared" si="7"/>
        <v>2.7647774519859444E-2</v>
      </c>
    </row>
    <row r="62" spans="2:6">
      <c r="B62" s="8">
        <v>49</v>
      </c>
      <c r="C62" s="8">
        <f t="shared" si="4"/>
        <v>0.52948948772755444</v>
      </c>
      <c r="D62" s="8">
        <f t="shared" si="5"/>
        <v>0.55276795922856981</v>
      </c>
      <c r="E62" s="8">
        <f t="shared" si="6"/>
        <v>4.0597129829167196E-2</v>
      </c>
      <c r="F62" s="8">
        <f t="shared" si="7"/>
        <v>2.6901182251041794E-2</v>
      </c>
    </row>
    <row r="63" spans="2:6">
      <c r="B63" s="39">
        <v>50</v>
      </c>
      <c r="C63" s="39">
        <f t="shared" si="4"/>
        <v>0.5694601777375784</v>
      </c>
      <c r="D63" s="39">
        <f t="shared" si="5"/>
        <v>0.57925968418588936</v>
      </c>
      <c r="E63" s="39">
        <f t="shared" si="6"/>
        <v>3.9288001279828448E-2</v>
      </c>
      <c r="F63" s="39">
        <f t="shared" si="7"/>
        <v>2.6069513154046032E-2</v>
      </c>
    </row>
    <row r="64" spans="2:6">
      <c r="B64" s="8">
        <v>51</v>
      </c>
      <c r="C64" s="8">
        <f t="shared" si="4"/>
        <v>0.60796267377573388</v>
      </c>
      <c r="D64" s="8">
        <f t="shared" si="5"/>
        <v>0.60488370713870776</v>
      </c>
      <c r="E64" s="8">
        <f t="shared" si="6"/>
        <v>3.7670881971642839E-2</v>
      </c>
      <c r="F64" s="8">
        <f t="shared" si="7"/>
        <v>2.5168257973773599E-2</v>
      </c>
    </row>
    <row r="65" spans="2:6">
      <c r="B65" s="8">
        <v>52</v>
      </c>
      <c r="C65" s="8">
        <f t="shared" si="4"/>
        <v>0.64471974415599365</v>
      </c>
      <c r="D65" s="8">
        <f t="shared" si="5"/>
        <v>0.62957787014960431</v>
      </c>
      <c r="E65" s="8">
        <f t="shared" si="6"/>
        <v>3.5807308474253681E-2</v>
      </c>
      <c r="F65" s="8">
        <f t="shared" si="7"/>
        <v>2.4212106700534339E-2</v>
      </c>
    </row>
    <row r="66" spans="2:6">
      <c r="B66" s="8">
        <v>53</v>
      </c>
      <c r="C66" s="8">
        <f t="shared" si="4"/>
        <v>0.67951553458600267</v>
      </c>
      <c r="D66" s="8">
        <f t="shared" si="5"/>
        <v>0.65329421776055885</v>
      </c>
      <c r="E66" s="8">
        <f t="shared" si="6"/>
        <v>3.3758226572263079E-2</v>
      </c>
      <c r="F66" s="8">
        <f t="shared" si="7"/>
        <v>2.3214779409627313E-2</v>
      </c>
    </row>
    <row r="67" spans="2:6">
      <c r="B67" s="8">
        <v>54</v>
      </c>
      <c r="C67" s="8">
        <f t="shared" si="4"/>
        <v>0.71219387801908485</v>
      </c>
      <c r="D67" s="8">
        <f t="shared" si="5"/>
        <v>0.67599797440917719</v>
      </c>
      <c r="E67" s="8">
        <f t="shared" si="6"/>
        <v>3.1581758334776756E-2</v>
      </c>
      <c r="F67" s="8">
        <f t="shared" si="7"/>
        <v>2.2188909355409958E-2</v>
      </c>
    </row>
    <row r="68" spans="2:6">
      <c r="B68" s="8">
        <v>55</v>
      </c>
      <c r="C68" s="8">
        <f t="shared" si="4"/>
        <v>0.74265459972125114</v>
      </c>
      <c r="D68" s="8">
        <f t="shared" si="5"/>
        <v>0.69766642335182638</v>
      </c>
      <c r="E68" s="8">
        <f t="shared" si="6"/>
        <v>2.933150500522556E-2</v>
      </c>
      <c r="F68" s="8">
        <f t="shared" si="7"/>
        <v>2.1145971575717421E-2</v>
      </c>
    </row>
    <row r="69" spans="2:6">
      <c r="B69" s="8">
        <v>56</v>
      </c>
      <c r="C69" s="8">
        <f t="shared" si="4"/>
        <v>0.77084836923665034</v>
      </c>
      <c r="D69" s="8">
        <f t="shared" si="5"/>
        <v>0.71828773121410616</v>
      </c>
      <c r="E69" s="8">
        <f t="shared" si="6"/>
        <v>2.7055369542696904E-2</v>
      </c>
      <c r="F69" s="8">
        <f t="shared" si="7"/>
        <v>2.0096250176641534E-2</v>
      </c>
    </row>
    <row r="70" spans="2:6">
      <c r="B70" s="8">
        <v>57</v>
      </c>
      <c r="C70" s="8">
        <f t="shared" si="4"/>
        <v>0.79677060951779122</v>
      </c>
      <c r="D70" s="8">
        <f t="shared" si="5"/>
        <v>0.73785975480038324</v>
      </c>
      <c r="E70" s="8">
        <f t="shared" si="6"/>
        <v>2.4794853213882643E-2</v>
      </c>
      <c r="F70" s="8">
        <f t="shared" si="7"/>
        <v>1.9048837670345431E-2</v>
      </c>
    </row>
    <row r="71" spans="2:6">
      <c r="B71" s="8">
        <v>58</v>
      </c>
      <c r="C71" s="8">
        <f t="shared" si="4"/>
        <v>0.82045491193554676</v>
      </c>
      <c r="D71" s="8">
        <f t="shared" si="5"/>
        <v>0.75638885986171234</v>
      </c>
      <c r="E71" s="8">
        <f t="shared" si="6"/>
        <v>2.2584761924138205E-2</v>
      </c>
      <c r="F71" s="8">
        <f t="shared" si="7"/>
        <v>1.8011660145076283E-2</v>
      </c>
    </row>
    <row r="72" spans="2:6">
      <c r="B72" s="8">
        <v>59</v>
      </c>
      <c r="C72" s="8">
        <f t="shared" si="4"/>
        <v>0.84196633288257072</v>
      </c>
      <c r="D72" s="8">
        <f t="shared" si="5"/>
        <v>0.77388877523708854</v>
      </c>
      <c r="E72" s="8">
        <f t="shared" si="6"/>
        <v>2.0453248533361779E-2</v>
      </c>
      <c r="F72" s="8">
        <f t="shared" si="7"/>
        <v>1.6991522586093426E-2</v>
      </c>
    </row>
    <row r="73" spans="2:6">
      <c r="B73" s="8">
        <v>60</v>
      </c>
      <c r="C73" s="8">
        <f t="shared" si="4"/>
        <v>0.8613948706635034</v>
      </c>
      <c r="D73" s="8">
        <f t="shared" si="5"/>
        <v>0.79037950019639835</v>
      </c>
      <c r="E73" s="8">
        <f t="shared" si="6"/>
        <v>1.8422115393202303E-2</v>
      </c>
      <c r="F73" s="8">
        <f t="shared" si="7"/>
        <v>1.5994169281665242E-2</v>
      </c>
    </row>
    <row r="74" spans="2:6">
      <c r="B74" s="8">
        <v>61</v>
      </c>
      <c r="C74" s="8">
        <f t="shared" si="4"/>
        <v>0.878849346168592</v>
      </c>
      <c r="D74" s="8">
        <f t="shared" si="5"/>
        <v>0.80588627793943846</v>
      </c>
      <c r="E74" s="8">
        <f t="shared" si="6"/>
        <v>1.6507304845899923E-2</v>
      </c>
      <c r="F74" s="8">
        <f t="shared" si="7"/>
        <v>1.5024354894916148E-2</v>
      </c>
    </row>
    <row r="75" spans="2:6">
      <c r="B75" s="8">
        <v>62</v>
      </c>
      <c r="C75" s="8">
        <f t="shared" si="4"/>
        <v>0.89445184164363079</v>
      </c>
      <c r="D75" s="8">
        <f t="shared" si="5"/>
        <v>0.8204386440311543</v>
      </c>
      <c r="E75" s="8">
        <f t="shared" si="6"/>
        <v>1.4719512639483826E-2</v>
      </c>
      <c r="F75" s="8">
        <f t="shared" si="7"/>
        <v>1.4085922426483965E-2</v>
      </c>
    </row>
    <row r="76" spans="2:6">
      <c r="B76" s="8">
        <v>63</v>
      </c>
      <c r="C76" s="8">
        <f t="shared" si="4"/>
        <v>0.90833279135367839</v>
      </c>
      <c r="D76" s="8">
        <f t="shared" si="5"/>
        <v>0.83406955504535951</v>
      </c>
      <c r="E76" s="8">
        <f t="shared" si="6"/>
        <v>1.3064868579177239E-2</v>
      </c>
      <c r="F76" s="8">
        <f t="shared" si="7"/>
        <v>1.3181884910482453E-2</v>
      </c>
    </row>
    <row r="77" spans="2:6">
      <c r="B77" s="8">
        <v>64</v>
      </c>
      <c r="C77" s="8">
        <f t="shared" si="4"/>
        <v>0.9206267674380274</v>
      </c>
      <c r="D77" s="8">
        <f t="shared" si="5"/>
        <v>0.84681459979984319</v>
      </c>
      <c r="E77" s="8">
        <f t="shared" si="6"/>
        <v>1.154563899221649E-2</v>
      </c>
      <c r="F77" s="8">
        <f t="shared" si="7"/>
        <v>1.2314508260778428E-2</v>
      </c>
    </row>
    <row r="78" spans="2:6">
      <c r="B78" s="8">
        <v>65</v>
      </c>
      <c r="C78" s="8">
        <f t="shared" ref="C78:C109" si="8">CallDelta(B78,BS_IVLow,0,BS_r,BS_K,BS_T)</f>
        <v>0.93146896408188373</v>
      </c>
      <c r="D78" s="8">
        <f t="shared" ref="D78:D113" si="9">CallDelta(B78,BS_IVHigh,0,BS_r,BS_K,BS_T)</f>
        <v>0.85871129323812656</v>
      </c>
      <c r="E78" s="8">
        <f t="shared" ref="E78:E113" si="10">CallGamma(B78,BS_IVLow,0,BS_r,BS_K,BS_T)</f>
        <v>1.01609157866172E-2</v>
      </c>
      <c r="F78" s="8">
        <f t="shared" ref="F78:F113" si="11">CallGamma(B78,BS_IVHigh,0,BS_r,BS_K,BS_T)</f>
        <v>1.1485393206015179E-2</v>
      </c>
    </row>
    <row r="79" spans="2:6">
      <c r="B79" s="8">
        <v>66</v>
      </c>
      <c r="C79" s="8">
        <f t="shared" si="8"/>
        <v>0.94099235284194527</v>
      </c>
      <c r="D79" s="8">
        <f t="shared" si="9"/>
        <v>0.86979845118568444</v>
      </c>
      <c r="E79" s="8">
        <f t="shared" si="10"/>
        <v>8.9072663781394629E-3</v>
      </c>
      <c r="F79" s="8">
        <f t="shared" si="11"/>
        <v>1.0695554714988668E-2</v>
      </c>
    </row>
    <row r="80" spans="2:6">
      <c r="B80" s="8">
        <v>67</v>
      </c>
      <c r="C80" s="8">
        <f t="shared" si="8"/>
        <v>0.94932546061190171</v>
      </c>
      <c r="D80" s="8">
        <f t="shared" si="9"/>
        <v>0.88011564281846366</v>
      </c>
      <c r="E80" s="8">
        <f t="shared" si="10"/>
        <v>7.7793271386688446E-3</v>
      </c>
      <c r="F80" s="8">
        <f t="shared" si="11"/>
        <v>9.9454977174777363E-3</v>
      </c>
    </row>
    <row r="81" spans="2:6">
      <c r="B81" s="8">
        <v>68</v>
      </c>
      <c r="C81" s="8">
        <f t="shared" si="8"/>
        <v>0.95659070806614588</v>
      </c>
      <c r="D81" s="8">
        <f t="shared" si="9"/>
        <v>0.88970271666757361</v>
      </c>
      <c r="E81" s="8">
        <f t="shared" si="10"/>
        <v>6.7703300802239141E-3</v>
      </c>
      <c r="F81" s="8">
        <f t="shared" si="11"/>
        <v>9.2352882707186293E-3</v>
      </c>
    </row>
    <row r="82" spans="2:6">
      <c r="B82" s="8">
        <v>69</v>
      </c>
      <c r="C82" s="8">
        <f t="shared" si="8"/>
        <v>0.96290323912519016</v>
      </c>
      <c r="D82" s="8">
        <f t="shared" si="9"/>
        <v>0.89859939528780586</v>
      </c>
      <c r="E82" s="8">
        <f t="shared" si="10"/>
        <v>5.8725581812406015E-3</v>
      </c>
      <c r="F82" s="8">
        <f t="shared" si="11"/>
        <v>8.5646196115461565E-3</v>
      </c>
    </row>
    <row r="83" spans="2:6">
      <c r="B83" s="8">
        <v>70</v>
      </c>
      <c r="C83" s="8">
        <f t="shared" si="8"/>
        <v>0.96837016970267209</v>
      </c>
      <c r="D83" s="8">
        <f t="shared" si="9"/>
        <v>0.90684493328530058</v>
      </c>
      <c r="E83" s="8">
        <f t="shared" si="10"/>
        <v>5.0777291424090798E-3</v>
      </c>
      <c r="F83" s="8">
        <f t="shared" si="11"/>
        <v>7.9328727731510142E-3</v>
      </c>
    </row>
    <row r="84" spans="2:6">
      <c r="B84" s="8">
        <v>71</v>
      </c>
      <c r="C84" s="8">
        <f t="shared" si="8"/>
        <v>0.97309018547362747</v>
      </c>
      <c r="D84" s="8">
        <f t="shared" si="9"/>
        <v>0.91447783318237097</v>
      </c>
      <c r="E84" s="8">
        <f t="shared" si="10"/>
        <v>4.3773105535196335E-3</v>
      </c>
      <c r="F84" s="8">
        <f t="shared" si="11"/>
        <v>7.3391716384648351E-3</v>
      </c>
    </row>
    <row r="85" spans="2:6">
      <c r="B85" s="8">
        <v>72</v>
      </c>
      <c r="C85" s="8">
        <f t="shared" si="8"/>
        <v>0.97715342254464865</v>
      </c>
      <c r="D85" s="8">
        <f t="shared" si="9"/>
        <v>0.9215356135519176</v>
      </c>
      <c r="E85" s="8">
        <f t="shared" si="10"/>
        <v>3.7627716234435327E-3</v>
      </c>
      <c r="F85" s="8">
        <f t="shared" si="11"/>
        <v>6.7824324547056903E-3</v>
      </c>
    </row>
    <row r="86" spans="2:6">
      <c r="B86" s="8">
        <v>73</v>
      </c>
      <c r="C86" s="8">
        <f t="shared" si="8"/>
        <v>0.98064157077676761</v>
      </c>
      <c r="D86" s="8">
        <f t="shared" si="9"/>
        <v>0.92805462394207927</v>
      </c>
      <c r="E86" s="8">
        <f t="shared" si="10"/>
        <v>3.2257779495648087E-3</v>
      </c>
      <c r="F86" s="8">
        <f t="shared" si="11"/>
        <v>6.261407950925597E-3</v>
      </c>
    </row>
    <row r="87" spans="2:6">
      <c r="B87" s="8">
        <v>74</v>
      </c>
      <c r="C87" s="8">
        <f t="shared" si="8"/>
        <v>0.98362814635531548</v>
      </c>
      <c r="D87" s="8">
        <f t="shared" si="9"/>
        <v>0.93406990130124701</v>
      </c>
      <c r="E87" s="8">
        <f t="shared" si="10"/>
        <v>2.7583364551895823E-3</v>
      </c>
      <c r="F87" s="8">
        <f t="shared" si="11"/>
        <v>5.7747262876173631E-3</v>
      </c>
    </row>
    <row r="88" spans="2:6">
      <c r="B88" s="8">
        <v>75</v>
      </c>
      <c r="C88" s="8">
        <f t="shared" si="8"/>
        <v>0.98617888742905679</v>
      </c>
      <c r="D88" s="8">
        <f t="shared" si="9"/>
        <v>0.93961506287670304</v>
      </c>
      <c r="E88" s="8">
        <f t="shared" si="10"/>
        <v>2.3528977648414238E-3</v>
      </c>
      <c r="F88" s="8">
        <f t="shared" si="11"/>
        <v>5.3209251293448168E-3</v>
      </c>
    </row>
    <row r="89" spans="2:6">
      <c r="B89" s="8">
        <v>76</v>
      </c>
      <c r="C89" s="8">
        <f t="shared" si="8"/>
        <v>0.9883522338160714</v>
      </c>
      <c r="D89" s="8">
        <f t="shared" si="9"/>
        <v>0.94472223087395357</v>
      </c>
      <c r="E89" s="8">
        <f t="shared" si="10"/>
        <v>2.0024230594804411E-3</v>
      </c>
      <c r="F89" s="8">
        <f t="shared" si="11"/>
        <v>4.8984811723197077E-3</v>
      </c>
    </row>
    <row r="90" spans="2:6">
      <c r="B90" s="8">
        <v>77</v>
      </c>
      <c r="C90" s="8">
        <f t="shared" si="8"/>
        <v>0.99019985858867154</v>
      </c>
      <c r="D90" s="8">
        <f t="shared" si="9"/>
        <v>0.94942198450944681</v>
      </c>
      <c r="E90" s="8">
        <f t="shared" si="10"/>
        <v>1.7004219758287615E-3</v>
      </c>
      <c r="F90" s="8">
        <f t="shared" si="11"/>
        <v>4.5058354827609811E-3</v>
      </c>
    </row>
    <row r="91" spans="2:6">
      <c r="B91" s="8">
        <v>78</v>
      </c>
      <c r="C91" s="8">
        <f t="shared" si="8"/>
        <v>0.99176722560426755</v>
      </c>
      <c r="D91" s="8">
        <f t="shared" si="9"/>
        <v>0.95374333545157941</v>
      </c>
      <c r="E91" s="8">
        <f t="shared" si="10"/>
        <v>1.4409674828225996E-3</v>
      </c>
      <c r="F91" s="8">
        <f t="shared" si="11"/>
        <v>4.1414150121673226E-3</v>
      </c>
    </row>
    <row r="92" spans="2:6">
      <c r="B92" s="8">
        <v>79</v>
      </c>
      <c r="C92" s="8">
        <f t="shared" si="8"/>
        <v>0.99309415262942236</v>
      </c>
      <c r="D92" s="8">
        <f t="shared" si="9"/>
        <v>0.95771372301168167</v>
      </c>
      <c r="E92" s="8">
        <f t="shared" si="10"/>
        <v>1.2186929591767579E-3</v>
      </c>
      <c r="F92" s="8">
        <f t="shared" si="11"/>
        <v>3.8036506552792432E-3</v>
      </c>
    </row>
    <row r="93" spans="2:6">
      <c r="B93" s="8">
        <v>80</v>
      </c>
      <c r="C93" s="8">
        <f t="shared" si="8"/>
        <v>0.99421536456192738</v>
      </c>
      <c r="D93" s="8">
        <f t="shared" si="9"/>
        <v>0.96135902580874</v>
      </c>
      <c r="E93" s="8">
        <f t="shared" si="10"/>
        <v>1.0287759656336323E-3</v>
      </c>
      <c r="F93" s="8">
        <f t="shared" si="11"/>
        <v>3.4909922080341451E-3</v>
      </c>
    </row>
    <row r="94" spans="2:6">
      <c r="B94" s="8">
        <v>81</v>
      </c>
      <c r="C94" s="8">
        <f t="shared" si="8"/>
        <v>0.99516102539035345</v>
      </c>
      <c r="D94" s="8">
        <f t="shared" si="9"/>
        <v>0.96470358698197745</v>
      </c>
      <c r="E94" s="8">
        <f t="shared" si="10"/>
        <v>8.6691249398593241E-4</v>
      </c>
      <c r="F94" s="8">
        <f t="shared" si="11"/>
        <v>3.2019205683557761E-3</v>
      </c>
    </row>
    <row r="95" spans="2:6">
      <c r="B95" s="8">
        <v>82</v>
      </c>
      <c r="C95" s="8">
        <f t="shared" si="8"/>
        <v>0.99595724097533522</v>
      </c>
      <c r="D95" s="8">
        <f t="shared" si="9"/>
        <v>0.9677702503590363</v>
      </c>
      <c r="E95" s="8">
        <f t="shared" si="10"/>
        <v>7.2928480940597906E-4</v>
      </c>
      <c r="F95" s="8">
        <f t="shared" si="11"/>
        <v>2.9349575039334208E-3</v>
      </c>
    </row>
    <row r="96" spans="2:6">
      <c r="B96" s="8">
        <v>83</v>
      </c>
      <c r="C96" s="8">
        <f t="shared" si="8"/>
        <v>0.99662652754656567</v>
      </c>
      <c r="D96" s="8">
        <f t="shared" si="9"/>
        <v>0.97058040530092526</v>
      </c>
      <c r="E96" s="8">
        <f t="shared" si="10"/>
        <v>6.1252539940318961E-4</v>
      </c>
      <c r="F96" s="8">
        <f t="shared" si="11"/>
        <v>2.6886732896791708E-3</v>
      </c>
    </row>
    <row r="97" spans="2:6">
      <c r="B97" s="8">
        <v>84</v>
      </c>
      <c r="C97" s="8">
        <f t="shared" si="8"/>
        <v>0.9971882430510477</v>
      </c>
      <c r="D97" s="8">
        <f t="shared" si="9"/>
        <v>0.97315403823595403</v>
      </c>
      <c r="E97" s="8">
        <f t="shared" si="10"/>
        <v>5.1367901018025655E-4</v>
      </c>
      <c r="F97" s="8">
        <f t="shared" si="11"/>
        <v>2.4616924944637032E-3</v>
      </c>
    </row>
    <row r="98" spans="2:6">
      <c r="B98" s="8">
        <v>85</v>
      </c>
      <c r="C98" s="8">
        <f t="shared" si="8"/>
        <v>0.99765898023370114</v>
      </c>
      <c r="D98" s="8">
        <f t="shared" si="9"/>
        <v>0.97550978916243924</v>
      </c>
      <c r="E98" s="8">
        <f t="shared" si="10"/>
        <v>4.3016429161391744E-4</v>
      </c>
      <c r="F98" s="8">
        <f t="shared" si="11"/>
        <v>2.2526981729397147E-3</v>
      </c>
    </row>
    <row r="99" spans="2:6">
      <c r="B99" s="8">
        <v>86</v>
      </c>
      <c r="C99" s="8">
        <f t="shared" si="8"/>
        <v>0.99805292165328097</v>
      </c>
      <c r="D99" s="8">
        <f t="shared" si="9"/>
        <v>0.97766501164370723</v>
      </c>
      <c r="E99" s="8">
        <f t="shared" si="10"/>
        <v>3.5973618370293528E-4</v>
      </c>
      <c r="F99" s="8">
        <f t="shared" si="11"/>
        <v>2.0604346944779238E-3</v>
      </c>
    </row>
    <row r="100" spans="2:6">
      <c r="B100" s="8">
        <v>87</v>
      </c>
      <c r="C100" s="8">
        <f t="shared" si="8"/>
        <v>0.9983821578037001</v>
      </c>
      <c r="D100" s="8">
        <f t="shared" si="9"/>
        <v>0.97963583503912999</v>
      </c>
      <c r="E100" s="8">
        <f t="shared" si="10"/>
        <v>3.0044985549615351E-4</v>
      </c>
      <c r="F100" s="8">
        <f t="shared" si="11"/>
        <v>1.8837094179992343E-3</v>
      </c>
    </row>
    <row r="101" spans="2:6">
      <c r="B101" s="8">
        <v>88</v>
      </c>
      <c r="C101" s="8">
        <f t="shared" si="8"/>
        <v>0.99865697018678878</v>
      </c>
      <c r="D101" s="8">
        <f t="shared" si="9"/>
        <v>0.98143722791235843</v>
      </c>
      <c r="E101" s="8">
        <f t="shared" si="10"/>
        <v>2.5062674598046674E-4</v>
      </c>
      <c r="F101" s="8">
        <f t="shared" si="11"/>
        <v>1.7213933991809039E-3</v>
      </c>
    </row>
    <row r="102" spans="2:6">
      <c r="B102" s="8">
        <v>89</v>
      </c>
      <c r="C102" s="8">
        <f t="shared" si="8"/>
        <v>0.99888608162405645</v>
      </c>
      <c r="D102" s="8">
        <f t="shared" si="9"/>
        <v>0.9830830617336499</v>
      </c>
      <c r="E102" s="8">
        <f t="shared" si="10"/>
        <v>2.0882304810264558E-4</v>
      </c>
      <c r="F102" s="8">
        <f t="shared" si="11"/>
        <v>1.5724212954178059E-3</v>
      </c>
    </row>
    <row r="103" spans="2:6">
      <c r="B103" s="8">
        <v>90</v>
      </c>
      <c r="C103" s="8">
        <f t="shared" si="8"/>
        <v>0.99907687635173803</v>
      </c>
      <c r="D103" s="8">
        <f t="shared" si="9"/>
        <v>0.98458617414852001</v>
      </c>
      <c r="E103" s="8">
        <f t="shared" si="10"/>
        <v>1.7380081474370853E-4</v>
      </c>
      <c r="F103" s="8">
        <f t="shared" si="11"/>
        <v>1.4357906142104184E-3</v>
      </c>
    </row>
    <row r="104" spans="2:6">
      <c r="B104" s="8">
        <v>91</v>
      </c>
      <c r="C104" s="8">
        <f t="shared" si="8"/>
        <v>0.99923559255770567</v>
      </c>
      <c r="D104" s="8">
        <f t="shared" si="9"/>
        <v>0.98595843122133209</v>
      </c>
      <c r="E104" s="8">
        <f t="shared" si="10"/>
        <v>1.445017419939534E-4</v>
      </c>
      <c r="F104" s="8">
        <f t="shared" si="11"/>
        <v>1.3105604324315722E-3</v>
      </c>
    </row>
    <row r="105" spans="2:6">
      <c r="B105" s="8">
        <v>92</v>
      </c>
      <c r="C105" s="8">
        <f t="shared" si="8"/>
        <v>0.99936749002627057</v>
      </c>
      <c r="D105" s="8">
        <f t="shared" si="9"/>
        <v>0.98721078818137398</v>
      </c>
      <c r="E105" s="8">
        <f t="shared" si="10"/>
        <v>1.2002359390473972E-4</v>
      </c>
      <c r="F105" s="8">
        <f t="shared" si="11"/>
        <v>1.195849697236484E-3</v>
      </c>
    </row>
    <row r="106" spans="2:6">
      <c r="B106" s="8">
        <v>93</v>
      </c>
      <c r="C106" s="8">
        <f t="shared" si="8"/>
        <v>0.99947699548675673</v>
      </c>
      <c r="D106" s="8">
        <f t="shared" si="9"/>
        <v>0.98835334830200838</v>
      </c>
      <c r="E106" s="8">
        <f t="shared" si="10"/>
        <v>9.9599168069981102E-5</v>
      </c>
      <c r="F106" s="8">
        <f t="shared" si="11"/>
        <v>1.0908352042227529E-3</v>
      </c>
    </row>
    <row r="107" spans="2:6">
      <c r="B107" s="8">
        <v>94</v>
      </c>
      <c r="C107" s="8">
        <f t="shared" si="8"/>
        <v>0.99956782813769129</v>
      </c>
      <c r="D107" s="8">
        <f t="shared" si="9"/>
        <v>0.98939541963211264</v>
      </c>
      <c r="E107" s="8">
        <f t="shared" si="10"/>
        <v>8.2577657675860744E-5</v>
      </c>
      <c r="F107" s="8">
        <f t="shared" si="11"/>
        <v>9.9474933478141056E-4</v>
      </c>
    </row>
    <row r="108" spans="2:6">
      <c r="B108" s="8">
        <v>95</v>
      </c>
      <c r="C108" s="8">
        <f t="shared" si="8"/>
        <v>0.99964310765931486</v>
      </c>
      <c r="D108" s="8">
        <f t="shared" si="9"/>
        <v>0.99034556937472329</v>
      </c>
      <c r="E108" s="8">
        <f t="shared" si="10"/>
        <v>6.8408238534677294E-5</v>
      </c>
      <c r="F108" s="8">
        <f t="shared" si="11"/>
        <v>9.0687762234530447E-4</v>
      </c>
    </row>
    <row r="109" spans="2:6">
      <c r="B109" s="8">
        <v>96</v>
      </c>
      <c r="C109" s="8">
        <f t="shared" si="8"/>
        <v>0.9997054468475165</v>
      </c>
      <c r="D109" s="8">
        <f t="shared" si="9"/>
        <v>0.99121167577195213</v>
      </c>
      <c r="E109" s="8">
        <f t="shared" si="10"/>
        <v>5.6625695268417235E-5</v>
      </c>
      <c r="F109" s="8">
        <f t="shared" si="11"/>
        <v>8.2655620635819344E-4</v>
      </c>
    </row>
    <row r="110" spans="2:6">
      <c r="B110" s="8">
        <v>97</v>
      </c>
      <c r="C110" s="8">
        <f>CallDelta(B110,BS_IVLow,0,BS_r,BS_K,BS_T)</f>
        <v>0.99975703081337397</v>
      </c>
      <c r="D110" s="8">
        <f t="shared" si="9"/>
        <v>0.9920009774091525</v>
      </c>
      <c r="E110" s="8">
        <f t="shared" si="10"/>
        <v>4.6837896056140886E-5</v>
      </c>
      <c r="F110" s="8">
        <f t="shared" si="11"/>
        <v>7.5316922316741677E-4</v>
      </c>
    </row>
    <row r="111" spans="2:6">
      <c r="B111" s="8">
        <v>98</v>
      </c>
      <c r="C111" s="8">
        <f>CallDelta(B111,BS_IVLow,0,BS_r,BS_K,BS_T)</f>
        <v>0.99979968450249335</v>
      </c>
      <c r="D111" s="8">
        <f t="shared" si="9"/>
        <v>0.99272011989620179</v>
      </c>
      <c r="E111" s="8">
        <f t="shared" si="10"/>
        <v>3.8714927613947964E-5</v>
      </c>
      <c r="F111" s="8">
        <f t="shared" si="11"/>
        <v>6.8614617458907323E-4</v>
      </c>
    </row>
    <row r="112" spans="2:6">
      <c r="B112" s="8">
        <v>99</v>
      </c>
      <c r="C112" s="8">
        <f>CallDelta(B112,BS_IVLow,0,BS_r,BS_K,BS_T)</f>
        <v>0.9998349301032301</v>
      </c>
      <c r="D112" s="8">
        <f t="shared" si="9"/>
        <v>0.99337519992074341</v>
      </c>
      <c r="E112" s="8">
        <f t="shared" si="10"/>
        <v>3.1979709254048464E-5</v>
      </c>
      <c r="F112" s="8">
        <f t="shared" si="11"/>
        <v>6.2495930750941303E-4</v>
      </c>
    </row>
    <row r="113" spans="2:6">
      <c r="B113" s="8">
        <v>100</v>
      </c>
      <c r="C113" s="8">
        <f>CallDelta(B113,BS_IVLow,0,BS_r,BS_K,BS_T)</f>
        <v>0.99986403573669724</v>
      </c>
      <c r="D113" s="8">
        <f t="shared" si="9"/>
        <v>0.99397180669831686</v>
      </c>
      <c r="E113" s="8">
        <f t="shared" si="10"/>
        <v>2.6399915325170486E-5</v>
      </c>
      <c r="F113" s="8">
        <f t="shared" si="11"/>
        <v>5.6912103147197998E-4</v>
      </c>
    </row>
  </sheetData>
  <mergeCells count="1">
    <mergeCell ref="B6:F7"/>
  </mergeCells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2"/>
  <sheetViews>
    <sheetView zoomScale="83" zoomScaleNormal="125" zoomScalePageLayoutView="125" workbookViewId="0">
      <selection activeCell="K10" sqref="K10"/>
    </sheetView>
  </sheetViews>
  <sheetFormatPr defaultColWidth="8.85546875" defaultRowHeight="12.75"/>
  <cols>
    <col min="1" max="1" width="10.28515625" style="7" bestFit="1" customWidth="1"/>
    <col min="2" max="2" width="10.42578125" style="7" customWidth="1"/>
    <col min="3" max="3" width="9" style="7" customWidth="1"/>
    <col min="4" max="4" width="13.42578125" style="7" customWidth="1"/>
    <col min="5" max="5" width="12.28515625" style="7" bestFit="1" customWidth="1"/>
    <col min="6" max="6" width="12" style="7" customWidth="1"/>
    <col min="7" max="7" width="10" style="7" customWidth="1"/>
    <col min="8" max="16384" width="8.85546875" style="7"/>
  </cols>
  <sheetData>
    <row r="1" spans="1:15">
      <c r="A1" s="26" t="s">
        <v>3</v>
      </c>
      <c r="B1" s="27">
        <v>100</v>
      </c>
      <c r="E1" s="26" t="s">
        <v>59</v>
      </c>
      <c r="F1" s="32">
        <f ca="1">F112</f>
        <v>10.507407611776992</v>
      </c>
      <c r="H1" s="7" t="s">
        <v>76</v>
      </c>
    </row>
    <row r="2" spans="1:15">
      <c r="A2" s="26" t="s">
        <v>4</v>
      </c>
      <c r="B2" s="27">
        <v>100</v>
      </c>
    </row>
    <row r="3" spans="1:15">
      <c r="A3" s="26" t="s">
        <v>46</v>
      </c>
      <c r="B3" s="43">
        <v>0.05</v>
      </c>
      <c r="E3" s="26" t="s">
        <v>22</v>
      </c>
      <c r="F3" s="31">
        <f ca="1">($F$1-IF(DH_PriceT&gt;DH_Strike,1,0)*DH_Strike)*EXP(-DH_Rate*DH_Term)</f>
        <v>9.9949552955450507</v>
      </c>
      <c r="H3" s="54" t="s">
        <v>79</v>
      </c>
    </row>
    <row r="4" spans="1:15">
      <c r="A4" s="26" t="s">
        <v>47</v>
      </c>
      <c r="B4" s="30">
        <v>0.2</v>
      </c>
      <c r="C4" s="7" t="s">
        <v>80</v>
      </c>
      <c r="E4" s="26" t="s">
        <v>18</v>
      </c>
      <c r="F4" s="31">
        <f>CallOption(B1,B4,0,B3,B2,B6)</f>
        <v>10.450575666859251</v>
      </c>
      <c r="H4" s="7" t="s">
        <v>81</v>
      </c>
    </row>
    <row r="5" spans="1:15">
      <c r="A5" s="26" t="s">
        <v>7</v>
      </c>
      <c r="B5" s="28">
        <v>1</v>
      </c>
      <c r="C5" s="10" t="s">
        <v>88</v>
      </c>
      <c r="D5" s="7">
        <v>0.01</v>
      </c>
    </row>
    <row r="6" spans="1:15" ht="30" customHeight="1">
      <c r="A6" s="26" t="s">
        <v>19</v>
      </c>
      <c r="B6" s="27">
        <v>1</v>
      </c>
    </row>
    <row r="7" spans="1:15">
      <c r="A7" s="26"/>
      <c r="B7" s="29"/>
    </row>
    <row r="8" spans="1:15" ht="15.75">
      <c r="A8" s="40" t="s">
        <v>84</v>
      </c>
      <c r="B8" s="29"/>
      <c r="K8" s="40" t="s">
        <v>89</v>
      </c>
    </row>
    <row r="9" spans="1:15">
      <c r="K9" s="46" t="s">
        <v>90</v>
      </c>
    </row>
    <row r="10" spans="1:15">
      <c r="D10" s="8" t="s">
        <v>48</v>
      </c>
      <c r="E10" s="8" t="s">
        <v>50</v>
      </c>
      <c r="F10" s="7" t="s">
        <v>51</v>
      </c>
      <c r="G10" s="56" t="s">
        <v>87</v>
      </c>
    </row>
    <row r="11" spans="1:15" ht="13.5" thickBot="1">
      <c r="A11" s="33" t="s">
        <v>21</v>
      </c>
      <c r="B11" s="33" t="s">
        <v>3</v>
      </c>
      <c r="C11" s="33" t="s">
        <v>45</v>
      </c>
      <c r="D11" s="33" t="s">
        <v>52</v>
      </c>
      <c r="E11" s="33" t="s">
        <v>85</v>
      </c>
      <c r="F11" s="33" t="s">
        <v>78</v>
      </c>
      <c r="G11" s="33" t="s">
        <v>49</v>
      </c>
      <c r="H11" s="8"/>
      <c r="I11" s="33" t="s">
        <v>77</v>
      </c>
      <c r="J11" s="8"/>
      <c r="K11" s="55" t="s">
        <v>86</v>
      </c>
      <c r="L11" s="8"/>
      <c r="M11" s="8"/>
      <c r="N11" s="8"/>
      <c r="O11" s="8"/>
    </row>
    <row r="12" spans="1:15" ht="14.1" customHeight="1">
      <c r="A12" s="8">
        <v>0</v>
      </c>
      <c r="B12" s="47">
        <v>100</v>
      </c>
      <c r="C12" s="44">
        <f t="shared" ref="C12:C17" si="0">CallDelta(B12,$B$4,0,$B$3,$B$2,$B$5-A12)</f>
        <v>0.63683058735763587</v>
      </c>
      <c r="D12" s="52">
        <f>(C12-0)*$B$6</f>
        <v>0.63683058735763587</v>
      </c>
      <c r="E12" s="53">
        <f>D12*B12</f>
        <v>63.683058735763588</v>
      </c>
      <c r="F12" s="53">
        <f>E12</f>
        <v>63.683058735763588</v>
      </c>
      <c r="G12" s="52">
        <f t="shared" ref="G12:G43" si="1">F12*(EXP(DH_Rate*DH_dt)-1)</f>
        <v>3.1849491077114489E-2</v>
      </c>
      <c r="H12" s="8"/>
      <c r="I12" s="44">
        <f t="shared" ref="I12:I43" si="2">CallGamma(B12,$B$4,0,$B$3,$B$2,$B$5-A12)</f>
        <v>1.8762017505869651E-2</v>
      </c>
      <c r="J12" s="8"/>
      <c r="K12" s="46" t="s">
        <v>83</v>
      </c>
      <c r="L12" s="8"/>
      <c r="M12" s="8"/>
      <c r="N12" s="8"/>
      <c r="O12" s="8"/>
    </row>
    <row r="13" spans="1:15">
      <c r="A13" s="8">
        <v>0.01</v>
      </c>
      <c r="B13" s="47">
        <f t="shared" ref="B13:B44" ca="1" si="3">B12*EXP(($B$3-0.5*$B$4^2)*$A$13+$B$4*NORMSINV(RAND())*SQRT($A$13))</f>
        <v>102.51823887508476</v>
      </c>
      <c r="C13" s="44">
        <f t="shared" ca="1" si="0"/>
        <v>0.68197356969444312</v>
      </c>
      <c r="D13" s="52">
        <f ca="1">(C13-C12)*$B$6</f>
        <v>4.5142982336807247E-2</v>
      </c>
      <c r="E13" s="53">
        <f t="shared" ref="E13:E76" ca="1" si="4">D13*B13</f>
        <v>4.6279790467385373</v>
      </c>
      <c r="F13" s="53">
        <f ca="1">F12+G12+E13</f>
        <v>68.342887273579237</v>
      </c>
      <c r="G13" s="52">
        <f t="shared" ca="1" si="1"/>
        <v>3.4179987921681032E-2</v>
      </c>
      <c r="I13" s="44">
        <f t="shared" ca="1" si="2"/>
        <v>1.7483687053803012E-2</v>
      </c>
      <c r="J13" s="8"/>
      <c r="K13" s="8"/>
      <c r="L13" s="8"/>
      <c r="M13" s="8"/>
      <c r="N13" s="8"/>
      <c r="O13" s="8"/>
    </row>
    <row r="14" spans="1:15">
      <c r="A14" s="8">
        <v>0.02</v>
      </c>
      <c r="B14" s="47">
        <f t="shared" ca="1" si="3"/>
        <v>104.35397455872072</v>
      </c>
      <c r="C14" s="44">
        <f t="shared" ca="1" si="0"/>
        <v>0.7128529128898623</v>
      </c>
      <c r="D14" s="52">
        <f t="shared" ref="D14:D77" ca="1" si="5">(C14-C13)*$B$6</f>
        <v>3.0879343195419184E-2</v>
      </c>
      <c r="E14" s="53">
        <f ca="1">D14*B14</f>
        <v>3.2223821942047794</v>
      </c>
      <c r="F14" s="53">
        <f t="shared" ref="F14:F77" ca="1" si="6">F13+G13+E14</f>
        <v>71.599449455705695</v>
      </c>
      <c r="G14" s="52">
        <f t="shared" ca="1" si="1"/>
        <v>3.5808676150870272E-2</v>
      </c>
      <c r="H14" s="8"/>
      <c r="I14" s="44">
        <f t="shared" ca="1" si="2"/>
        <v>1.6490628751592889E-2</v>
      </c>
      <c r="J14" s="8"/>
      <c r="K14" s="46" t="s">
        <v>82</v>
      </c>
      <c r="L14" s="8"/>
      <c r="M14" s="8"/>
      <c r="O14" s="8"/>
    </row>
    <row r="15" spans="1:15">
      <c r="A15" s="8">
        <v>0.03</v>
      </c>
      <c r="B15" s="47">
        <f t="shared" ca="1" si="3"/>
        <v>104.57950149089959</v>
      </c>
      <c r="C15" s="44">
        <f t="shared" ca="1" si="0"/>
        <v>0.7163501317229839</v>
      </c>
      <c r="D15" s="52">
        <f t="shared" ca="1" si="5"/>
        <v>3.4972188331215959E-3</v>
      </c>
      <c r="E15" s="53">
        <f ca="1">D15*B15</f>
        <v>0.36573740217244205</v>
      </c>
      <c r="F15" s="53">
        <f ca="1">F14+G14+E15</f>
        <v>72.000995534029002</v>
      </c>
      <c r="G15" s="52">
        <f t="shared" ca="1" si="1"/>
        <v>3.6009499391658269E-2</v>
      </c>
      <c r="I15" s="44">
        <f t="shared" ca="1" si="2"/>
        <v>1.6443429895452208E-2</v>
      </c>
      <c r="J15" s="8"/>
      <c r="K15" s="8"/>
      <c r="L15" s="8"/>
      <c r="M15" s="8"/>
      <c r="O15" s="8"/>
    </row>
    <row r="16" spans="1:15">
      <c r="A16" s="8">
        <v>0.04</v>
      </c>
      <c r="B16" s="47">
        <f t="shared" ca="1" si="3"/>
        <v>104.57051006527345</v>
      </c>
      <c r="C16" s="44">
        <f t="shared" ca="1" si="0"/>
        <v>0.71599797611436555</v>
      </c>
      <c r="D16" s="52">
        <f ca="1">(C16-C15)*$B$6</f>
        <v>-3.5215560861834305E-4</v>
      </c>
      <c r="E16" s="53">
        <f ca="1">D16*B16</f>
        <v>-3.6825091615566942E-2</v>
      </c>
      <c r="F16" s="53">
        <f ca="1">F15+G15+E16</f>
        <v>72.000179941805087</v>
      </c>
      <c r="G16" s="52">
        <f t="shared" ca="1" si="1"/>
        <v>3.6009091493580288E-2</v>
      </c>
      <c r="H16" s="8"/>
      <c r="I16" s="44">
        <f t="shared" ca="1" si="2"/>
        <v>1.6540093777333866E-2</v>
      </c>
      <c r="J16" s="8"/>
      <c r="K16" s="8"/>
      <c r="L16" s="8"/>
      <c r="M16" s="8"/>
      <c r="O16" s="8"/>
    </row>
    <row r="17" spans="1:15">
      <c r="A17" s="8">
        <v>0.05</v>
      </c>
      <c r="B17" s="47">
        <f t="shared" ca="1" si="3"/>
        <v>104.05592262694243</v>
      </c>
      <c r="C17" s="44">
        <f t="shared" ca="1" si="0"/>
        <v>0.70715542318902513</v>
      </c>
      <c r="D17" s="52">
        <f t="shared" ca="1" si="5"/>
        <v>-8.8425529253404189E-3</v>
      </c>
      <c r="E17" s="53">
        <f t="shared" ca="1" si="4"/>
        <v>-0.9201200030238661</v>
      </c>
      <c r="F17" s="53">
        <f ca="1">F16+G16+E17</f>
        <v>71.116069030274801</v>
      </c>
      <c r="G17" s="52">
        <f t="shared" ca="1" si="1"/>
        <v>3.5566925505529999E-2</v>
      </c>
      <c r="H17" s="8"/>
      <c r="I17" s="44">
        <f t="shared" ca="1" si="2"/>
        <v>1.6952399311882166E-2</v>
      </c>
      <c r="J17" s="8"/>
      <c r="K17" s="8"/>
      <c r="L17" s="8"/>
      <c r="M17" s="8"/>
      <c r="N17" s="8"/>
      <c r="O17" s="8"/>
    </row>
    <row r="18" spans="1:15">
      <c r="A18" s="8">
        <v>0.06</v>
      </c>
      <c r="B18" s="47">
        <f t="shared" ca="1" si="3"/>
        <v>107.14885252479739</v>
      </c>
      <c r="C18" s="44">
        <f t="shared" ref="C18:C77" ca="1" si="7">CallDelta(B18,$B$4,0,$B$3,$B$2,$B$5-A18)</f>
        <v>0.7566070529418728</v>
      </c>
      <c r="D18" s="52">
        <f t="shared" ca="1" si="5"/>
        <v>4.945162975284767E-2</v>
      </c>
      <c r="E18" s="53">
        <f t="shared" ca="1" si="4"/>
        <v>5.298685383498758</v>
      </c>
      <c r="F18" s="53">
        <f ca="1">F17+G17+E18</f>
        <v>76.4503213392791</v>
      </c>
      <c r="G18" s="52">
        <f t="shared" ca="1" si="1"/>
        <v>3.8234718552714465E-2</v>
      </c>
      <c r="H18" s="8"/>
      <c r="I18" s="44">
        <f t="shared" ca="1" si="2"/>
        <v>1.5076874872534779E-2</v>
      </c>
      <c r="J18" s="8"/>
      <c r="K18" s="8"/>
      <c r="L18" s="8"/>
      <c r="M18" s="8"/>
      <c r="N18" s="8"/>
      <c r="O18" s="8"/>
    </row>
    <row r="19" spans="1:15">
      <c r="A19" s="8">
        <v>7.0000000000000007E-2</v>
      </c>
      <c r="B19" s="47">
        <f t="shared" ca="1" si="3"/>
        <v>105.10685103782534</v>
      </c>
      <c r="C19" s="44">
        <f t="shared" ca="1" si="7"/>
        <v>0.72433442659803648</v>
      </c>
      <c r="D19" s="52">
        <f t="shared" ca="1" si="5"/>
        <v>-3.2272626343836319E-2</v>
      </c>
      <c r="E19" s="53">
        <f t="shared" ca="1" si="4"/>
        <v>-3.3920741297210015</v>
      </c>
      <c r="F19" s="53">
        <f ca="1">F18+G18+E19</f>
        <v>73.096481928110819</v>
      </c>
      <c r="G19" s="52">
        <f t="shared" ca="1" si="1"/>
        <v>3.6557379547323826E-2</v>
      </c>
      <c r="H19" s="8"/>
      <c r="I19" s="44">
        <f t="shared" ca="1" si="2"/>
        <v>1.6479113118322477E-2</v>
      </c>
      <c r="J19" s="8"/>
      <c r="K19" s="8"/>
      <c r="L19" s="8"/>
      <c r="M19" s="8"/>
      <c r="N19" s="8"/>
      <c r="O19" s="8"/>
    </row>
    <row r="20" spans="1:15">
      <c r="A20" s="8">
        <v>0.08</v>
      </c>
      <c r="B20" s="47">
        <f t="shared" ca="1" si="3"/>
        <v>106.12108396410027</v>
      </c>
      <c r="C20" s="44">
        <f t="shared" ca="1" si="7"/>
        <v>0.74066837789787443</v>
      </c>
      <c r="D20" s="52">
        <f t="shared" ca="1" si="5"/>
        <v>1.6333951299837945E-2</v>
      </c>
      <c r="E20" s="53">
        <f t="shared" ca="1" si="4"/>
        <v>1.7333766173556273</v>
      </c>
      <c r="F20" s="53">
        <f t="shared" ca="1" si="6"/>
        <v>74.866415925013769</v>
      </c>
      <c r="G20" s="52">
        <f t="shared" ca="1" si="1"/>
        <v>3.7442567824402993E-2</v>
      </c>
      <c r="H20" s="8"/>
      <c r="I20" s="44">
        <f t="shared" ca="1" si="2"/>
        <v>1.5912254480729877E-2</v>
      </c>
      <c r="J20" s="8"/>
      <c r="K20" s="8"/>
      <c r="L20" s="8"/>
      <c r="M20" s="8"/>
      <c r="N20" s="8"/>
      <c r="O20" s="8"/>
    </row>
    <row r="21" spans="1:15">
      <c r="A21" s="8">
        <v>0.09</v>
      </c>
      <c r="B21" s="47">
        <f t="shared" ca="1" si="3"/>
        <v>109.77168696247404</v>
      </c>
      <c r="C21" s="44">
        <f t="shared" ca="1" si="7"/>
        <v>0.79461795498070165</v>
      </c>
      <c r="D21" s="52">
        <f t="shared" ca="1" si="5"/>
        <v>5.3949577082827216E-2</v>
      </c>
      <c r="E21" s="53">
        <f t="shared" ca="1" si="4"/>
        <v>5.9221360872939721</v>
      </c>
      <c r="F21" s="53">
        <f t="shared" ca="1" si="6"/>
        <v>80.825994580132146</v>
      </c>
      <c r="G21" s="52">
        <f t="shared" ca="1" si="1"/>
        <v>4.042310222346697E-2</v>
      </c>
      <c r="H21" s="8"/>
      <c r="I21" s="44">
        <f t="shared" ca="1" si="2"/>
        <v>1.3581566922905609E-2</v>
      </c>
      <c r="J21" s="8"/>
      <c r="K21" s="8"/>
      <c r="L21" s="8"/>
      <c r="M21" s="8"/>
      <c r="N21" s="8"/>
      <c r="O21" s="8"/>
    </row>
    <row r="22" spans="1:15">
      <c r="A22" s="8">
        <v>0.1</v>
      </c>
      <c r="B22" s="47">
        <f t="shared" ca="1" si="3"/>
        <v>110.24498759737969</v>
      </c>
      <c r="C22" s="44">
        <f t="shared" ca="1" si="7"/>
        <v>0.80124962371827479</v>
      </c>
      <c r="D22" s="52">
        <f t="shared" ca="1" si="5"/>
        <v>6.6316687375731487E-3</v>
      </c>
      <c r="E22" s="53">
        <f t="shared" ca="1" si="4"/>
        <v>0.73110823772368239</v>
      </c>
      <c r="F22" s="53">
        <f t="shared" ca="1" si="6"/>
        <v>81.597525920079306</v>
      </c>
      <c r="G22" s="52">
        <f t="shared" ca="1" si="1"/>
        <v>4.0808964350933556E-2</v>
      </c>
      <c r="H22" s="8"/>
      <c r="I22" s="44">
        <f t="shared" ca="1" si="2"/>
        <v>1.3333680145115073E-2</v>
      </c>
      <c r="J22" s="8"/>
      <c r="K22" s="8"/>
      <c r="L22" s="8"/>
      <c r="M22" s="8"/>
      <c r="N22" s="8"/>
      <c r="O22" s="8"/>
    </row>
    <row r="23" spans="1:15">
      <c r="A23" s="8">
        <v>0.11</v>
      </c>
      <c r="B23" s="47">
        <f t="shared" ca="1" si="3"/>
        <v>111.3528046860919</v>
      </c>
      <c r="C23" s="44">
        <f t="shared" ca="1" si="7"/>
        <v>0.81597055711935718</v>
      </c>
      <c r="D23" s="52">
        <f t="shared" ca="1" si="5"/>
        <v>1.4720933401082381E-2</v>
      </c>
      <c r="E23" s="53">
        <f t="shared" ca="1" si="4"/>
        <v>1.639217221807693</v>
      </c>
      <c r="F23" s="53">
        <f t="shared" ca="1" si="6"/>
        <v>83.277552106237934</v>
      </c>
      <c r="G23" s="52">
        <f t="shared" ca="1" si="1"/>
        <v>4.1649187482290913E-2</v>
      </c>
      <c r="H23" s="8"/>
      <c r="I23" s="44">
        <f t="shared" ca="1" si="2"/>
        <v>1.2663379331128837E-2</v>
      </c>
      <c r="J23" s="8"/>
      <c r="K23" s="8"/>
      <c r="L23" s="8"/>
      <c r="M23" s="8"/>
      <c r="N23" s="8"/>
      <c r="O23" s="8"/>
    </row>
    <row r="24" spans="1:15">
      <c r="A24" s="8">
        <v>0.12</v>
      </c>
      <c r="B24" s="47">
        <f t="shared" ca="1" si="3"/>
        <v>113.72569440455464</v>
      </c>
      <c r="C24" s="44">
        <f t="shared" ca="1" si="7"/>
        <v>0.84467797569540326</v>
      </c>
      <c r="D24" s="52">
        <f t="shared" ca="1" si="5"/>
        <v>2.8707418576046084E-2</v>
      </c>
      <c r="E24" s="53">
        <f t="shared" ca="1" si="4"/>
        <v>3.2647711121230523</v>
      </c>
      <c r="F24" s="53">
        <f t="shared" ca="1" si="6"/>
        <v>86.583972405843284</v>
      </c>
      <c r="G24" s="52">
        <f t="shared" ca="1" si="1"/>
        <v>4.3302811003523116E-2</v>
      </c>
      <c r="H24" s="8"/>
      <c r="I24" s="44">
        <f t="shared" ca="1" si="2"/>
        <v>1.1183217100716406E-2</v>
      </c>
      <c r="J24" s="8"/>
      <c r="K24" s="8"/>
      <c r="L24" s="8"/>
      <c r="M24" s="8"/>
      <c r="N24" s="8"/>
      <c r="O24" s="8"/>
    </row>
    <row r="25" spans="1:15">
      <c r="A25" s="8">
        <v>0.13</v>
      </c>
      <c r="B25" s="47">
        <f t="shared" ca="1" si="3"/>
        <v>111.14007068977773</v>
      </c>
      <c r="C25" s="44">
        <f t="shared" ca="1" si="7"/>
        <v>0.81397688468243456</v>
      </c>
      <c r="D25" s="52">
        <f t="shared" ca="1" si="5"/>
        <v>-3.0701091012968695E-2</v>
      </c>
      <c r="E25" s="53">
        <f t="shared" ca="1" si="4"/>
        <v>-3.4121214254346404</v>
      </c>
      <c r="F25" s="53">
        <f t="shared" ca="1" si="6"/>
        <v>83.215153791412177</v>
      </c>
      <c r="G25" s="52">
        <f t="shared" ca="1" si="1"/>
        <v>4.161798052378856E-2</v>
      </c>
      <c r="H25" s="8"/>
      <c r="I25" s="44">
        <f t="shared" ca="1" si="2"/>
        <v>1.291881999068081E-2</v>
      </c>
      <c r="J25" s="8"/>
      <c r="K25" s="8"/>
      <c r="L25" s="8"/>
      <c r="M25" s="8"/>
      <c r="N25" s="8"/>
      <c r="O25" s="8"/>
    </row>
    <row r="26" spans="1:15">
      <c r="A26" s="8">
        <v>0.14000000000000001</v>
      </c>
      <c r="B26" s="47">
        <f t="shared" ca="1" si="3"/>
        <v>110.98834395909398</v>
      </c>
      <c r="C26" s="44">
        <f t="shared" ca="1" si="7"/>
        <v>0.81237495453861375</v>
      </c>
      <c r="D26" s="52">
        <f t="shared" ca="1" si="5"/>
        <v>-1.6019301438208178E-3</v>
      </c>
      <c r="E26" s="53">
        <f t="shared" ca="1" si="4"/>
        <v>-0.17779557380082581</v>
      </c>
      <c r="F26" s="53">
        <f t="shared" ca="1" si="6"/>
        <v>83.078976198135138</v>
      </c>
      <c r="G26" s="52">
        <f t="shared" ca="1" si="1"/>
        <v>4.15498747021135E-2</v>
      </c>
      <c r="H26" s="8"/>
      <c r="I26" s="44">
        <f t="shared" ca="1" si="2"/>
        <v>1.3080708293325157E-2</v>
      </c>
      <c r="J26" s="8"/>
      <c r="K26" s="8"/>
      <c r="L26" s="8"/>
      <c r="M26" s="8"/>
      <c r="N26" s="8"/>
      <c r="O26" s="8"/>
    </row>
    <row r="27" spans="1:15">
      <c r="A27" s="8">
        <v>0.15</v>
      </c>
      <c r="B27" s="47">
        <f t="shared" ca="1" si="3"/>
        <v>110.4903494338681</v>
      </c>
      <c r="C27" s="44">
        <f t="shared" ca="1" si="7"/>
        <v>0.80612306967285763</v>
      </c>
      <c r="D27" s="52">
        <f t="shared" ca="1" si="5"/>
        <v>-6.2518848657561188E-3</v>
      </c>
      <c r="E27" s="53">
        <f t="shared" ca="1" si="4"/>
        <v>-0.69077294343770512</v>
      </c>
      <c r="F27" s="53">
        <f t="shared" ca="1" si="6"/>
        <v>82.429753129399543</v>
      </c>
      <c r="G27" s="52">
        <f t="shared" ca="1" si="1"/>
        <v>4.1225182001335001E-2</v>
      </c>
      <c r="H27" s="8"/>
      <c r="I27" s="44">
        <f t="shared" ca="1" si="2"/>
        <v>1.3485284444848296E-2</v>
      </c>
      <c r="J27" s="8"/>
      <c r="K27" s="8"/>
      <c r="L27" s="8"/>
      <c r="M27" s="8"/>
      <c r="N27" s="8"/>
      <c r="O27" s="8"/>
    </row>
    <row r="28" spans="1:15">
      <c r="A28" s="8">
        <v>0.16</v>
      </c>
      <c r="B28" s="47">
        <f t="shared" ca="1" si="3"/>
        <v>110.15804736770863</v>
      </c>
      <c r="C28" s="44">
        <f t="shared" ca="1" si="7"/>
        <v>0.80194049490993358</v>
      </c>
      <c r="D28" s="52">
        <f t="shared" ca="1" si="5"/>
        <v>-4.1825747629240517E-3</v>
      </c>
      <c r="E28" s="53">
        <f t="shared" ca="1" si="4"/>
        <v>-0.46074426885317038</v>
      </c>
      <c r="F28" s="53">
        <f t="shared" ca="1" si="6"/>
        <v>82.010234042547708</v>
      </c>
      <c r="G28" s="52">
        <f t="shared" ca="1" si="1"/>
        <v>4.1015370009282189E-2</v>
      </c>
      <c r="H28" s="8"/>
      <c r="I28" s="44">
        <f t="shared" ca="1" si="2"/>
        <v>1.3783571732064846E-2</v>
      </c>
      <c r="J28" s="8"/>
      <c r="K28" s="8"/>
      <c r="L28" s="8"/>
      <c r="M28" s="8"/>
      <c r="N28" s="8"/>
      <c r="O28" s="8"/>
    </row>
    <row r="29" spans="1:15">
      <c r="A29" s="8">
        <v>0.17</v>
      </c>
      <c r="B29" s="47">
        <f t="shared" ca="1" si="3"/>
        <v>109.09459351059151</v>
      </c>
      <c r="C29" s="44">
        <f t="shared" ca="1" si="7"/>
        <v>0.7871547442769411</v>
      </c>
      <c r="D29" s="52">
        <f t="shared" ca="1" si="5"/>
        <v>-1.4785750632992478E-2</v>
      </c>
      <c r="E29" s="53">
        <f t="shared" ca="1" si="4"/>
        <v>-1.6130454550552855</v>
      </c>
      <c r="F29" s="53">
        <f t="shared" ca="1" si="6"/>
        <v>80.438203957501699</v>
      </c>
      <c r="G29" s="52">
        <f t="shared" ca="1" si="1"/>
        <v>4.0229158430243966E-2</v>
      </c>
      <c r="H29" s="8"/>
      <c r="I29" s="44">
        <f t="shared" ca="1" si="2"/>
        <v>1.4613244815242099E-2</v>
      </c>
      <c r="J29" s="8"/>
      <c r="K29" s="8"/>
      <c r="L29" s="8"/>
      <c r="M29" s="8"/>
      <c r="N29" s="8"/>
      <c r="O29" s="8"/>
    </row>
    <row r="30" spans="1:15">
      <c r="A30" s="8">
        <v>0.18</v>
      </c>
      <c r="B30" s="47">
        <f t="shared" ca="1" si="3"/>
        <v>108.18712230342236</v>
      </c>
      <c r="C30" s="44">
        <f t="shared" ca="1" si="7"/>
        <v>0.77380709158278704</v>
      </c>
      <c r="D30" s="52">
        <f t="shared" ca="1" si="5"/>
        <v>-1.3347652694154055E-2</v>
      </c>
      <c r="E30" s="53">
        <f t="shared" ca="1" si="4"/>
        <v>-1.4440441344860497</v>
      </c>
      <c r="F30" s="53">
        <f t="shared" ca="1" si="6"/>
        <v>79.0343889814459</v>
      </c>
      <c r="G30" s="52">
        <f t="shared" ca="1" si="1"/>
        <v>3.9527075436094385E-2</v>
      </c>
      <c r="H30" s="8"/>
      <c r="I30" s="44">
        <f t="shared" ca="1" si="2"/>
        <v>1.5352592247908673E-2</v>
      </c>
      <c r="J30" s="8"/>
      <c r="K30" s="8"/>
      <c r="L30" s="8"/>
      <c r="M30" s="8"/>
      <c r="N30" s="8"/>
      <c r="O30" s="8"/>
    </row>
    <row r="31" spans="1:15">
      <c r="A31" s="8">
        <v>0.19</v>
      </c>
      <c r="B31" s="47">
        <f t="shared" ca="1" si="3"/>
        <v>109.70112009566024</v>
      </c>
      <c r="C31" s="44">
        <f t="shared" ca="1" si="7"/>
        <v>0.79655690667412493</v>
      </c>
      <c r="D31" s="52">
        <f t="shared" ca="1" si="5"/>
        <v>2.2749815091337888E-2</v>
      </c>
      <c r="E31" s="53">
        <f t="shared" ca="1" si="4"/>
        <v>2.4956801974889213</v>
      </c>
      <c r="F31" s="53">
        <f t="shared" ca="1" si="6"/>
        <v>81.569596254370921</v>
      </c>
      <c r="G31" s="52">
        <f t="shared" ca="1" si="1"/>
        <v>4.0794996026289207E-2</v>
      </c>
      <c r="H31" s="8"/>
      <c r="I31" s="44">
        <f t="shared" ca="1" si="2"/>
        <v>1.4323699063247777E-2</v>
      </c>
      <c r="J31" s="8"/>
      <c r="K31" s="8"/>
      <c r="L31" s="8"/>
      <c r="M31" s="8"/>
      <c r="N31" s="8"/>
      <c r="O31" s="8"/>
    </row>
    <row r="32" spans="1:15">
      <c r="A32" s="8">
        <v>0.2</v>
      </c>
      <c r="B32" s="47">
        <f t="shared" ca="1" si="3"/>
        <v>110.53001280559262</v>
      </c>
      <c r="C32" s="44">
        <f t="shared" ca="1" si="7"/>
        <v>0.80859219679891403</v>
      </c>
      <c r="D32" s="52">
        <f t="shared" ca="1" si="5"/>
        <v>1.20352901247891E-2</v>
      </c>
      <c r="E32" s="53">
        <f t="shared" ca="1" si="4"/>
        <v>1.3302607716119617</v>
      </c>
      <c r="F32" s="53">
        <f t="shared" ca="1" si="6"/>
        <v>82.940652022009175</v>
      </c>
      <c r="G32" s="52">
        <f t="shared" ca="1" si="1"/>
        <v>4.1480695320646403E-2</v>
      </c>
      <c r="H32" s="8"/>
      <c r="I32" s="44">
        <f t="shared" ca="1" si="2"/>
        <v>1.3786904786223832E-2</v>
      </c>
      <c r="J32" s="8"/>
      <c r="K32" s="8"/>
      <c r="L32" s="8"/>
      <c r="M32" s="8"/>
      <c r="N32" s="8"/>
      <c r="O32" s="8"/>
    </row>
    <row r="33" spans="1:9">
      <c r="A33" s="8">
        <v>0.21</v>
      </c>
      <c r="B33" s="47">
        <f t="shared" ca="1" si="3"/>
        <v>107.76142059007489</v>
      </c>
      <c r="C33" s="44">
        <f t="shared" ca="1" si="7"/>
        <v>0.76778935031618667</v>
      </c>
      <c r="D33" s="52">
        <f t="shared" ca="1" si="5"/>
        <v>-4.0802846482727362E-2</v>
      </c>
      <c r="E33" s="53">
        <f t="shared" ca="1" si="4"/>
        <v>-4.3969727010974413</v>
      </c>
      <c r="F33" s="53">
        <f t="shared" ca="1" si="6"/>
        <v>78.585160016232379</v>
      </c>
      <c r="G33" s="52">
        <f t="shared" ca="1" si="1"/>
        <v>3.9302404790506902E-2</v>
      </c>
      <c r="I33" s="44">
        <f t="shared" ca="1" si="2"/>
        <v>1.5936104498374022E-2</v>
      </c>
    </row>
    <row r="34" spans="1:9">
      <c r="A34" s="8">
        <v>0.22</v>
      </c>
      <c r="B34" s="47">
        <f t="shared" ca="1" si="3"/>
        <v>106.33201258953675</v>
      </c>
      <c r="C34" s="44">
        <f t="shared" ca="1" si="7"/>
        <v>0.744312894619651</v>
      </c>
      <c r="D34" s="52">
        <f t="shared" ca="1" si="5"/>
        <v>-2.347645569653567E-2</v>
      </c>
      <c r="E34" s="53">
        <f t="shared" ca="1" si="4"/>
        <v>-2.4962987826817327</v>
      </c>
      <c r="F34" s="53">
        <f t="shared" ca="1" si="6"/>
        <v>76.12816363834115</v>
      </c>
      <c r="G34" s="52">
        <f t="shared" ca="1" si="1"/>
        <v>3.8073599425820441E-2</v>
      </c>
      <c r="I34" s="44">
        <f t="shared" ca="1" si="2"/>
        <v>1.7120764557806416E-2</v>
      </c>
    </row>
    <row r="35" spans="1:9">
      <c r="A35" s="8">
        <v>0.23</v>
      </c>
      <c r="B35" s="47">
        <f t="shared" ca="1" si="3"/>
        <v>106.40238015011327</v>
      </c>
      <c r="C35" s="44">
        <f t="shared" ca="1" si="7"/>
        <v>0.74560753902238441</v>
      </c>
      <c r="D35" s="52">
        <f t="shared" ca="1" si="5"/>
        <v>1.2946444027334136E-3</v>
      </c>
      <c r="E35" s="53">
        <f t="shared" ca="1" si="4"/>
        <v>0.13775324589885701</v>
      </c>
      <c r="F35" s="53">
        <f t="shared" ca="1" si="6"/>
        <v>76.303990483665828</v>
      </c>
      <c r="G35" s="52">
        <f t="shared" ca="1" si="1"/>
        <v>3.8161534830501949E-2</v>
      </c>
      <c r="I35" s="44">
        <f t="shared" ca="1" si="2"/>
        <v>1.7174514995696236E-2</v>
      </c>
    </row>
    <row r="36" spans="1:9">
      <c r="A36" s="8">
        <v>0.24</v>
      </c>
      <c r="B36" s="47">
        <f t="shared" ca="1" si="3"/>
        <v>104.69202215122777</v>
      </c>
      <c r="C36" s="44">
        <f t="shared" ca="1" si="7"/>
        <v>0.71501866964943028</v>
      </c>
      <c r="D36" s="52">
        <f t="shared" ca="1" si="5"/>
        <v>-3.0588869372954131E-2</v>
      </c>
      <c r="E36" s="53">
        <f t="shared" ca="1" si="4"/>
        <v>-3.2024105899743267</v>
      </c>
      <c r="F36" s="53">
        <f t="shared" ca="1" si="6"/>
        <v>73.139741428522015</v>
      </c>
      <c r="G36" s="52">
        <f t="shared" ca="1" si="1"/>
        <v>3.6579014705868329E-2</v>
      </c>
      <c r="I36" s="44">
        <f t="shared" ca="1" si="2"/>
        <v>1.8598440684647249E-2</v>
      </c>
    </row>
    <row r="37" spans="1:9">
      <c r="A37" s="8">
        <v>0.25</v>
      </c>
      <c r="B37" s="47">
        <f t="shared" ca="1" si="3"/>
        <v>105.91139460024294</v>
      </c>
      <c r="C37" s="44">
        <f t="shared" ca="1" si="7"/>
        <v>0.73718687330288357</v>
      </c>
      <c r="D37" s="52">
        <f t="shared" ca="1" si="5"/>
        <v>2.2168203653453289E-2</v>
      </c>
      <c r="E37" s="53">
        <f t="shared" ca="1" si="4"/>
        <v>2.3478653647194387</v>
      </c>
      <c r="F37" s="53">
        <f t="shared" ca="1" si="6"/>
        <v>75.524185807947319</v>
      </c>
      <c r="G37" s="52">
        <f t="shared" ca="1" si="1"/>
        <v>3.7771535000810333E-2</v>
      </c>
      <c r="I37" s="44">
        <f t="shared" ca="1" si="2"/>
        <v>1.7779978746961619E-2</v>
      </c>
    </row>
    <row r="38" spans="1:9">
      <c r="A38" s="8">
        <v>0.26</v>
      </c>
      <c r="B38" s="47">
        <f t="shared" ca="1" si="3"/>
        <v>107.75147673740189</v>
      </c>
      <c r="C38" s="44">
        <f t="shared" ca="1" si="7"/>
        <v>0.76883575281626026</v>
      </c>
      <c r="D38" s="52">
        <f t="shared" ca="1" si="5"/>
        <v>3.1648879513376693E-2</v>
      </c>
      <c r="E38" s="53">
        <f t="shared" ca="1" si="4"/>
        <v>3.4102135046504438</v>
      </c>
      <c r="F38" s="53">
        <f t="shared" ca="1" si="6"/>
        <v>78.972170847598576</v>
      </c>
      <c r="G38" s="52">
        <f t="shared" ca="1" si="1"/>
        <v>3.9495958590607623E-2</v>
      </c>
      <c r="I38" s="44">
        <f t="shared" ca="1" si="2"/>
        <v>1.6425814918013065E-2</v>
      </c>
    </row>
    <row r="39" spans="1:9">
      <c r="A39" s="8">
        <v>0.27</v>
      </c>
      <c r="B39" s="47">
        <f t="shared" ca="1" si="3"/>
        <v>107.1658892242792</v>
      </c>
      <c r="C39" s="44">
        <f t="shared" ca="1" si="7"/>
        <v>0.75929870327408777</v>
      </c>
      <c r="D39" s="52">
        <f t="shared" ca="1" si="5"/>
        <v>-9.5370495421724932E-3</v>
      </c>
      <c r="E39" s="53">
        <f t="shared" ca="1" si="4"/>
        <v>-1.0220463947629201</v>
      </c>
      <c r="F39" s="53">
        <f t="shared" ca="1" si="6"/>
        <v>77.989620411426259</v>
      </c>
      <c r="G39" s="52">
        <f t="shared" ca="1" si="1"/>
        <v>3.9004560533244664E-2</v>
      </c>
      <c r="I39" s="44">
        <f t="shared" ca="1" si="2"/>
        <v>1.7003004824072944E-2</v>
      </c>
    </row>
    <row r="40" spans="1:9">
      <c r="A40" s="8">
        <v>0.28000000000000003</v>
      </c>
      <c r="B40" s="47">
        <f t="shared" ca="1" si="3"/>
        <v>108.47231649329905</v>
      </c>
      <c r="C40" s="44">
        <f t="shared" ca="1" si="7"/>
        <v>0.7811833950778132</v>
      </c>
      <c r="D40" s="52">
        <f t="shared" ca="1" si="5"/>
        <v>2.1884691803725431E-2</v>
      </c>
      <c r="E40" s="53">
        <f t="shared" ca="1" si="4"/>
        <v>2.3738832156920124</v>
      </c>
      <c r="F40" s="53">
        <f t="shared" ca="1" si="6"/>
        <v>80.40250818765152</v>
      </c>
      <c r="G40" s="52">
        <f t="shared" ca="1" si="1"/>
        <v>4.0211306082603898E-2</v>
      </c>
      <c r="I40" s="44">
        <f t="shared" ca="1" si="2"/>
        <v>1.6034965702294228E-2</v>
      </c>
    </row>
    <row r="41" spans="1:9">
      <c r="A41" s="8">
        <v>0.28999999999999998</v>
      </c>
      <c r="B41" s="47">
        <f t="shared" ca="1" si="3"/>
        <v>107.93616350301377</v>
      </c>
      <c r="C41" s="44">
        <f t="shared" ca="1" si="7"/>
        <v>0.77279609664586157</v>
      </c>
      <c r="D41" s="52">
        <f t="shared" ca="1" si="5"/>
        <v>-8.3872984319516286E-3</v>
      </c>
      <c r="E41" s="53">
        <f t="shared" ca="1" si="4"/>
        <v>-0.90529281489970204</v>
      </c>
      <c r="F41" s="53">
        <f t="shared" ca="1" si="6"/>
        <v>79.537426678834422</v>
      </c>
      <c r="G41" s="52">
        <f t="shared" ca="1" si="1"/>
        <v>3.9778657174982031E-2</v>
      </c>
      <c r="I41" s="44">
        <f t="shared" ca="1" si="2"/>
        <v>1.6579103847198583E-2</v>
      </c>
    </row>
    <row r="42" spans="1:9">
      <c r="A42" s="8">
        <v>0.3</v>
      </c>
      <c r="B42" s="47">
        <f t="shared" ca="1" si="3"/>
        <v>108.54166475524566</v>
      </c>
      <c r="C42" s="44">
        <f t="shared" ca="1" si="7"/>
        <v>0.78308640979783439</v>
      </c>
      <c r="D42" s="52">
        <f t="shared" ca="1" si="5"/>
        <v>1.0290313151972819E-2</v>
      </c>
      <c r="E42" s="53">
        <f t="shared" ca="1" si="4"/>
        <v>1.1169277203679291</v>
      </c>
      <c r="F42" s="53">
        <f t="shared" ca="1" si="6"/>
        <v>80.694133056377325</v>
      </c>
      <c r="G42" s="52">
        <f t="shared" ca="1" si="1"/>
        <v>4.0357154976151638E-2</v>
      </c>
      <c r="I42" s="44">
        <f t="shared" ca="1" si="2"/>
        <v>1.617036720550161E-2</v>
      </c>
    </row>
    <row r="43" spans="1:9">
      <c r="A43" s="8">
        <v>0.31</v>
      </c>
      <c r="B43" s="47">
        <f t="shared" ca="1" si="3"/>
        <v>111.30412282693649</v>
      </c>
      <c r="C43" s="44">
        <f t="shared" ca="1" si="7"/>
        <v>0.82520240021396174</v>
      </c>
      <c r="D43" s="52">
        <f t="shared" ca="1" si="5"/>
        <v>4.2115990416127347E-2</v>
      </c>
      <c r="E43" s="53">
        <f t="shared" ca="1" si="4"/>
        <v>4.6876833702547183</v>
      </c>
      <c r="F43" s="53">
        <f t="shared" ca="1" si="6"/>
        <v>85.422173581608192</v>
      </c>
      <c r="G43" s="52">
        <f t="shared" ca="1" si="1"/>
        <v>4.2721766342345473E-2</v>
      </c>
      <c r="I43" s="44">
        <f t="shared" ca="1" si="2"/>
        <v>1.3930174350770416E-2</v>
      </c>
    </row>
    <row r="44" spans="1:9">
      <c r="A44" s="8">
        <v>0.32</v>
      </c>
      <c r="B44" s="47">
        <f t="shared" ca="1" si="3"/>
        <v>109.0568492073275</v>
      </c>
      <c r="C44" s="44">
        <f t="shared" ca="1" si="7"/>
        <v>0.79226579028243127</v>
      </c>
      <c r="D44" s="52">
        <f t="shared" ca="1" si="5"/>
        <v>-3.2936609931530469E-2</v>
      </c>
      <c r="E44" s="53">
        <f t="shared" ca="1" si="4"/>
        <v>-3.5919629027034836</v>
      </c>
      <c r="F44" s="53">
        <f t="shared" ca="1" si="6"/>
        <v>81.872932445247045</v>
      </c>
      <c r="G44" s="52">
        <f t="shared" ref="G44:G75" ca="1" si="8">F44*(EXP(DH_Rate*DH_dt)-1)</f>
        <v>4.0946702045071399E-2</v>
      </c>
      <c r="I44" s="44">
        <f t="shared" ref="I44:I75" ca="1" si="9">CallGamma(B44,$B$4,0,$B$3,$B$2,$B$5-A44)</f>
        <v>1.5921459682939561E-2</v>
      </c>
    </row>
    <row r="45" spans="1:9">
      <c r="A45" s="8">
        <v>0.33</v>
      </c>
      <c r="B45" s="47">
        <f t="shared" ref="B45:B76" ca="1" si="10">B44*EXP(($B$3-0.5*$B$4^2)*$A$13+$B$4*NORMSINV(RAND())*SQRT($A$13))</f>
        <v>110.27721601188435</v>
      </c>
      <c r="C45" s="44">
        <f t="shared" ca="1" si="7"/>
        <v>0.8116686133800064</v>
      </c>
      <c r="D45" s="52">
        <f t="shared" ca="1" si="5"/>
        <v>1.9402823097575128E-2</v>
      </c>
      <c r="E45" s="53">
        <f t="shared" ca="1" si="4"/>
        <v>2.1396893139716715</v>
      </c>
      <c r="F45" s="53">
        <f t="shared" ca="1" si="6"/>
        <v>84.053568461263794</v>
      </c>
      <c r="G45" s="52">
        <f t="shared" ca="1" si="8"/>
        <v>4.2037292678017181E-2</v>
      </c>
      <c r="I45" s="44">
        <f t="shared" ca="1" si="9"/>
        <v>1.495003244837478E-2</v>
      </c>
    </row>
    <row r="46" spans="1:9">
      <c r="A46" s="8">
        <v>0.34</v>
      </c>
      <c r="B46" s="47">
        <f t="shared" ca="1" si="10"/>
        <v>109.29054231048241</v>
      </c>
      <c r="C46" s="44">
        <f t="shared" ca="1" si="7"/>
        <v>0.79704480454520843</v>
      </c>
      <c r="D46" s="52">
        <f t="shared" ca="1" si="5"/>
        <v>-1.4623808834797969E-2</v>
      </c>
      <c r="E46" s="53">
        <f t="shared" ca="1" si="4"/>
        <v>-1.5982439981998939</v>
      </c>
      <c r="F46" s="53">
        <f t="shared" ca="1" si="6"/>
        <v>82.49736175574192</v>
      </c>
      <c r="G46" s="52">
        <f t="shared" ca="1" si="8"/>
        <v>4.1258994766993164E-2</v>
      </c>
      <c r="I46" s="44">
        <f t="shared" ca="1" si="9"/>
        <v>1.590493049033433E-2</v>
      </c>
    </row>
    <row r="47" spans="1:9">
      <c r="A47" s="8">
        <v>0.35</v>
      </c>
      <c r="B47" s="47">
        <f t="shared" ca="1" si="10"/>
        <v>103.13828117092359</v>
      </c>
      <c r="C47" s="44">
        <f t="shared" ca="1" si="7"/>
        <v>0.68218421343121127</v>
      </c>
      <c r="D47" s="52">
        <f t="shared" ca="1" si="5"/>
        <v>-0.11486059111399716</v>
      </c>
      <c r="E47" s="53">
        <f t="shared" ca="1" si="4"/>
        <v>-11.846523941773926</v>
      </c>
      <c r="F47" s="53">
        <f t="shared" ca="1" si="6"/>
        <v>70.692096808734988</v>
      </c>
      <c r="G47" s="52">
        <f t="shared" ca="1" si="8"/>
        <v>3.5354886389398578E-2</v>
      </c>
      <c r="I47" s="44">
        <f t="shared" ca="1" si="9"/>
        <v>2.1441428997890689E-2</v>
      </c>
    </row>
    <row r="48" spans="1:9">
      <c r="A48" s="8">
        <v>0.36</v>
      </c>
      <c r="B48" s="47">
        <f t="shared" ca="1" si="10"/>
        <v>105.27310110874564</v>
      </c>
      <c r="C48" s="44">
        <f t="shared" ca="1" si="7"/>
        <v>0.72613781500618513</v>
      </c>
      <c r="D48" s="52">
        <f t="shared" ca="1" si="5"/>
        <v>4.3953601574973855E-2</v>
      </c>
      <c r="E48" s="53">
        <f t="shared" ca="1" si="4"/>
        <v>4.627131942695744</v>
      </c>
      <c r="F48" s="53">
        <f t="shared" ca="1" si="6"/>
        <v>75.354583637820127</v>
      </c>
      <c r="G48" s="52">
        <f t="shared" ca="1" si="8"/>
        <v>3.7686712711941669E-2</v>
      </c>
      <c r="I48" s="44">
        <f t="shared" ca="1" si="9"/>
        <v>1.976940476827246E-2</v>
      </c>
    </row>
    <row r="49" spans="1:9">
      <c r="A49" s="8">
        <v>0.37</v>
      </c>
      <c r="B49" s="47">
        <f t="shared" ca="1" si="10"/>
        <v>108.33175775854983</v>
      </c>
      <c r="C49" s="44">
        <f t="shared" ca="1" si="7"/>
        <v>0.7828733660667585</v>
      </c>
      <c r="D49" s="52">
        <f t="shared" ca="1" si="5"/>
        <v>5.6735551060573375E-2</v>
      </c>
      <c r="E49" s="53">
        <f t="shared" ca="1" si="4"/>
        <v>6.1462619737918693</v>
      </c>
      <c r="F49" s="53">
        <f t="shared" ca="1" si="6"/>
        <v>81.538532324323938</v>
      </c>
      <c r="G49" s="52">
        <f t="shared" ca="1" si="8"/>
        <v>4.0779460177627215E-2</v>
      </c>
      <c r="I49" s="44">
        <f t="shared" ca="1" si="9"/>
        <v>1.7087782056060659E-2</v>
      </c>
    </row>
    <row r="50" spans="1:9">
      <c r="A50" s="8">
        <v>0.38</v>
      </c>
      <c r="B50" s="47">
        <f t="shared" ca="1" si="10"/>
        <v>108.60846984788269</v>
      </c>
      <c r="C50" s="44">
        <f t="shared" ca="1" si="7"/>
        <v>0.78813562071114196</v>
      </c>
      <c r="D50" s="52">
        <f t="shared" ca="1" si="5"/>
        <v>5.2622546443834572E-3</v>
      </c>
      <c r="E50" s="53">
        <f t="shared" ca="1" si="4"/>
        <v>0.57152542487640134</v>
      </c>
      <c r="F50" s="53">
        <f t="shared" ca="1" si="6"/>
        <v>82.150837209377968</v>
      </c>
      <c r="G50" s="52">
        <f t="shared" ca="1" si="8"/>
        <v>4.108568917102276E-2</v>
      </c>
      <c r="I50" s="44">
        <f t="shared" ca="1" si="9"/>
        <v>1.6937805675935856E-2</v>
      </c>
    </row>
    <row r="51" spans="1:9">
      <c r="A51" s="8">
        <v>0.39</v>
      </c>
      <c r="B51" s="47">
        <f t="shared" ca="1" si="10"/>
        <v>109.20333980980233</v>
      </c>
      <c r="C51" s="44">
        <f t="shared" ca="1" si="7"/>
        <v>0.79869995808343852</v>
      </c>
      <c r="D51" s="52">
        <f t="shared" ca="1" si="5"/>
        <v>1.0564337372296562E-2</v>
      </c>
      <c r="E51" s="53">
        <f t="shared" ca="1" si="4"/>
        <v>1.1536609239322957</v>
      </c>
      <c r="F51" s="53">
        <f t="shared" ca="1" si="6"/>
        <v>83.345583822481288</v>
      </c>
      <c r="G51" s="52">
        <f t="shared" ca="1" si="8"/>
        <v>4.168321184579462E-2</v>
      </c>
      <c r="I51" s="44">
        <f t="shared" ca="1" si="9"/>
        <v>1.6476218387732257E-2</v>
      </c>
    </row>
    <row r="52" spans="1:9">
      <c r="A52" s="8">
        <v>0.4</v>
      </c>
      <c r="B52" s="47">
        <f t="shared" ca="1" si="10"/>
        <v>110.11470122889715</v>
      </c>
      <c r="C52" s="44">
        <f t="shared" ca="1" si="7"/>
        <v>0.8140877119239972</v>
      </c>
      <c r="D52" s="52">
        <f t="shared" ca="1" si="5"/>
        <v>1.5387753840558682E-2</v>
      </c>
      <c r="E52" s="53">
        <f t="shared" ca="1" si="4"/>
        <v>1.694417916736934</v>
      </c>
      <c r="F52" s="53">
        <f t="shared" ca="1" si="6"/>
        <v>85.08168495106402</v>
      </c>
      <c r="G52" s="52">
        <f t="shared" ca="1" si="8"/>
        <v>4.2551479458900199E-2</v>
      </c>
      <c r="I52" s="44">
        <f t="shared" ca="1" si="9"/>
        <v>1.5695376440084074E-2</v>
      </c>
    </row>
    <row r="53" spans="1:9">
      <c r="A53" s="8">
        <v>0.41</v>
      </c>
      <c r="B53" s="47">
        <f t="shared" ca="1" si="10"/>
        <v>106.61971544111948</v>
      </c>
      <c r="C53" s="44">
        <f t="shared" ca="1" si="7"/>
        <v>0.75367006771449385</v>
      </c>
      <c r="D53" s="52">
        <f t="shared" ca="1" si="5"/>
        <v>-6.0417644209503352E-2</v>
      </c>
      <c r="E53" s="53">
        <f t="shared" ca="1" si="4"/>
        <v>-6.4417120332400479</v>
      </c>
      <c r="F53" s="53">
        <f t="shared" ca="1" si="6"/>
        <v>78.682524397282862</v>
      </c>
      <c r="G53" s="52">
        <f t="shared" ca="1" si="8"/>
        <v>3.9351099153608446E-2</v>
      </c>
      <c r="I53" s="44">
        <f t="shared" ca="1" si="9"/>
        <v>1.9248763455227892E-2</v>
      </c>
    </row>
    <row r="54" spans="1:9">
      <c r="A54" s="8">
        <v>0.42</v>
      </c>
      <c r="B54" s="47">
        <f t="shared" ca="1" si="10"/>
        <v>109.10814556054905</v>
      </c>
      <c r="C54" s="44">
        <f t="shared" ca="1" si="7"/>
        <v>0.79922246139148989</v>
      </c>
      <c r="D54" s="52">
        <f t="shared" ca="1" si="5"/>
        <v>4.5552393676996039E-2</v>
      </c>
      <c r="E54" s="53">
        <f t="shared" ca="1" si="4"/>
        <v>4.9701371999411181</v>
      </c>
      <c r="F54" s="53">
        <f t="shared" ca="1" si="6"/>
        <v>83.692012696377589</v>
      </c>
      <c r="G54" s="52">
        <f t="shared" ca="1" si="8"/>
        <v>4.1856469593570145E-2</v>
      </c>
      <c r="I54" s="44">
        <f t="shared" ca="1" si="9"/>
        <v>1.6885353251549405E-2</v>
      </c>
    </row>
    <row r="55" spans="1:9">
      <c r="A55" s="8">
        <v>0.43</v>
      </c>
      <c r="B55" s="47">
        <f t="shared" ca="1" si="10"/>
        <v>110.22103995940515</v>
      </c>
      <c r="C55" s="44">
        <f t="shared" ca="1" si="7"/>
        <v>0.81825788715117809</v>
      </c>
      <c r="D55" s="52">
        <f t="shared" ca="1" si="5"/>
        <v>1.9035425759688196E-2</v>
      </c>
      <c r="E55" s="53">
        <f t="shared" ca="1" si="4"/>
        <v>2.0981044233028827</v>
      </c>
      <c r="F55" s="53">
        <f t="shared" ca="1" si="6"/>
        <v>85.831973589274043</v>
      </c>
      <c r="G55" s="52">
        <f t="shared" ca="1" si="8"/>
        <v>4.2926717579717888E-2</v>
      </c>
      <c r="I55" s="44">
        <f t="shared" ca="1" si="9"/>
        <v>1.5861848985098848E-2</v>
      </c>
    </row>
    <row r="56" spans="1:9">
      <c r="A56" s="8">
        <v>0.44</v>
      </c>
      <c r="B56" s="47">
        <f t="shared" ca="1" si="10"/>
        <v>107.84149108433945</v>
      </c>
      <c r="C56" s="44">
        <f t="shared" ca="1" si="7"/>
        <v>0.77825713326346546</v>
      </c>
      <c r="D56" s="52">
        <f t="shared" ca="1" si="5"/>
        <v>-4.0000753887712626E-2</v>
      </c>
      <c r="E56" s="53">
        <f t="shared" ca="1" si="4"/>
        <v>-4.3137409437486181</v>
      </c>
      <c r="F56" s="53">
        <f t="shared" ca="1" si="6"/>
        <v>81.561159363105148</v>
      </c>
      <c r="G56" s="52">
        <f t="shared" ca="1" si="8"/>
        <v>4.0790776525869127E-2</v>
      </c>
      <c r="I56" s="44">
        <f t="shared" ca="1" si="9"/>
        <v>1.8428128239811093E-2</v>
      </c>
    </row>
    <row r="57" spans="1:9">
      <c r="A57" s="8">
        <v>0.45</v>
      </c>
      <c r="B57" s="47">
        <f t="shared" ca="1" si="10"/>
        <v>105.86635104725127</v>
      </c>
      <c r="C57" s="44">
        <f t="shared" ca="1" si="7"/>
        <v>0.74018313503924993</v>
      </c>
      <c r="D57" s="52">
        <f t="shared" ca="1" si="5"/>
        <v>-3.8073998224215533E-2</v>
      </c>
      <c r="E57" s="53">
        <f t="shared" ca="1" si="4"/>
        <v>-4.0307552617772231</v>
      </c>
      <c r="F57" s="53">
        <f t="shared" ca="1" si="6"/>
        <v>77.571194877853799</v>
      </c>
      <c r="G57" s="52">
        <f t="shared" ca="1" si="8"/>
        <v>3.879529545454849E-2</v>
      </c>
      <c r="I57" s="44">
        <f t="shared" ca="1" si="9"/>
        <v>2.0649388867166465E-2</v>
      </c>
    </row>
    <row r="58" spans="1:9">
      <c r="A58" s="8">
        <v>0.46</v>
      </c>
      <c r="B58" s="47">
        <f t="shared" ca="1" si="10"/>
        <v>103.68850345144801</v>
      </c>
      <c r="C58" s="44">
        <f t="shared" ca="1" si="7"/>
        <v>0.69274616114080967</v>
      </c>
      <c r="D58" s="52">
        <f t="shared" ca="1" si="5"/>
        <v>-4.743697389844026E-2</v>
      </c>
      <c r="E58" s="53">
        <f t="shared" ca="1" si="4"/>
        <v>-4.9186688317946725</v>
      </c>
      <c r="F58" s="53">
        <f t="shared" ca="1" si="6"/>
        <v>72.691321341513671</v>
      </c>
      <c r="G58" s="52">
        <f t="shared" ca="1" si="8"/>
        <v>3.6354748600510065E-2</v>
      </c>
      <c r="I58" s="44">
        <f t="shared" ca="1" si="9"/>
        <v>2.3060589375359753E-2</v>
      </c>
    </row>
    <row r="59" spans="1:9">
      <c r="A59" s="8">
        <v>0.47</v>
      </c>
      <c r="B59" s="47">
        <f t="shared" ca="1" si="10"/>
        <v>100.4378767986374</v>
      </c>
      <c r="C59" s="44">
        <f t="shared" ca="1" si="7"/>
        <v>0.61210572953835463</v>
      </c>
      <c r="D59" s="52">
        <f t="shared" ca="1" si="5"/>
        <v>-8.0640431602455043E-2</v>
      </c>
      <c r="E59" s="53">
        <f t="shared" ca="1" si="4"/>
        <v>-8.0993537342763258</v>
      </c>
      <c r="F59" s="53">
        <f t="shared" ca="1" si="6"/>
        <v>64.628322355837867</v>
      </c>
      <c r="G59" s="52">
        <f t="shared" ca="1" si="8"/>
        <v>3.2322241064799508E-2</v>
      </c>
      <c r="I59" s="44">
        <f t="shared" ca="1" si="9"/>
        <v>2.6195707368511192E-2</v>
      </c>
    </row>
    <row r="60" spans="1:9">
      <c r="A60" s="8">
        <v>0.48</v>
      </c>
      <c r="B60" s="47">
        <f t="shared" ca="1" si="10"/>
        <v>100.61549129065985</v>
      </c>
      <c r="C60" s="44">
        <f t="shared" ca="1" si="7"/>
        <v>0.61597794916808613</v>
      </c>
      <c r="D60" s="52">
        <f t="shared" ca="1" si="5"/>
        <v>3.8722196297314992E-3</v>
      </c>
      <c r="E60" s="53">
        <f t="shared" ca="1" si="4"/>
        <v>0.38960528043077175</v>
      </c>
      <c r="F60" s="53">
        <f t="shared" ca="1" si="6"/>
        <v>65.050249877333442</v>
      </c>
      <c r="G60" s="52">
        <f t="shared" ca="1" si="8"/>
        <v>3.2533257575278703E-2</v>
      </c>
      <c r="I60" s="44">
        <f t="shared" ca="1" si="9"/>
        <v>2.6322353097843323E-2</v>
      </c>
    </row>
    <row r="61" spans="1:9">
      <c r="A61" s="8">
        <v>0.49</v>
      </c>
      <c r="B61" s="47">
        <f t="shared" ca="1" si="10"/>
        <v>100.7143137720733</v>
      </c>
      <c r="C61" s="44">
        <f t="shared" ca="1" si="7"/>
        <v>0.61782904378874559</v>
      </c>
      <c r="D61" s="52">
        <f t="shared" ca="1" si="5"/>
        <v>1.8510946206594658E-3</v>
      </c>
      <c r="E61" s="53">
        <f t="shared" ca="1" si="4"/>
        <v>0.18643172444689443</v>
      </c>
      <c r="F61" s="53">
        <f t="shared" ca="1" si="6"/>
        <v>65.269214859355614</v>
      </c>
      <c r="G61" s="52">
        <f t="shared" ca="1" si="8"/>
        <v>3.264276744147486E-2</v>
      </c>
      <c r="I61" s="44">
        <f t="shared" ca="1" si="9"/>
        <v>2.6514817602654922E-2</v>
      </c>
    </row>
    <row r="62" spans="1:9">
      <c r="A62" s="8">
        <v>0.5</v>
      </c>
      <c r="B62" s="47">
        <f t="shared" ca="1" si="10"/>
        <v>98.895375713269146</v>
      </c>
      <c r="C62" s="44">
        <f t="shared" ca="1" si="7"/>
        <v>0.56707966803262477</v>
      </c>
      <c r="D62" s="52">
        <f t="shared" ca="1" si="5"/>
        <v>-5.0749375756120818E-2</v>
      </c>
      <c r="E62" s="53">
        <f t="shared" ca="1" si="4"/>
        <v>-5.0188785826154412</v>
      </c>
      <c r="F62" s="53">
        <f t="shared" ca="1" si="6"/>
        <v>60.282979044181644</v>
      </c>
      <c r="G62" s="52">
        <f t="shared" ca="1" si="8"/>
        <v>3.0149026150518513E-2</v>
      </c>
      <c r="I62" s="44">
        <f t="shared" ca="1" si="9"/>
        <v>2.8120384304754893E-2</v>
      </c>
    </row>
    <row r="63" spans="1:9">
      <c r="A63" s="8">
        <v>0.51</v>
      </c>
      <c r="B63" s="47">
        <f t="shared" ca="1" si="10"/>
        <v>98.573639816430173</v>
      </c>
      <c r="C63" s="44">
        <f t="shared" ca="1" si="7"/>
        <v>0.55661148997593535</v>
      </c>
      <c r="D63" s="52">
        <f t="shared" ca="1" si="5"/>
        <v>-1.0468178056689426E-2</v>
      </c>
      <c r="E63" s="53">
        <f t="shared" ca="1" si="4"/>
        <v>-1.0318864132943615</v>
      </c>
      <c r="F63" s="53">
        <f t="shared" ca="1" si="6"/>
        <v>59.281241657037803</v>
      </c>
      <c r="G63" s="52">
        <f t="shared" ca="1" si="8"/>
        <v>2.9648032218901148E-2</v>
      </c>
      <c r="I63" s="44">
        <f t="shared" ca="1" si="9"/>
        <v>2.861666366070887E-2</v>
      </c>
    </row>
    <row r="64" spans="1:9">
      <c r="A64" s="8">
        <v>0.52</v>
      </c>
      <c r="B64" s="47">
        <f t="shared" ca="1" si="10"/>
        <v>96.792554018157617</v>
      </c>
      <c r="C64" s="44">
        <f t="shared" ca="1" si="7"/>
        <v>0.50287877233521716</v>
      </c>
      <c r="D64" s="52">
        <f t="shared" ca="1" si="5"/>
        <v>-5.3732717640718186E-2</v>
      </c>
      <c r="E64" s="53">
        <f t="shared" ca="1" si="4"/>
        <v>-5.200926974781626</v>
      </c>
      <c r="F64" s="53">
        <f t="shared" ca="1" si="6"/>
        <v>54.109962714475081</v>
      </c>
      <c r="G64" s="52">
        <f t="shared" ca="1" si="8"/>
        <v>2.7061746230003968E-2</v>
      </c>
      <c r="I64" s="44">
        <f t="shared" ca="1" si="9"/>
        <v>2.9744467509471417E-2</v>
      </c>
    </row>
    <row r="65" spans="1:9">
      <c r="A65" s="8">
        <v>0.53</v>
      </c>
      <c r="B65" s="47">
        <f t="shared" ca="1" si="10"/>
        <v>95.718104040150408</v>
      </c>
      <c r="C65" s="44">
        <f t="shared" ca="1" si="7"/>
        <v>0.46842692263754437</v>
      </c>
      <c r="D65" s="52">
        <f t="shared" ca="1" si="5"/>
        <v>-3.4451849697672787E-2</v>
      </c>
      <c r="E65" s="53">
        <f t="shared" ca="1" si="4"/>
        <v>-3.2976657337374684</v>
      </c>
      <c r="F65" s="53">
        <f t="shared" ca="1" si="6"/>
        <v>50.839358726967617</v>
      </c>
      <c r="G65" s="52">
        <f t="shared" ca="1" si="8"/>
        <v>2.5426035342605981E-2</v>
      </c>
      <c r="I65" s="44">
        <f t="shared" ca="1" si="9"/>
        <v>3.0302197492888271E-2</v>
      </c>
    </row>
    <row r="66" spans="1:9">
      <c r="A66" s="8">
        <v>0.54</v>
      </c>
      <c r="B66" s="47">
        <f t="shared" ca="1" si="10"/>
        <v>95.520530605763099</v>
      </c>
      <c r="C66" s="44">
        <f t="shared" ca="1" si="7"/>
        <v>0.45998388384432343</v>
      </c>
      <c r="D66" s="52">
        <f t="shared" ca="1" si="5"/>
        <v>-8.4430387932209472E-3</v>
      </c>
      <c r="E66" s="53">
        <f t="shared" ca="1" si="4"/>
        <v>-0.80648354545350665</v>
      </c>
      <c r="F66" s="53">
        <f t="shared" ca="1" si="6"/>
        <v>50.058301216856712</v>
      </c>
      <c r="G66" s="52">
        <f t="shared" ca="1" si="8"/>
        <v>2.5035408939087768E-2</v>
      </c>
      <c r="I66" s="44">
        <f t="shared" ca="1" si="9"/>
        <v>3.06346072593629E-2</v>
      </c>
    </row>
    <row r="67" spans="1:9">
      <c r="A67" s="8">
        <v>0.55000000000000004</v>
      </c>
      <c r="B67" s="47">
        <f t="shared" ca="1" si="10"/>
        <v>95.432962172581512</v>
      </c>
      <c r="C67" s="44">
        <f t="shared" ca="1" si="7"/>
        <v>0.4547622935629031</v>
      </c>
      <c r="D67" s="52">
        <f t="shared" ca="1" si="5"/>
        <v>-5.2215902814203297E-3</v>
      </c>
      <c r="E67" s="53">
        <f t="shared" ca="1" si="4"/>
        <v>-0.49831182780750555</v>
      </c>
      <c r="F67" s="53">
        <f t="shared" ca="1" si="6"/>
        <v>49.585024797988297</v>
      </c>
      <c r="G67" s="52">
        <f t="shared" ca="1" si="8"/>
        <v>2.4798711560240085E-2</v>
      </c>
      <c r="I67" s="44">
        <f t="shared" ca="1" si="9"/>
        <v>3.0957883100665547E-2</v>
      </c>
    </row>
    <row r="68" spans="1:9">
      <c r="A68" s="8">
        <v>0.56000000000000005</v>
      </c>
      <c r="B68" s="47">
        <f t="shared" ca="1" si="10"/>
        <v>96.555528782502194</v>
      </c>
      <c r="C68" s="44">
        <f t="shared" ca="1" si="7"/>
        <v>0.48721602967224698</v>
      </c>
      <c r="D68" s="52">
        <f t="shared" ca="1" si="5"/>
        <v>3.2453736109343878E-2</v>
      </c>
      <c r="E68" s="53">
        <f t="shared" ca="1" si="4"/>
        <v>3.1335876510054836</v>
      </c>
      <c r="F68" s="53">
        <f t="shared" ca="1" si="6"/>
        <v>52.743411160554018</v>
      </c>
      <c r="G68" s="52">
        <f t="shared" ca="1" si="8"/>
        <v>2.6378299605625932E-2</v>
      </c>
      <c r="I68" s="44">
        <f t="shared" ca="1" si="9"/>
        <v>3.1128166056668401E-2</v>
      </c>
    </row>
    <row r="69" spans="1:9">
      <c r="A69" s="8">
        <v>0.56999999999999995</v>
      </c>
      <c r="B69" s="47">
        <f t="shared" ca="1" si="10"/>
        <v>97.529716753950737</v>
      </c>
      <c r="C69" s="44">
        <f t="shared" ca="1" si="7"/>
        <v>0.51547015186447753</v>
      </c>
      <c r="D69" s="52">
        <f t="shared" ca="1" si="5"/>
        <v>2.8254122192230557E-2</v>
      </c>
      <c r="E69" s="53">
        <f t="shared" ca="1" si="4"/>
        <v>2.7556165345397599</v>
      </c>
      <c r="F69" s="53">
        <f t="shared" ca="1" si="6"/>
        <v>55.525405994699405</v>
      </c>
      <c r="G69" s="52">
        <f t="shared" ca="1" si="8"/>
        <v>2.7769644830018123E-2</v>
      </c>
      <c r="I69" s="44">
        <f t="shared" ca="1" si="9"/>
        <v>3.1166080752502962E-2</v>
      </c>
    </row>
    <row r="70" spans="1:9">
      <c r="A70" s="8">
        <v>0.57999999999999996</v>
      </c>
      <c r="B70" s="47">
        <f t="shared" ca="1" si="10"/>
        <v>96.512787276172801</v>
      </c>
      <c r="C70" s="44">
        <f t="shared" ca="1" si="7"/>
        <v>0.4812480052680298</v>
      </c>
      <c r="D70" s="52">
        <f t="shared" ca="1" si="5"/>
        <v>-3.4222146596447733E-2</v>
      </c>
      <c r="E70" s="53">
        <f t="shared" ca="1" si="4"/>
        <v>-3.302874754596961</v>
      </c>
      <c r="F70" s="53">
        <f t="shared" ca="1" si="6"/>
        <v>52.250300884932457</v>
      </c>
      <c r="G70" s="52">
        <f t="shared" ca="1" si="8"/>
        <v>2.6131682818756326E-2</v>
      </c>
      <c r="I70" s="44">
        <f t="shared" ca="1" si="9"/>
        <v>3.1855942179731651E-2</v>
      </c>
    </row>
    <row r="71" spans="1:9">
      <c r="A71" s="8">
        <v>0.59</v>
      </c>
      <c r="B71" s="47">
        <f t="shared" ca="1" si="10"/>
        <v>98.314451137802422</v>
      </c>
      <c r="C71" s="44">
        <f t="shared" ca="1" si="7"/>
        <v>0.53640005218313846</v>
      </c>
      <c r="D71" s="52">
        <f t="shared" ca="1" si="5"/>
        <v>5.5152046915108666E-2</v>
      </c>
      <c r="E71" s="53">
        <f t="shared" ca="1" si="4"/>
        <v>5.4222432215852381</v>
      </c>
      <c r="F71" s="53">
        <f t="shared" ca="1" si="6"/>
        <v>57.698675789336455</v>
      </c>
      <c r="G71" s="52">
        <f t="shared" ca="1" si="8"/>
        <v>2.8856551431342903E-2</v>
      </c>
      <c r="I71" s="44">
        <f t="shared" ca="1" si="9"/>
        <v>3.1554260639875917E-2</v>
      </c>
    </row>
    <row r="72" spans="1:9">
      <c r="A72" s="8">
        <v>0.6</v>
      </c>
      <c r="B72" s="47">
        <f t="shared" ca="1" si="10"/>
        <v>99.57096698639748</v>
      </c>
      <c r="C72" s="44">
        <f t="shared" ca="1" si="7"/>
        <v>0.57431409762089125</v>
      </c>
      <c r="D72" s="52">
        <f t="shared" ca="1" si="5"/>
        <v>3.7914045437752786E-2</v>
      </c>
      <c r="E72" s="53">
        <f t="shared" ca="1" si="4"/>
        <v>3.7751381666032566</v>
      </c>
      <c r="F72" s="53">
        <f t="shared" ca="1" si="6"/>
        <v>61.502670507371057</v>
      </c>
      <c r="G72" s="52">
        <f t="shared" ca="1" si="8"/>
        <v>3.0759024368959428E-2</v>
      </c>
      <c r="I72" s="44">
        <f t="shared" ca="1" si="9"/>
        <v>3.1123897810954291E-2</v>
      </c>
    </row>
    <row r="73" spans="1:9">
      <c r="A73" s="8">
        <v>0.61</v>
      </c>
      <c r="B73" s="47">
        <f t="shared" ca="1" si="10"/>
        <v>99.257003383172901</v>
      </c>
      <c r="C73" s="44">
        <f t="shared" ca="1" si="7"/>
        <v>0.56311258568202949</v>
      </c>
      <c r="D73" s="52">
        <f t="shared" ca="1" si="5"/>
        <v>-1.1201511938861763E-2</v>
      </c>
      <c r="E73" s="53">
        <f t="shared" ca="1" si="4"/>
        <v>-1.1118285084122537</v>
      </c>
      <c r="F73" s="53">
        <f t="shared" ca="1" si="6"/>
        <v>60.421601023327767</v>
      </c>
      <c r="G73" s="52">
        <f t="shared" ca="1" si="8"/>
        <v>3.0218354470727272E-2</v>
      </c>
      <c r="I73" s="44">
        <f t="shared" ca="1" si="9"/>
        <v>3.1776509872147522E-2</v>
      </c>
    </row>
    <row r="74" spans="1:9">
      <c r="A74" s="8">
        <v>0.62</v>
      </c>
      <c r="B74" s="47">
        <f t="shared" ca="1" si="10"/>
        <v>97.208699114899275</v>
      </c>
      <c r="C74" s="44">
        <f t="shared" ca="1" si="7"/>
        <v>0.49446690882099498</v>
      </c>
      <c r="D74" s="52">
        <f t="shared" ca="1" si="5"/>
        <v>-6.864567686103451E-2</v>
      </c>
      <c r="E74" s="53">
        <f t="shared" ca="1" si="4"/>
        <v>-6.6729569475229074</v>
      </c>
      <c r="F74" s="53">
        <f t="shared" ca="1" si="6"/>
        <v>53.778862430275588</v>
      </c>
      <c r="G74" s="52">
        <f t="shared" ca="1" si="8"/>
        <v>2.6896154693469943E-2</v>
      </c>
      <c r="I74" s="44">
        <f t="shared" ca="1" si="9"/>
        <v>3.3284448967258747E-2</v>
      </c>
    </row>
    <row r="75" spans="1:9">
      <c r="A75" s="8">
        <v>0.63</v>
      </c>
      <c r="B75" s="47">
        <f t="shared" ca="1" si="10"/>
        <v>95.373372762075149</v>
      </c>
      <c r="C75" s="44">
        <f t="shared" ca="1" si="7"/>
        <v>0.42995508085959722</v>
      </c>
      <c r="D75" s="52">
        <f t="shared" ca="1" si="5"/>
        <v>-6.4511827961397761E-2</v>
      </c>
      <c r="E75" s="53">
        <f t="shared" ca="1" si="4"/>
        <v>-6.1527106157252511</v>
      </c>
      <c r="F75" s="53">
        <f t="shared" ca="1" si="6"/>
        <v>47.653047969243801</v>
      </c>
      <c r="G75" s="52">
        <f t="shared" ca="1" si="8"/>
        <v>2.3832481608509863E-2</v>
      </c>
      <c r="I75" s="44">
        <f t="shared" ca="1" si="9"/>
        <v>3.3852311121826101E-2</v>
      </c>
    </row>
    <row r="76" spans="1:9">
      <c r="A76" s="8">
        <v>0.64</v>
      </c>
      <c r="B76" s="47">
        <f t="shared" ca="1" si="10"/>
        <v>95.820681280083676</v>
      </c>
      <c r="C76" s="44">
        <f t="shared" ca="1" si="7"/>
        <v>0.44205394495690686</v>
      </c>
      <c r="D76" s="52">
        <f t="shared" ca="1" si="5"/>
        <v>1.2098864097309647E-2</v>
      </c>
      <c r="E76" s="53">
        <f t="shared" ca="1" si="4"/>
        <v>1.1593214005193551</v>
      </c>
      <c r="F76" s="53">
        <f t="shared" ca="1" si="6"/>
        <v>48.836201851371662</v>
      </c>
      <c r="G76" s="52">
        <f t="shared" ref="G76:G107" ca="1" si="11">F76*(EXP(DH_Rate*DH_dt)-1)</f>
        <v>2.4424206468461076E-2</v>
      </c>
      <c r="I76" s="44">
        <f t="shared" ref="I76:I111" ca="1" si="12">CallGamma(B76,$B$4,0,$B$3,$B$2,$B$5-A76)</f>
        <v>3.4328579207167205E-2</v>
      </c>
    </row>
    <row r="77" spans="1:9">
      <c r="A77" s="8">
        <v>0.65</v>
      </c>
      <c r="B77" s="47">
        <f t="shared" ref="B77:B112" ca="1" si="13">B76*EXP(($B$3-0.5*$B$4^2)*$A$13+$B$4*NORMSINV(RAND())*SQRT($A$13))</f>
        <v>100.61594988583515</v>
      </c>
      <c r="C77" s="44">
        <f t="shared" ca="1" si="7"/>
        <v>0.60216704089773676</v>
      </c>
      <c r="D77" s="52">
        <f t="shared" ca="1" si="5"/>
        <v>0.1601130959408299</v>
      </c>
      <c r="E77" s="53">
        <f t="shared" ref="E77:E112" ca="1" si="14">D77*B77</f>
        <v>16.109931237248457</v>
      </c>
      <c r="F77" s="53">
        <f t="shared" ca="1" si="6"/>
        <v>64.970557295088582</v>
      </c>
      <c r="G77" s="52">
        <f t="shared" ca="1" si="11"/>
        <v>3.2493401320923029E-2</v>
      </c>
      <c r="I77" s="44">
        <f t="shared" ca="1" si="12"/>
        <v>3.240538764294694E-2</v>
      </c>
    </row>
    <row r="78" spans="1:9">
      <c r="A78" s="8">
        <v>0.66</v>
      </c>
      <c r="B78" s="47">
        <f t="shared" ca="1" si="13"/>
        <v>102.23517745766348</v>
      </c>
      <c r="C78" s="44">
        <f t="shared" ref="C78:C111" ca="1" si="15">CallDelta(B78,$B$4,0,$B$3,$B$2,$B$5-A78)</f>
        <v>0.65307563025330995</v>
      </c>
      <c r="D78" s="52">
        <f t="shared" ref="D78:D111" ca="1" si="16">(C78-C77)*$B$6</f>
        <v>5.0908589355573186E-2</v>
      </c>
      <c r="E78" s="53">
        <f t="shared" ca="1" si="14"/>
        <v>5.2046486668863432</v>
      </c>
      <c r="F78" s="53">
        <f t="shared" ref="F78:F112" ca="1" si="17">F77+G77+E78</f>
        <v>70.207699363295845</v>
      </c>
      <c r="G78" s="52">
        <f t="shared" ca="1" si="11"/>
        <v>3.5112627106905499E-2</v>
      </c>
      <c r="I78" s="44">
        <f t="shared" ca="1" si="12"/>
        <v>3.0966575357326807E-2</v>
      </c>
    </row>
    <row r="79" spans="1:9">
      <c r="A79" s="8">
        <v>0.67</v>
      </c>
      <c r="B79" s="47">
        <f t="shared" ca="1" si="13"/>
        <v>99.620819569483047</v>
      </c>
      <c r="C79" s="44">
        <f t="shared" ca="1" si="15"/>
        <v>0.56670582083826626</v>
      </c>
      <c r="D79" s="52">
        <f t="shared" ca="1" si="16"/>
        <v>-8.6369809415043686E-2</v>
      </c>
      <c r="E79" s="53">
        <f t="shared" ca="1" si="14"/>
        <v>-8.6042311999867049</v>
      </c>
      <c r="F79" s="53">
        <f t="shared" ca="1" si="17"/>
        <v>61.63858079041605</v>
      </c>
      <c r="G79" s="52">
        <f t="shared" ca="1" si="11"/>
        <v>3.0826996502099111E-2</v>
      </c>
      <c r="I79" s="44">
        <f t="shared" ca="1" si="12"/>
        <v>3.436724358197972E-2</v>
      </c>
    </row>
    <row r="80" spans="1:9">
      <c r="A80" s="8">
        <v>0.68</v>
      </c>
      <c r="B80" s="47">
        <f t="shared" ca="1" si="13"/>
        <v>97.401448271872809</v>
      </c>
      <c r="C80" s="44">
        <f t="shared" ca="1" si="15"/>
        <v>0.48614797544494504</v>
      </c>
      <c r="D80" s="52">
        <f t="shared" ca="1" si="16"/>
        <v>-8.0557845393321226E-2</v>
      </c>
      <c r="E80" s="53">
        <f t="shared" ca="1" si="14"/>
        <v>-7.8464508109711044</v>
      </c>
      <c r="F80" s="53">
        <f t="shared" ca="1" si="17"/>
        <v>53.822956975947044</v>
      </c>
      <c r="G80" s="52">
        <f t="shared" ca="1" si="11"/>
        <v>2.6918207479042625E-2</v>
      </c>
      <c r="I80" s="44">
        <f t="shared" ca="1" si="12"/>
        <v>3.618076725993883E-2</v>
      </c>
    </row>
    <row r="81" spans="1:9">
      <c r="A81" s="8">
        <v>0.69</v>
      </c>
      <c r="B81" s="47">
        <f t="shared" ca="1" si="13"/>
        <v>97.613271079564043</v>
      </c>
      <c r="C81" s="44">
        <f t="shared" ca="1" si="15"/>
        <v>0.49119918354166625</v>
      </c>
      <c r="D81" s="52">
        <f t="shared" ca="1" si="16"/>
        <v>5.0512080967212158E-3</v>
      </c>
      <c r="E81" s="53">
        <f t="shared" ca="1" si="14"/>
        <v>0.49306494522453681</v>
      </c>
      <c r="F81" s="53">
        <f t="shared" ca="1" si="17"/>
        <v>54.342940128650625</v>
      </c>
      <c r="G81" s="52">
        <f t="shared" ca="1" si="11"/>
        <v>2.7178264064122794E-2</v>
      </c>
      <c r="I81" s="44">
        <f t="shared" ca="1" si="12"/>
        <v>3.6693122209958171E-2</v>
      </c>
    </row>
    <row r="82" spans="1:9">
      <c r="A82" s="8">
        <v>0.7</v>
      </c>
      <c r="B82" s="47">
        <f t="shared" ca="1" si="13"/>
        <v>98.45096363765569</v>
      </c>
      <c r="C82" s="44">
        <f t="shared" ca="1" si="15"/>
        <v>0.51961580571112564</v>
      </c>
      <c r="D82" s="52">
        <f t="shared" ca="1" si="16"/>
        <v>2.8416622169459393E-2</v>
      </c>
      <c r="E82" s="53">
        <f t="shared" ca="1" si="14"/>
        <v>2.7976438359104474</v>
      </c>
      <c r="F82" s="53">
        <f t="shared" ca="1" si="17"/>
        <v>57.1677622286252</v>
      </c>
      <c r="G82" s="52">
        <f t="shared" ca="1" si="11"/>
        <v>2.8591028275730151E-2</v>
      </c>
      <c r="I82" s="44">
        <f t="shared" ca="1" si="12"/>
        <v>3.6946565271646983E-2</v>
      </c>
    </row>
    <row r="83" spans="1:9">
      <c r="A83" s="8">
        <v>0.71</v>
      </c>
      <c r="B83" s="47">
        <f t="shared" ca="1" si="13"/>
        <v>98.526799907901619</v>
      </c>
      <c r="C83" s="44">
        <f t="shared" ca="1" si="15"/>
        <v>0.52020981638307939</v>
      </c>
      <c r="D83" s="52">
        <f t="shared" ca="1" si="16"/>
        <v>5.9401067195374857E-4</v>
      </c>
      <c r="E83" s="53">
        <f t="shared" ca="1" si="14"/>
        <v>5.8525970618745177E-2</v>
      </c>
      <c r="F83" s="53">
        <f t="shared" ca="1" si="17"/>
        <v>57.254879227519673</v>
      </c>
      <c r="G83" s="52">
        <f t="shared" ca="1" si="11"/>
        <v>2.8634597666617408E-2</v>
      </c>
      <c r="I83" s="44">
        <f t="shared" ca="1" si="12"/>
        <v>3.7546457052023537E-2</v>
      </c>
    </row>
    <row r="84" spans="1:9">
      <c r="A84" s="8">
        <v>0.72</v>
      </c>
      <c r="B84" s="47">
        <f t="shared" ca="1" si="13"/>
        <v>95.881065877545538</v>
      </c>
      <c r="C84" s="44">
        <f t="shared" ca="1" si="15"/>
        <v>0.41595886837291118</v>
      </c>
      <c r="D84" s="52">
        <f t="shared" ca="1" si="16"/>
        <v>-0.10425094801016821</v>
      </c>
      <c r="E84" s="53">
        <f t="shared" ca="1" si="14"/>
        <v>-9.9956920139595127</v>
      </c>
      <c r="F84" s="53">
        <f t="shared" ca="1" si="17"/>
        <v>47.287821811226777</v>
      </c>
      <c r="G84" s="52">
        <f t="shared" ca="1" si="11"/>
        <v>2.36498228686218E-2</v>
      </c>
      <c r="I84" s="44">
        <f t="shared" ca="1" si="12"/>
        <v>3.8440265434182802E-2</v>
      </c>
    </row>
    <row r="85" spans="1:9">
      <c r="A85" s="8">
        <v>0.73</v>
      </c>
      <c r="B85" s="47">
        <f t="shared" ca="1" si="13"/>
        <v>99.617016040033292</v>
      </c>
      <c r="C85" s="44">
        <f t="shared" ca="1" si="15"/>
        <v>0.55762166226393139</v>
      </c>
      <c r="D85" s="52">
        <f t="shared" ca="1" si="16"/>
        <v>0.14166279389102021</v>
      </c>
      <c r="E85" s="53">
        <f t="shared" ca="1" si="14"/>
        <v>14.11202481131769</v>
      </c>
      <c r="F85" s="53">
        <f t="shared" ca="1" si="17"/>
        <v>61.423496445413086</v>
      </c>
      <c r="G85" s="52">
        <f t="shared" ca="1" si="11"/>
        <v>3.0719427439573038E-2</v>
      </c>
      <c r="I85" s="44">
        <f t="shared" ca="1" si="12"/>
        <v>3.8133160221670265E-2</v>
      </c>
    </row>
    <row r="86" spans="1:9">
      <c r="A86" s="8">
        <v>0.74</v>
      </c>
      <c r="B86" s="47">
        <f t="shared" ca="1" si="13"/>
        <v>103.54109719900551</v>
      </c>
      <c r="C86" s="44">
        <f t="shared" ca="1" si="15"/>
        <v>0.69836098274796188</v>
      </c>
      <c r="D86" s="52">
        <f t="shared" ca="1" si="16"/>
        <v>0.14073932048403048</v>
      </c>
      <c r="E86" s="53">
        <f t="shared" ca="1" si="14"/>
        <v>14.572303661958987</v>
      </c>
      <c r="F86" s="53">
        <f t="shared" ca="1" si="17"/>
        <v>76.026519534811641</v>
      </c>
      <c r="G86" s="52">
        <f t="shared" ca="1" si="11"/>
        <v>3.8022764666424902E-2</v>
      </c>
      <c r="I86" s="44">
        <f t="shared" ca="1" si="12"/>
        <v>3.3009085628623279E-2</v>
      </c>
    </row>
    <row r="87" spans="1:9">
      <c r="A87" s="8">
        <v>0.75</v>
      </c>
      <c r="B87" s="47">
        <f t="shared" ca="1" si="13"/>
        <v>104.00229898275042</v>
      </c>
      <c r="C87" s="44">
        <f t="shared" ca="1" si="15"/>
        <v>0.71478838509212261</v>
      </c>
      <c r="D87" s="52">
        <f t="shared" ca="1" si="16"/>
        <v>1.6427402344160735E-2</v>
      </c>
      <c r="E87" s="53">
        <f t="shared" ca="1" si="14"/>
        <v>1.7084876101073398</v>
      </c>
      <c r="F87" s="53">
        <f t="shared" ca="1" si="17"/>
        <v>77.773029909585404</v>
      </c>
      <c r="G87" s="52">
        <f t="shared" ca="1" si="11"/>
        <v>3.8896238203998658E-2</v>
      </c>
      <c r="I87" s="44">
        <f t="shared" ca="1" si="12"/>
        <v>3.2655113861960051E-2</v>
      </c>
    </row>
    <row r="88" spans="1:9">
      <c r="A88" s="8">
        <v>0.76</v>
      </c>
      <c r="B88" s="47">
        <f t="shared" ca="1" si="13"/>
        <v>103.99234650445462</v>
      </c>
      <c r="C88" s="44">
        <f t="shared" ca="1" si="15"/>
        <v>0.71600289325513267</v>
      </c>
      <c r="D88" s="52">
        <f t="shared" ca="1" si="16"/>
        <v>1.2145081630100529E-3</v>
      </c>
      <c r="E88" s="53">
        <f t="shared" ca="1" si="14"/>
        <v>0.12629955372023008</v>
      </c>
      <c r="F88" s="53">
        <f t="shared" ca="1" si="17"/>
        <v>77.938225701509637</v>
      </c>
      <c r="G88" s="52">
        <f t="shared" ca="1" si="11"/>
        <v>3.897885675287676E-2</v>
      </c>
      <c r="I88" s="44">
        <f t="shared" ca="1" si="12"/>
        <v>3.3263827061190604E-2</v>
      </c>
    </row>
    <row r="89" spans="1:9">
      <c r="A89" s="8">
        <v>0.77</v>
      </c>
      <c r="B89" s="47">
        <f t="shared" ca="1" si="13"/>
        <v>102.577888208863</v>
      </c>
      <c r="C89" s="44">
        <f t="shared" ca="1" si="15"/>
        <v>0.66756948742030275</v>
      </c>
      <c r="D89" s="52">
        <f t="shared" ca="1" si="16"/>
        <v>-4.8433405834829912E-2</v>
      </c>
      <c r="E89" s="53">
        <f t="shared" ca="1" si="14"/>
        <v>-4.9681964892996762</v>
      </c>
      <c r="F89" s="53">
        <f t="shared" ca="1" si="17"/>
        <v>73.009008068962842</v>
      </c>
      <c r="G89" s="52">
        <f t="shared" ca="1" si="11"/>
        <v>3.6513631681694851E-2</v>
      </c>
      <c r="I89" s="44">
        <f t="shared" ca="1" si="12"/>
        <v>3.6915593772466254E-2</v>
      </c>
    </row>
    <row r="90" spans="1:9">
      <c r="A90" s="8">
        <v>0.78</v>
      </c>
      <c r="B90" s="47">
        <f t="shared" ca="1" si="13"/>
        <v>104.27761900403904</v>
      </c>
      <c r="C90" s="44">
        <f t="shared" ca="1" si="15"/>
        <v>0.72929330007066162</v>
      </c>
      <c r="D90" s="52">
        <f t="shared" ca="1" si="16"/>
        <v>6.1723812650358867E-2</v>
      </c>
      <c r="E90" s="53">
        <f t="shared" ca="1" si="14"/>
        <v>6.4364122190308066</v>
      </c>
      <c r="F90" s="53">
        <f t="shared" ca="1" si="17"/>
        <v>79.481933919675356</v>
      </c>
      <c r="G90" s="52">
        <f t="shared" ca="1" si="11"/>
        <v>3.9750903857651371E-2</v>
      </c>
      <c r="I90" s="44">
        <f t="shared" ca="1" si="12"/>
        <v>3.3845249355982793E-2</v>
      </c>
    </row>
    <row r="91" spans="1:9">
      <c r="A91" s="8">
        <v>0.79</v>
      </c>
      <c r="B91" s="47">
        <f t="shared" ca="1" si="13"/>
        <v>104.18131848905161</v>
      </c>
      <c r="C91" s="44">
        <f t="shared" ca="1" si="15"/>
        <v>0.72818382698838802</v>
      </c>
      <c r="D91" s="52">
        <f t="shared" ca="1" si="16"/>
        <v>-1.1094730822736043E-3</v>
      </c>
      <c r="E91" s="53">
        <f t="shared" ca="1" si="14"/>
        <v>-0.11558636853937612</v>
      </c>
      <c r="F91" s="53">
        <f t="shared" ca="1" si="17"/>
        <v>79.406098454993625</v>
      </c>
      <c r="G91" s="52">
        <f t="shared" ca="1" si="11"/>
        <v>3.9712976644297321E-2</v>
      </c>
      <c r="I91" s="44">
        <f t="shared" ca="1" si="12"/>
        <v>3.4744501322882003E-2</v>
      </c>
    </row>
    <row r="92" spans="1:9">
      <c r="A92" s="8">
        <v>0.8</v>
      </c>
      <c r="B92" s="47">
        <f t="shared" ca="1" si="13"/>
        <v>107.20112063806927</v>
      </c>
      <c r="C92" s="44">
        <f t="shared" ca="1" si="15"/>
        <v>0.82483946980057099</v>
      </c>
      <c r="D92" s="52">
        <f t="shared" ca="1" si="16"/>
        <v>9.6655642812182974E-2</v>
      </c>
      <c r="E92" s="53">
        <f t="shared" ca="1" si="14"/>
        <v>10.361593225458959</v>
      </c>
      <c r="F92" s="53">
        <f t="shared" ca="1" si="17"/>
        <v>89.807404657096882</v>
      </c>
      <c r="G92" s="52">
        <f t="shared" ca="1" si="11"/>
        <v>4.4914930125344275E-2</v>
      </c>
      <c r="I92" s="44">
        <f t="shared" ca="1" si="12"/>
        <v>2.6899832864282106E-2</v>
      </c>
    </row>
    <row r="93" spans="1:9">
      <c r="A93" s="8">
        <v>0.81</v>
      </c>
      <c r="B93" s="47">
        <f t="shared" ca="1" si="13"/>
        <v>108.00706330419594</v>
      </c>
      <c r="C93" s="44">
        <f t="shared" ca="1" si="15"/>
        <v>0.84992580779079085</v>
      </c>
      <c r="D93" s="52">
        <f t="shared" ca="1" si="16"/>
        <v>2.5086337990219865E-2</v>
      </c>
      <c r="E93" s="53">
        <f t="shared" ca="1" si="14"/>
        <v>2.7095016953801325</v>
      </c>
      <c r="F93" s="53">
        <f t="shared" ca="1" si="17"/>
        <v>92.561821282602352</v>
      </c>
      <c r="G93" s="52">
        <f t="shared" ca="1" si="11"/>
        <v>4.6292482797565815E-2</v>
      </c>
      <c r="I93" s="44">
        <f t="shared" ca="1" si="12"/>
        <v>2.4770567654016036E-2</v>
      </c>
    </row>
    <row r="94" spans="1:9">
      <c r="A94" s="8">
        <v>0.82</v>
      </c>
      <c r="B94" s="47">
        <f t="shared" ca="1" si="13"/>
        <v>106.10711246191568</v>
      </c>
      <c r="C94" s="44">
        <f t="shared" ca="1" si="15"/>
        <v>0.80153060206149074</v>
      </c>
      <c r="D94" s="52">
        <f t="shared" ca="1" si="16"/>
        <v>-4.8395205729300117E-2</v>
      </c>
      <c r="E94" s="53">
        <f t="shared" ca="1" si="14"/>
        <v>-5.1350755369363936</v>
      </c>
      <c r="F94" s="53">
        <f t="shared" ca="1" si="17"/>
        <v>87.473038228463523</v>
      </c>
      <c r="G94" s="52">
        <f t="shared" ca="1" si="11"/>
        <v>4.3747455066585506E-2</v>
      </c>
      <c r="I94" s="44">
        <f t="shared" ca="1" si="12"/>
        <v>3.0951295466437434E-2</v>
      </c>
    </row>
    <row r="95" spans="1:9">
      <c r="A95" s="8">
        <v>0.83</v>
      </c>
      <c r="B95" s="47">
        <f t="shared" ca="1" si="13"/>
        <v>104.00731094336388</v>
      </c>
      <c r="C95" s="44">
        <f t="shared" ca="1" si="15"/>
        <v>0.73262857591614028</v>
      </c>
      <c r="D95" s="52">
        <f t="shared" ca="1" si="16"/>
        <v>-6.8902026145350459E-2</v>
      </c>
      <c r="E95" s="53">
        <f t="shared" ca="1" si="14"/>
        <v>-7.1663144579272524</v>
      </c>
      <c r="F95" s="53">
        <f t="shared" ca="1" si="17"/>
        <v>80.350471225602845</v>
      </c>
      <c r="G95" s="52">
        <f t="shared" ca="1" si="11"/>
        <v>4.0185281095875068E-2</v>
      </c>
      <c r="I95" s="44">
        <f t="shared" ca="1" si="12"/>
        <v>3.8362738971844335E-2</v>
      </c>
    </row>
    <row r="96" spans="1:9">
      <c r="A96" s="8">
        <v>0.84</v>
      </c>
      <c r="B96" s="47">
        <f t="shared" ca="1" si="13"/>
        <v>102.82595498002293</v>
      </c>
      <c r="C96" s="44">
        <f t="shared" ca="1" si="15"/>
        <v>0.68734732008999277</v>
      </c>
      <c r="D96" s="52">
        <f t="shared" ca="1" si="16"/>
        <v>-4.5281255826147504E-2</v>
      </c>
      <c r="E96" s="53">
        <f t="shared" ca="1" si="14"/>
        <v>-4.6560883730183438</v>
      </c>
      <c r="F96" s="53">
        <f t="shared" ca="1" si="17"/>
        <v>75.734568133680369</v>
      </c>
      <c r="G96" s="52">
        <f t="shared" ca="1" si="11"/>
        <v>3.7876752465851073E-2</v>
      </c>
      <c r="I96" s="44">
        <f t="shared" ca="1" si="12"/>
        <v>4.304590407401547E-2</v>
      </c>
    </row>
    <row r="97" spans="1:9">
      <c r="A97" s="8">
        <v>0.85</v>
      </c>
      <c r="B97" s="47">
        <f t="shared" ca="1" si="13"/>
        <v>101.55854907089709</v>
      </c>
      <c r="C97" s="44">
        <f t="shared" ca="1" si="15"/>
        <v>0.63126673706592595</v>
      </c>
      <c r="D97" s="52">
        <f t="shared" ca="1" si="16"/>
        <v>-5.6080583024066821E-2</v>
      </c>
      <c r="E97" s="53">
        <f t="shared" ca="1" si="14"/>
        <v>-5.6954626429742081</v>
      </c>
      <c r="F97" s="53">
        <f t="shared" ca="1" si="17"/>
        <v>70.076982243172012</v>
      </c>
      <c r="G97" s="52">
        <f t="shared" ca="1" si="11"/>
        <v>3.5047252204479962E-2</v>
      </c>
      <c r="I97" s="44">
        <f t="shared" ca="1" si="12"/>
        <v>4.7942203406547833E-2</v>
      </c>
    </row>
    <row r="98" spans="1:9">
      <c r="A98" s="8">
        <v>0.86</v>
      </c>
      <c r="B98" s="47">
        <f t="shared" ca="1" si="13"/>
        <v>98.41156695462675</v>
      </c>
      <c r="C98" s="44">
        <f t="shared" ca="1" si="15"/>
        <v>0.46692205541156306</v>
      </c>
      <c r="D98" s="52">
        <f t="shared" ca="1" si="16"/>
        <v>-0.16434468165436289</v>
      </c>
      <c r="E98" s="53">
        <f t="shared" ca="1" si="14"/>
        <v>-16.173417642265154</v>
      </c>
      <c r="F98" s="53">
        <f t="shared" ca="1" si="17"/>
        <v>53.93861185311134</v>
      </c>
      <c r="G98" s="52">
        <f t="shared" ca="1" si="11"/>
        <v>2.6976049376894188E-2</v>
      </c>
      <c r="I98" s="44">
        <f t="shared" ca="1" si="12"/>
        <v>5.3985067749062719E-2</v>
      </c>
    </row>
    <row r="99" spans="1:9">
      <c r="A99" s="8">
        <v>0.87</v>
      </c>
      <c r="B99" s="47">
        <f t="shared" ca="1" si="13"/>
        <v>95.747541982396527</v>
      </c>
      <c r="C99" s="44">
        <f t="shared" ca="1" si="15"/>
        <v>0.31688713582831396</v>
      </c>
      <c r="D99" s="52">
        <f t="shared" ca="1" si="16"/>
        <v>-0.1500349195832491</v>
      </c>
      <c r="E99" s="53">
        <f t="shared" ca="1" si="14"/>
        <v>-14.365474761622631</v>
      </c>
      <c r="F99" s="53">
        <f t="shared" ca="1" si="17"/>
        <v>39.600113140865602</v>
      </c>
      <c r="G99" s="52">
        <f t="shared" ca="1" si="11"/>
        <v>1.9805007409677465E-2</v>
      </c>
      <c r="I99" s="44">
        <f t="shared" ca="1" si="12"/>
        <v>5.1581417966813509E-2</v>
      </c>
    </row>
    <row r="100" spans="1:9">
      <c r="A100" s="8">
        <v>0.88</v>
      </c>
      <c r="B100" s="47">
        <f t="shared" ca="1" si="13"/>
        <v>94.847099192156335</v>
      </c>
      <c r="C100" s="44">
        <f t="shared" ca="1" si="15"/>
        <v>0.26031935548993823</v>
      </c>
      <c r="D100" s="52">
        <f t="shared" ca="1" si="16"/>
        <v>-5.6567780338375728E-2</v>
      </c>
      <c r="E100" s="53">
        <f t="shared" ca="1" si="14"/>
        <v>-5.3652898728340332</v>
      </c>
      <c r="F100" s="53">
        <f t="shared" ca="1" si="17"/>
        <v>34.254628275441249</v>
      </c>
      <c r="G100" s="52">
        <f t="shared" ca="1" si="11"/>
        <v>1.7131596679979384E-2</v>
      </c>
      <c r="I100" s="44">
        <f t="shared" ca="1" si="12"/>
        <v>4.9392891488105023E-2</v>
      </c>
    </row>
    <row r="101" spans="1:9">
      <c r="A101" s="8">
        <v>0.89</v>
      </c>
      <c r="B101" s="47">
        <f t="shared" ca="1" si="13"/>
        <v>93.252162715388451</v>
      </c>
      <c r="C101" s="44">
        <f t="shared" ca="1" si="15"/>
        <v>0.17434286867671611</v>
      </c>
      <c r="D101" s="52">
        <f t="shared" ca="1" si="16"/>
        <v>-8.5976486813222119E-2</v>
      </c>
      <c r="E101" s="53">
        <f t="shared" ca="1" si="14"/>
        <v>-8.017493338004039</v>
      </c>
      <c r="F101" s="53">
        <f t="shared" ca="1" si="17"/>
        <v>26.254266534117193</v>
      </c>
      <c r="G101" s="52">
        <f t="shared" ca="1" si="11"/>
        <v>1.3130415597405345E-2</v>
      </c>
      <c r="I101" s="44">
        <f t="shared" ca="1" si="12"/>
        <v>4.157370061025261E-2</v>
      </c>
    </row>
    <row r="102" spans="1:9">
      <c r="A102" s="8">
        <v>0.9</v>
      </c>
      <c r="B102" s="47">
        <f t="shared" ca="1" si="13"/>
        <v>93.253197502352862</v>
      </c>
      <c r="C102" s="44">
        <f t="shared" ca="1" si="15"/>
        <v>0.16016625740925938</v>
      </c>
      <c r="D102" s="52">
        <f t="shared" ca="1" si="16"/>
        <v>-1.4176611267456729E-2</v>
      </c>
      <c r="E102" s="53">
        <f t="shared" ca="1" si="14"/>
        <v>-1.3220143304382233</v>
      </c>
      <c r="F102" s="53">
        <f t="shared" ca="1" si="17"/>
        <v>24.945382619276376</v>
      </c>
      <c r="G102" s="52">
        <f t="shared" ca="1" si="11"/>
        <v>1.2475810002223872E-2</v>
      </c>
      <c r="I102" s="44">
        <f t="shared" ca="1" si="12"/>
        <v>4.1282334222082752E-2</v>
      </c>
    </row>
    <row r="103" spans="1:9">
      <c r="A103" s="8">
        <v>0.91</v>
      </c>
      <c r="B103" s="47">
        <f t="shared" ca="1" si="13"/>
        <v>94.160227724848255</v>
      </c>
      <c r="C103" s="44">
        <f t="shared" ca="1" si="15"/>
        <v>0.18462693247072492</v>
      </c>
      <c r="D103" s="52">
        <f t="shared" ca="1" si="16"/>
        <v>2.4460675061465542E-2</v>
      </c>
      <c r="E103" s="53">
        <f t="shared" ca="1" si="14"/>
        <v>2.3032227340911122</v>
      </c>
      <c r="F103" s="53">
        <f t="shared" ca="1" si="17"/>
        <v>27.261081163369713</v>
      </c>
      <c r="G103" s="52">
        <f t="shared" ca="1" si="11"/>
        <v>1.3633948784838102E-2</v>
      </c>
      <c r="I103" s="44">
        <f t="shared" ca="1" si="12"/>
        <v>4.7188147870799675E-2</v>
      </c>
    </row>
    <row r="104" spans="1:9">
      <c r="A104" s="8">
        <v>0.92</v>
      </c>
      <c r="B104" s="47">
        <f t="shared" ca="1" si="13"/>
        <v>95.175051345586937</v>
      </c>
      <c r="C104" s="44">
        <f t="shared" ca="1" si="15"/>
        <v>0.2191085347557179</v>
      </c>
      <c r="D104" s="52">
        <f t="shared" ca="1" si="16"/>
        <v>3.4481602284992974E-2</v>
      </c>
      <c r="E104" s="53">
        <f t="shared" ca="1" si="14"/>
        <v>3.2817882679523143</v>
      </c>
      <c r="F104" s="53">
        <f t="shared" ca="1" si="17"/>
        <v>30.556503380106868</v>
      </c>
      <c r="G104" s="52">
        <f t="shared" ca="1" si="11"/>
        <v>1.5282071889646698E-2</v>
      </c>
      <c r="I104" s="44">
        <f t="shared" ca="1" si="12"/>
        <v>5.4867874172148091E-2</v>
      </c>
    </row>
    <row r="105" spans="1:9">
      <c r="A105" s="8">
        <v>0.93</v>
      </c>
      <c r="B105" s="47">
        <f t="shared" ca="1" si="13"/>
        <v>92.731149067611767</v>
      </c>
      <c r="C105" s="44">
        <f t="shared" ca="1" si="15"/>
        <v>9.1172912419750451E-2</v>
      </c>
      <c r="D105" s="52">
        <f t="shared" ca="1" si="16"/>
        <v>-0.12793562233596745</v>
      </c>
      <c r="E105" s="53">
        <f t="shared" ca="1" si="14"/>
        <v>-11.863617265894279</v>
      </c>
      <c r="F105" s="53">
        <f t="shared" ca="1" si="17"/>
        <v>18.708168186102235</v>
      </c>
      <c r="G105" s="52">
        <f t="shared" ca="1" si="11"/>
        <v>9.3564230038749845E-3</v>
      </c>
      <c r="I105" s="44">
        <f t="shared" ca="1" si="12"/>
        <v>3.3414146235351272E-2</v>
      </c>
    </row>
    <row r="106" spans="1:9">
      <c r="A106" s="8">
        <v>0.94</v>
      </c>
      <c r="B106" s="47">
        <f t="shared" ca="1" si="13"/>
        <v>90.73124625564175</v>
      </c>
      <c r="C106" s="44">
        <f t="shared" ca="1" si="15"/>
        <v>2.8732868453578808E-2</v>
      </c>
      <c r="D106" s="52">
        <f t="shared" ca="1" si="16"/>
        <v>-6.2440043966171643E-2</v>
      </c>
      <c r="E106" s="53">
        <f t="shared" ca="1" si="14"/>
        <v>-5.6652630053078168</v>
      </c>
      <c r="F106" s="53">
        <f t="shared" ca="1" si="17"/>
        <v>13.052261603798293</v>
      </c>
      <c r="G106" s="52">
        <f t="shared" ca="1" si="11"/>
        <v>6.5277626065545985E-3</v>
      </c>
      <c r="I106" s="44">
        <f t="shared" ca="1" si="12"/>
        <v>1.4769027544315735E-2</v>
      </c>
    </row>
    <row r="107" spans="1:9">
      <c r="A107" s="8">
        <v>0.95</v>
      </c>
      <c r="B107" s="47">
        <f t="shared" ca="1" si="13"/>
        <v>88.425121068314425</v>
      </c>
      <c r="C107" s="44">
        <f t="shared" ca="1" si="15"/>
        <v>3.7654054952728222E-3</v>
      </c>
      <c r="D107" s="52">
        <f t="shared" ca="1" si="16"/>
        <v>-2.4967462958305986E-2</v>
      </c>
      <c r="E107" s="53">
        <f t="shared" ca="1" si="14"/>
        <v>-2.2077509348568625</v>
      </c>
      <c r="F107" s="53">
        <f t="shared" ca="1" si="17"/>
        <v>10.851038431547984</v>
      </c>
      <c r="G107" s="52">
        <f t="shared" ca="1" si="11"/>
        <v>5.4268758216685555E-3</v>
      </c>
      <c r="I107" s="44">
        <f t="shared" ca="1" si="12"/>
        <v>2.8378898518866508E-3</v>
      </c>
    </row>
    <row r="108" spans="1:9">
      <c r="A108" s="8">
        <v>0.96</v>
      </c>
      <c r="B108" s="47">
        <f t="shared" ca="1" si="13"/>
        <v>91.658244581026239</v>
      </c>
      <c r="C108" s="44">
        <f t="shared" ca="1" si="15"/>
        <v>1.7533542063999485E-2</v>
      </c>
      <c r="D108" s="52">
        <f t="shared" ca="1" si="16"/>
        <v>1.3768136568726663E-2</v>
      </c>
      <c r="E108" s="53">
        <f t="shared" ca="1" si="14"/>
        <v>1.2619632290413199</v>
      </c>
      <c r="F108" s="53">
        <f t="shared" ca="1" si="17"/>
        <v>12.118428536410974</v>
      </c>
      <c r="G108" s="52">
        <f t="shared" ref="G108:G112" ca="1" si="18">F108*(EXP(DH_Rate*DH_dt)-1)</f>
        <v>6.0607293242703093E-3</v>
      </c>
      <c r="I108" s="44">
        <f t="shared" ca="1" si="12"/>
        <v>1.1806802408974073E-2</v>
      </c>
    </row>
    <row r="109" spans="1:9">
      <c r="A109" s="8">
        <v>0.97</v>
      </c>
      <c r="B109" s="47">
        <f t="shared" ca="1" si="13"/>
        <v>94.22541770058362</v>
      </c>
      <c r="C109" s="44">
        <f t="shared" ca="1" si="15"/>
        <v>4.8817963867270442E-2</v>
      </c>
      <c r="D109" s="52">
        <f t="shared" ca="1" si="16"/>
        <v>3.1284421803270956E-2</v>
      </c>
      <c r="E109" s="53">
        <f t="shared" ca="1" si="14"/>
        <v>2.9477877119344513</v>
      </c>
      <c r="F109" s="53">
        <f t="shared" ca="1" si="17"/>
        <v>15.072276977669695</v>
      </c>
      <c r="G109" s="52">
        <f t="shared" ca="1" si="18"/>
        <v>7.5380228375007729E-3</v>
      </c>
      <c r="I109" s="44">
        <f t="shared" ca="1" si="12"/>
        <v>3.0999567469952177E-2</v>
      </c>
    </row>
    <row r="110" spans="1:9">
      <c r="A110" s="8">
        <v>0.98</v>
      </c>
      <c r="B110" s="47">
        <f t="shared" ca="1" si="13"/>
        <v>96.05904956995083</v>
      </c>
      <c r="C110" s="44">
        <f t="shared" ca="1" si="15"/>
        <v>8.5025922610093008E-2</v>
      </c>
      <c r="D110" s="52">
        <f t="shared" ca="1" si="16"/>
        <v>3.6207958742822566E-2</v>
      </c>
      <c r="E110" s="53">
        <f t="shared" ca="1" si="14"/>
        <v>3.4781021037035273</v>
      </c>
      <c r="F110" s="53">
        <f t="shared" ca="1" si="17"/>
        <v>18.557917104210723</v>
      </c>
      <c r="G110" s="52">
        <f t="shared" ca="1" si="18"/>
        <v>9.2812786784133832E-3</v>
      </c>
      <c r="I110" s="44">
        <f t="shared" ca="1" si="12"/>
        <v>5.7286183297139831E-2</v>
      </c>
    </row>
    <row r="111" spans="1:9">
      <c r="A111" s="8">
        <v>0.99</v>
      </c>
      <c r="B111" s="47">
        <f t="shared" ca="1" si="13"/>
        <v>94.870314025883687</v>
      </c>
      <c r="C111" s="44">
        <f t="shared" ca="1" si="15"/>
        <v>4.6889070062821059E-3</v>
      </c>
      <c r="D111" s="52">
        <f t="shared" ca="1" si="16"/>
        <v>-8.0337015603810902E-2</v>
      </c>
      <c r="E111" s="53">
        <f t="shared" ca="1" si="14"/>
        <v>-7.6215978982358576</v>
      </c>
      <c r="F111" s="53">
        <f t="shared" ca="1" si="17"/>
        <v>10.94560048465328</v>
      </c>
      <c r="G111" s="52">
        <f t="shared" ca="1" si="18"/>
        <v>5.4741686704481221E-3</v>
      </c>
      <c r="I111" s="44">
        <f t="shared" ca="1" si="12"/>
        <v>7.1966261211578115E-3</v>
      </c>
    </row>
    <row r="112" spans="1:9">
      <c r="A112" s="8">
        <v>1</v>
      </c>
      <c r="B112" s="47">
        <f t="shared" ca="1" si="13"/>
        <v>94.620567426975796</v>
      </c>
      <c r="C112" s="45">
        <f ca="1">IF(B112&gt;B2,1,0)</f>
        <v>0</v>
      </c>
      <c r="D112" s="52">
        <f ca="1">(C112-C111)*$B$6</f>
        <v>-4.6889070062821059E-3</v>
      </c>
      <c r="E112" s="53">
        <f t="shared" ca="1" si="14"/>
        <v>-0.4436670415467352</v>
      </c>
      <c r="F112" s="53">
        <f t="shared" ca="1" si="17"/>
        <v>10.507407611776992</v>
      </c>
      <c r="G112" s="52">
        <f t="shared" ca="1" si="18"/>
        <v>5.2550174507707478E-3</v>
      </c>
      <c r="I112" s="44">
        <f>0</f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Y211"/>
  <sheetViews>
    <sheetView tabSelected="1" topLeftCell="O1" zoomScale="77" zoomScaleNormal="134" zoomScalePageLayoutView="134" workbookViewId="0">
      <selection activeCell="Z10" sqref="Z10"/>
    </sheetView>
  </sheetViews>
  <sheetFormatPr defaultColWidth="8.85546875" defaultRowHeight="12.75"/>
  <cols>
    <col min="1" max="1" width="12.85546875" style="8" bestFit="1" customWidth="1"/>
    <col min="2" max="2" width="12" style="8" bestFit="1" customWidth="1"/>
    <col min="3" max="3" width="9.28515625" style="8" customWidth="1"/>
    <col min="4" max="4" width="13.28515625" style="8" customWidth="1"/>
    <col min="5" max="5" width="10.42578125" style="8" customWidth="1"/>
    <col min="6" max="6" width="9.7109375" style="8" customWidth="1"/>
    <col min="7" max="7" width="11" style="8" customWidth="1"/>
    <col min="8" max="9" width="8.85546875" style="8"/>
    <col min="10" max="10" width="12.42578125" style="8" customWidth="1"/>
    <col min="11" max="17" width="8.85546875" style="8"/>
    <col min="18" max="18" width="12.42578125" style="9" customWidth="1"/>
    <col min="19" max="19" width="9" style="8" customWidth="1"/>
    <col min="20" max="20" width="11.42578125" style="9" customWidth="1"/>
    <col min="21" max="16384" width="8.85546875" style="8"/>
  </cols>
  <sheetData>
    <row r="1" spans="1:25">
      <c r="A1" s="14" t="s">
        <v>27</v>
      </c>
      <c r="B1" s="22">
        <v>100</v>
      </c>
      <c r="D1" s="14" t="s">
        <v>64</v>
      </c>
      <c r="E1" s="23">
        <v>0.35</v>
      </c>
      <c r="G1" s="10" t="s">
        <v>61</v>
      </c>
      <c r="H1" s="48">
        <f>CallOption(B1,Vol_a,0,PL_r,PL_K,PL_T)</f>
        <v>14.766783224409622</v>
      </c>
      <c r="I1" s="19" t="s">
        <v>96</v>
      </c>
      <c r="K1" s="24" t="s">
        <v>43</v>
      </c>
      <c r="P1" s="21" t="s">
        <v>71</v>
      </c>
      <c r="Q1" s="8">
        <v>1E-3</v>
      </c>
    </row>
    <row r="2" spans="1:25">
      <c r="A2" s="14" t="s">
        <v>28</v>
      </c>
      <c r="B2" s="42">
        <v>0.02</v>
      </c>
      <c r="D2" s="14" t="s">
        <v>65</v>
      </c>
      <c r="E2" s="23">
        <v>0.2</v>
      </c>
      <c r="G2" s="10" t="s">
        <v>62</v>
      </c>
      <c r="H2" s="48">
        <f>CallOption(B1,Vol_i,0,PL_r, PL_K,PL_T)</f>
        <v>8.9160351198191705</v>
      </c>
      <c r="I2" s="19" t="s">
        <v>97</v>
      </c>
      <c r="P2" s="21" t="s">
        <v>72</v>
      </c>
      <c r="Q2" s="8">
        <v>0.999</v>
      </c>
    </row>
    <row r="3" spans="1:25">
      <c r="A3" s="14" t="s">
        <v>29</v>
      </c>
      <c r="B3" s="22">
        <v>100</v>
      </c>
      <c r="G3" s="10" t="s">
        <v>33</v>
      </c>
      <c r="H3" s="49">
        <f>H1-H2</f>
        <v>5.8507481045904512</v>
      </c>
      <c r="I3" s="19" t="s">
        <v>98</v>
      </c>
      <c r="K3" s="21" t="s">
        <v>66</v>
      </c>
    </row>
    <row r="4" spans="1:25" ht="15">
      <c r="A4" s="14" t="s">
        <v>30</v>
      </c>
      <c r="B4" s="41">
        <v>1</v>
      </c>
      <c r="C4" s="21"/>
      <c r="H4" s="44"/>
      <c r="T4" s="11" t="s">
        <v>59</v>
      </c>
      <c r="U4" s="49">
        <f>SUM(U11:U211)</f>
        <v>11.170809402520566</v>
      </c>
      <c r="Y4" s="51" t="s">
        <v>92</v>
      </c>
    </row>
    <row r="5" spans="1:25">
      <c r="G5" s="11" t="s">
        <v>34</v>
      </c>
      <c r="H5" s="49">
        <f>EXP(-PL_r*PL_T)*G211</f>
        <v>12.427870221643531</v>
      </c>
    </row>
    <row r="6" spans="1:25" ht="15">
      <c r="A6" s="11" t="s">
        <v>31</v>
      </c>
      <c r="B6" s="12">
        <v>5.0000000000000001E-3</v>
      </c>
      <c r="D6" s="11" t="s">
        <v>53</v>
      </c>
      <c r="E6" s="20">
        <v>0.2</v>
      </c>
      <c r="K6" s="57" t="s">
        <v>99</v>
      </c>
      <c r="L6" s="59"/>
      <c r="M6" s="59"/>
      <c r="N6" s="59"/>
      <c r="O6" s="60"/>
      <c r="P6" s="60"/>
      <c r="Y6" s="51" t="s">
        <v>95</v>
      </c>
    </row>
    <row r="7" spans="1:25">
      <c r="D7" s="25" t="s">
        <v>55</v>
      </c>
      <c r="K7" s="59"/>
      <c r="L7" s="59"/>
      <c r="M7" s="59"/>
      <c r="N7" s="59"/>
      <c r="O7" s="60"/>
      <c r="P7" s="60"/>
      <c r="Y7" s="57" t="s">
        <v>94</v>
      </c>
    </row>
    <row r="8" spans="1:25">
      <c r="D8" s="13"/>
    </row>
    <row r="9" spans="1:25" ht="15">
      <c r="B9" s="8" t="s">
        <v>23</v>
      </c>
      <c r="C9" s="8" t="s">
        <v>41</v>
      </c>
      <c r="D9" s="8" t="s">
        <v>20</v>
      </c>
      <c r="E9" s="8" t="s">
        <v>54</v>
      </c>
      <c r="G9" s="8" t="s">
        <v>44</v>
      </c>
      <c r="J9" s="8" t="s">
        <v>40</v>
      </c>
      <c r="Y9" s="51" t="s">
        <v>91</v>
      </c>
    </row>
    <row r="10" spans="1:25" ht="38.25">
      <c r="A10" s="15" t="s">
        <v>32</v>
      </c>
      <c r="B10" s="16" t="s">
        <v>38</v>
      </c>
      <c r="C10" s="16" t="s">
        <v>39</v>
      </c>
      <c r="D10" s="16" t="s">
        <v>63</v>
      </c>
      <c r="E10" s="16" t="s">
        <v>42</v>
      </c>
      <c r="F10" s="16" t="s">
        <v>69</v>
      </c>
      <c r="G10" s="16" t="s">
        <v>67</v>
      </c>
      <c r="J10" s="16" t="s">
        <v>68</v>
      </c>
      <c r="K10" s="46"/>
      <c r="Q10" s="16" t="s">
        <v>74</v>
      </c>
      <c r="R10" s="50" t="s">
        <v>25</v>
      </c>
      <c r="S10" s="16" t="s">
        <v>93</v>
      </c>
      <c r="T10" s="50" t="s">
        <v>100</v>
      </c>
      <c r="V10" s="16" t="s">
        <v>75</v>
      </c>
    </row>
    <row r="11" spans="1:25">
      <c r="A11" s="8">
        <v>0</v>
      </c>
      <c r="B11" s="47">
        <v>100</v>
      </c>
      <c r="C11" s="47">
        <f t="shared" ref="C11:C74" si="0">CallOption(B11,Vol_i,0,PL_r, PL_K,PL_T-A11)</f>
        <v>8.9160351198191705</v>
      </c>
      <c r="D11" s="44">
        <f t="shared" ref="D11:D42" si="1">CallDelta(B11,$E$6,0,PL_r, PL_K, PL_T-A11)</f>
        <v>0.57925968418588936</v>
      </c>
      <c r="E11" s="47">
        <f>V_0-Delta_0*S_0</f>
        <v>-49.009933298769766</v>
      </c>
      <c r="F11" s="47">
        <f>-E11</f>
        <v>49.009933298769766</v>
      </c>
      <c r="G11" s="47">
        <f t="shared" ref="G11:G42" si="2">F11+E11</f>
        <v>0</v>
      </c>
      <c r="J11" s="47">
        <v>0</v>
      </c>
      <c r="Q11" s="8">
        <f t="shared" ref="Q11:Q42" si="3">PL_K</f>
        <v>100</v>
      </c>
      <c r="R11" s="9">
        <f t="shared" ref="R11:R42" si="4">CallGamma(B11,$E$6,0,PL_r, PL_K, PL_T-A11)</f>
        <v>1.9552134865534521E-2</v>
      </c>
      <c r="V11" s="47"/>
    </row>
    <row r="12" spans="1:25">
      <c r="A12" s="8">
        <f t="shared" ref="A12:A43" si="5">A11+dt</f>
        <v>5.0000000000000001E-3</v>
      </c>
      <c r="B12" s="47">
        <f>B11*EXP((PL_r-0.5*Vol_a^2)*dt+Vol_a*SQRT(dt)*bs!A2)</f>
        <v>97.292811549160419</v>
      </c>
      <c r="C12" s="47">
        <f t="shared" si="0"/>
        <v>7.3969746340472255</v>
      </c>
      <c r="D12" s="44">
        <f t="shared" si="1"/>
        <v>0.52469062874587702</v>
      </c>
      <c r="E12" s="47">
        <f>C12-D12*B12</f>
        <v>-43.651651830135883</v>
      </c>
      <c r="F12" s="47">
        <f>J12+F11*EXP(PL_r*dt)</f>
        <v>43.705657709816677</v>
      </c>
      <c r="G12" s="47">
        <f t="shared" si="2"/>
        <v>5.4005879680794067E-2</v>
      </c>
      <c r="H12" s="44"/>
      <c r="I12" s="44"/>
      <c r="J12" s="47">
        <f>(D12-D11)*B12</f>
        <v>-5.3091768273408073</v>
      </c>
      <c r="K12" s="21" t="s">
        <v>70</v>
      </c>
      <c r="Q12" s="8">
        <f t="shared" si="3"/>
        <v>100</v>
      </c>
      <c r="R12" s="9">
        <f t="shared" si="4"/>
        <v>2.0514217682906198E-2</v>
      </c>
      <c r="S12" s="8">
        <f t="shared" ref="S12:S43" si="6">IF(V12^2 &lt; ($E$6^2*dt), -1, 1)</f>
        <v>1</v>
      </c>
      <c r="T12" s="9">
        <f t="shared" ref="T12:T43" si="7">0.5*R12*(B12^2)*(V12^2-$E$6^2*dt)</f>
        <v>5.1739418176662923E-2</v>
      </c>
      <c r="U12" s="9">
        <f t="shared" ref="U12:U43" si="8">T12*EXP(-PL_r*A12)</f>
        <v>5.1734244493533726E-2</v>
      </c>
      <c r="V12" s="9">
        <f>(B12-B11)/B11</f>
        <v>-2.7071884508395812E-2</v>
      </c>
    </row>
    <row r="13" spans="1:25">
      <c r="A13" s="8">
        <f t="shared" si="5"/>
        <v>0.01</v>
      </c>
      <c r="B13" s="47">
        <f>B12*EXP((PL_r-0.5*Vol_a^2)*dt+Vol_a*SQRT(dt)*bs!A3)</f>
        <v>94.234904460672496</v>
      </c>
      <c r="C13" s="47">
        <f t="shared" si="0"/>
        <v>5.8670157843727608</v>
      </c>
      <c r="D13" s="44">
        <f t="shared" si="1"/>
        <v>0.46041190763104323</v>
      </c>
      <c r="E13" s="47">
        <f t="shared" ref="E13:E75" si="9">C13-D13*B13</f>
        <v>-37.519856343794565</v>
      </c>
      <c r="F13" s="47">
        <f t="shared" ref="F13:F43" si="10">J13+F12*EXP(PL_r*dt)</f>
        <v>37.65272935101266</v>
      </c>
      <c r="G13" s="47">
        <f t="shared" si="2"/>
        <v>0.13287300721809459</v>
      </c>
      <c r="H13" s="44"/>
      <c r="I13" s="44"/>
      <c r="J13" s="47">
        <f t="shared" ref="J13:J43" si="11">(D13-D12)*B13</f>
        <v>-6.0572991431105745</v>
      </c>
      <c r="Q13" s="8">
        <f t="shared" si="3"/>
        <v>100</v>
      </c>
      <c r="R13" s="9">
        <f t="shared" si="4"/>
        <v>2.1169244814499426E-2</v>
      </c>
      <c r="S13" s="8">
        <f t="shared" si="6"/>
        <v>1</v>
      </c>
      <c r="T13" s="9">
        <f t="shared" si="7"/>
        <v>7.4052130474519529E-2</v>
      </c>
      <c r="U13" s="9">
        <f t="shared" si="8"/>
        <v>7.4037321529368511E-2</v>
      </c>
      <c r="V13" s="9">
        <f t="shared" ref="V13:V76" si="12">(B13-B12)/B12</f>
        <v>-3.1429938551450064E-2</v>
      </c>
    </row>
    <row r="14" spans="1:25">
      <c r="A14" s="8">
        <f t="shared" si="5"/>
        <v>1.4999999999999999E-2</v>
      </c>
      <c r="B14" s="47">
        <f>B13*EXP((PL_r-0.5*Vol_a^2)*dt+Vol_a*SQRT(dt)*bs!A4)</f>
        <v>97.717030453193843</v>
      </c>
      <c r="C14" s="47">
        <f t="shared" si="0"/>
        <v>7.5734584107655749</v>
      </c>
      <c r="D14" s="44">
        <f t="shared" si="1"/>
        <v>0.53273506950675353</v>
      </c>
      <c r="E14" s="47">
        <f t="shared" si="9"/>
        <v>-44.483830599710195</v>
      </c>
      <c r="F14" s="47">
        <f t="shared" si="10"/>
        <v>44.723699423697738</v>
      </c>
      <c r="G14" s="47">
        <f t="shared" si="2"/>
        <v>0.23986882398754261</v>
      </c>
      <c r="H14" s="44"/>
      <c r="I14" s="44"/>
      <c r="J14" s="47">
        <f t="shared" si="11"/>
        <v>7.0672046114800517</v>
      </c>
      <c r="K14" s="14" t="s">
        <v>73</v>
      </c>
      <c r="Q14" s="8">
        <f t="shared" si="3"/>
        <v>100</v>
      </c>
      <c r="R14" s="9">
        <f t="shared" si="4"/>
        <v>2.0498702280365926E-2</v>
      </c>
      <c r="S14" s="8">
        <f t="shared" si="6"/>
        <v>1</v>
      </c>
      <c r="T14" s="9">
        <f t="shared" si="7"/>
        <v>0.11405604841614853</v>
      </c>
      <c r="U14" s="9">
        <f t="shared" si="8"/>
        <v>0.11402183673363264</v>
      </c>
      <c r="V14" s="9">
        <f t="shared" si="12"/>
        <v>3.6951552213591504E-2</v>
      </c>
    </row>
    <row r="15" spans="1:25">
      <c r="A15" s="8">
        <f t="shared" si="5"/>
        <v>0.02</v>
      </c>
      <c r="B15" s="47">
        <f>B14*EXP((PL_r-0.5*Vol_a^2)*dt+Vol_a*SQRT(dt)*bs!A5)</f>
        <v>99.22239620600503</v>
      </c>
      <c r="C15" s="47">
        <f t="shared" si="0"/>
        <v>8.3739974967294728</v>
      </c>
      <c r="D15" s="44">
        <f t="shared" si="1"/>
        <v>0.56299281826212477</v>
      </c>
      <c r="E15" s="47">
        <f t="shared" si="9"/>
        <v>-47.487498978010457</v>
      </c>
      <c r="F15" s="47">
        <f t="shared" si="10"/>
        <v>47.73041835257326</v>
      </c>
      <c r="G15" s="47">
        <f t="shared" si="2"/>
        <v>0.24291937456280266</v>
      </c>
      <c r="H15" s="44"/>
      <c r="I15" s="44"/>
      <c r="J15" s="47">
        <f t="shared" si="11"/>
        <v>3.0022463353072006</v>
      </c>
      <c r="Q15" s="8">
        <f t="shared" si="3"/>
        <v>100</v>
      </c>
      <c r="R15" s="9">
        <f t="shared" si="4"/>
        <v>2.0053854751138238E-2</v>
      </c>
      <c r="S15" s="8">
        <f t="shared" si="6"/>
        <v>1</v>
      </c>
      <c r="T15" s="9">
        <f t="shared" si="7"/>
        <v>3.6845753362451518E-3</v>
      </c>
      <c r="U15" s="9">
        <f t="shared" si="8"/>
        <v>3.6831018008373823E-3</v>
      </c>
      <c r="V15" s="9">
        <f t="shared" si="12"/>
        <v>1.5405357140199348E-2</v>
      </c>
    </row>
    <row r="16" spans="1:25">
      <c r="A16" s="8">
        <f t="shared" si="5"/>
        <v>2.5000000000000001E-2</v>
      </c>
      <c r="B16" s="47">
        <f>B15*EXP((PL_r-0.5*Vol_a^2)*dt+Vol_a*SQRT(dt)*bs!A6)</f>
        <v>99.258064902598164</v>
      </c>
      <c r="C16" s="47">
        <f t="shared" si="0"/>
        <v>8.3695645708528374</v>
      </c>
      <c r="D16" s="44">
        <f t="shared" si="1"/>
        <v>0.56347075755189957</v>
      </c>
      <c r="E16" s="47">
        <f t="shared" si="9"/>
        <v>-47.559452452949763</v>
      </c>
      <c r="F16" s="47">
        <f t="shared" si="10"/>
        <v>47.782630962112535</v>
      </c>
      <c r="G16" s="47">
        <f t="shared" si="2"/>
        <v>0.22317850916277138</v>
      </c>
      <c r="H16" s="44"/>
      <c r="I16" s="44"/>
      <c r="J16" s="47">
        <f t="shared" si="11"/>
        <v>4.7439329043968574E-2</v>
      </c>
      <c r="Q16" s="8">
        <f t="shared" si="3"/>
        <v>100</v>
      </c>
      <c r="R16" s="9">
        <f t="shared" si="4"/>
        <v>2.0094103374228647E-2</v>
      </c>
      <c r="S16" s="8">
        <f t="shared" si="6"/>
        <v>-1</v>
      </c>
      <c r="T16" s="9">
        <f t="shared" si="7"/>
        <v>-1.9784247466095421E-2</v>
      </c>
      <c r="U16" s="9">
        <f t="shared" si="8"/>
        <v>-1.9774357814981186E-2</v>
      </c>
      <c r="V16" s="9">
        <f t="shared" si="12"/>
        <v>3.5948231404409319E-4</v>
      </c>
    </row>
    <row r="17" spans="1:22">
      <c r="A17" s="8">
        <f t="shared" si="5"/>
        <v>3.0000000000000002E-2</v>
      </c>
      <c r="B17" s="47">
        <f>B16*EXP((PL_r-0.5*Vol_a^2)*dt+Vol_a*SQRT(dt)*bs!A7)</f>
        <v>95.438197071249277</v>
      </c>
      <c r="C17" s="47">
        <f t="shared" si="0"/>
        <v>6.3434923422103253</v>
      </c>
      <c r="D17" s="44">
        <f t="shared" si="1"/>
        <v>0.48402178935487694</v>
      </c>
      <c r="E17" s="47">
        <f t="shared" si="9"/>
        <v>-39.850674577019127</v>
      </c>
      <c r="F17" s="47">
        <f t="shared" si="10"/>
        <v>40.204943180235006</v>
      </c>
      <c r="G17" s="47">
        <f t="shared" si="2"/>
        <v>0.35426860321587839</v>
      </c>
      <c r="H17" s="44"/>
      <c r="I17" s="44"/>
      <c r="J17" s="47">
        <f t="shared" si="11"/>
        <v>-7.5824662838948624</v>
      </c>
      <c r="Q17" s="8">
        <f t="shared" si="3"/>
        <v>100</v>
      </c>
      <c r="R17" s="9">
        <f t="shared" si="4"/>
        <v>2.120427689373023E-2</v>
      </c>
      <c r="S17" s="8">
        <f t="shared" si="6"/>
        <v>1</v>
      </c>
      <c r="T17" s="9">
        <f t="shared" si="7"/>
        <v>0.12370823826950128</v>
      </c>
      <c r="U17" s="9">
        <f t="shared" si="8"/>
        <v>0.12363403558956965</v>
      </c>
      <c r="V17" s="9">
        <f t="shared" si="12"/>
        <v>-3.8484206145841339E-2</v>
      </c>
    </row>
    <row r="18" spans="1:22">
      <c r="A18" s="8">
        <f t="shared" si="5"/>
        <v>3.5000000000000003E-2</v>
      </c>
      <c r="B18" s="47">
        <f>B17*EXP((PL_r-0.5*Vol_a^2)*dt+Vol_a*SQRT(dt)*bs!A8)</f>
        <v>93.015751938868775</v>
      </c>
      <c r="C18" s="47">
        <f t="shared" si="0"/>
        <v>5.2114483909910945</v>
      </c>
      <c r="D18" s="44">
        <f t="shared" si="1"/>
        <v>0.43170137457261315</v>
      </c>
      <c r="E18" s="47">
        <f t="shared" si="9"/>
        <v>-34.943579577923764</v>
      </c>
      <c r="F18" s="47">
        <f t="shared" si="10"/>
        <v>35.342341152858673</v>
      </c>
      <c r="G18" s="47">
        <f t="shared" si="2"/>
        <v>0.39876157493490894</v>
      </c>
      <c r="H18" s="44"/>
      <c r="I18" s="44"/>
      <c r="J18" s="47">
        <f t="shared" si="11"/>
        <v>-4.8666227227257721</v>
      </c>
      <c r="Q18" s="8">
        <f t="shared" si="3"/>
        <v>100</v>
      </c>
      <c r="R18" s="9">
        <f t="shared" si="4"/>
        <v>2.1509609516373741E-2</v>
      </c>
      <c r="S18" s="8">
        <f t="shared" si="6"/>
        <v>1</v>
      </c>
      <c r="T18" s="9">
        <f t="shared" si="7"/>
        <v>4.1338626974708151E-2</v>
      </c>
      <c r="U18" s="9">
        <f t="shared" si="8"/>
        <v>4.1309700061426688E-2</v>
      </c>
      <c r="V18" s="9">
        <f t="shared" si="12"/>
        <v>-2.5382343827933265E-2</v>
      </c>
    </row>
    <row r="19" spans="1:22">
      <c r="A19" s="8">
        <f t="shared" si="5"/>
        <v>0.04</v>
      </c>
      <c r="B19" s="47">
        <f>B18*EXP((PL_r-0.5*Vol_a^2)*dt+Vol_a*SQRT(dt)*bs!A9)</f>
        <v>87.197705708782237</v>
      </c>
      <c r="C19" s="47">
        <f t="shared" si="0"/>
        <v>3.0436233593448918</v>
      </c>
      <c r="D19" s="44">
        <f t="shared" si="1"/>
        <v>0.30743782403133257</v>
      </c>
      <c r="E19" s="47">
        <f t="shared" si="9"/>
        <v>-23.764249544287626</v>
      </c>
      <c r="F19" s="47">
        <f t="shared" si="10"/>
        <v>24.510379053264586</v>
      </c>
      <c r="G19" s="47">
        <f t="shared" si="2"/>
        <v>0.74612950897695995</v>
      </c>
      <c r="H19" s="44"/>
      <c r="I19" s="44"/>
      <c r="J19" s="47">
        <f t="shared" si="11"/>
        <v>-10.835496510426971</v>
      </c>
      <c r="Q19" s="8">
        <f t="shared" si="3"/>
        <v>100</v>
      </c>
      <c r="R19" s="9">
        <f t="shared" si="4"/>
        <v>2.0571769795268004E-2</v>
      </c>
      <c r="S19" s="8">
        <f t="shared" si="6"/>
        <v>1</v>
      </c>
      <c r="T19" s="9">
        <f t="shared" si="7"/>
        <v>0.29033842737989191</v>
      </c>
      <c r="U19" s="9">
        <f t="shared" si="8"/>
        <v>0.29010624952151415</v>
      </c>
      <c r="V19" s="9">
        <f t="shared" si="12"/>
        <v>-6.2549042595605064E-2</v>
      </c>
    </row>
    <row r="20" spans="1:22">
      <c r="A20" s="8">
        <f t="shared" si="5"/>
        <v>4.4999999999999998E-2</v>
      </c>
      <c r="B20" s="47">
        <f>B19*EXP((PL_r-0.5*Vol_a^2)*dt+Vol_a*SQRT(dt)*bs!A10)</f>
        <v>87.411230560893173</v>
      </c>
      <c r="C20" s="47">
        <f t="shared" si="0"/>
        <v>3.0915376173927953</v>
      </c>
      <c r="D20" s="44">
        <f t="shared" si="1"/>
        <v>0.31102355373025048</v>
      </c>
      <c r="E20" s="47">
        <f t="shared" si="9"/>
        <v>-24.095413947590476</v>
      </c>
      <c r="F20" s="47">
        <f t="shared" si="10"/>
        <v>24.82626325916705</v>
      </c>
      <c r="G20" s="47">
        <f t="shared" si="2"/>
        <v>0.73084931157657351</v>
      </c>
      <c r="H20" s="44"/>
      <c r="I20" s="44"/>
      <c r="J20" s="47">
        <f t="shared" si="11"/>
        <v>0.31343304544115508</v>
      </c>
      <c r="Q20" s="8">
        <f t="shared" si="3"/>
        <v>100</v>
      </c>
      <c r="R20" s="9">
        <f t="shared" si="4"/>
        <v>2.0679698073315836E-2</v>
      </c>
      <c r="S20" s="8">
        <f t="shared" si="6"/>
        <v>-1</v>
      </c>
      <c r="T20" s="9">
        <f t="shared" si="7"/>
        <v>-1.5327050010178055E-2</v>
      </c>
      <c r="U20" s="9">
        <f t="shared" si="8"/>
        <v>-1.5313261870762332E-2</v>
      </c>
      <c r="V20" s="9">
        <f t="shared" si="12"/>
        <v>2.4487439248006572E-3</v>
      </c>
    </row>
    <row r="21" spans="1:22">
      <c r="A21" s="8">
        <f t="shared" si="5"/>
        <v>4.9999999999999996E-2</v>
      </c>
      <c r="B21" s="47">
        <f>B20*EXP((PL_r-0.5*Vol_a^2)*dt+Vol_a*SQRT(dt)*bs!A11)</f>
        <v>88.212504097529362</v>
      </c>
      <c r="C21" s="47">
        <f t="shared" si="0"/>
        <v>3.3285563268974201</v>
      </c>
      <c r="D21" s="44">
        <f t="shared" si="1"/>
        <v>0.326909694274227</v>
      </c>
      <c r="E21" s="47">
        <f t="shared" si="9"/>
        <v>-25.5089664187899</v>
      </c>
      <c r="F21" s="47">
        <f t="shared" si="10"/>
        <v>26.230102247457879</v>
      </c>
      <c r="G21" s="47">
        <f t="shared" si="2"/>
        <v>0.72113582866797898</v>
      </c>
      <c r="H21" s="44"/>
      <c r="I21" s="44"/>
      <c r="J21" s="47">
        <f t="shared" si="11"/>
        <v>1.4013562378294564</v>
      </c>
      <c r="Q21" s="8">
        <f t="shared" si="3"/>
        <v>100</v>
      </c>
      <c r="R21" s="9">
        <f t="shared" si="4"/>
        <v>2.0980495485121448E-2</v>
      </c>
      <c r="S21" s="8">
        <f t="shared" si="6"/>
        <v>-1</v>
      </c>
      <c r="T21" s="9">
        <f t="shared" si="7"/>
        <v>-9.4666635801963373E-3</v>
      </c>
      <c r="U21" s="9">
        <f t="shared" si="8"/>
        <v>-9.4572016483705484E-3</v>
      </c>
      <c r="V21" s="9">
        <f t="shared" si="12"/>
        <v>9.1667115483289978E-3</v>
      </c>
    </row>
    <row r="22" spans="1:22">
      <c r="A22" s="8">
        <f t="shared" si="5"/>
        <v>5.4999999999999993E-2</v>
      </c>
      <c r="B22" s="47">
        <f>B21*EXP((PL_r-0.5*Vol_a^2)*dt+Vol_a*SQRT(dt)*bs!A12)</f>
        <v>89.394297918036742</v>
      </c>
      <c r="C22" s="47">
        <f t="shared" si="0"/>
        <v>3.7098216399126898</v>
      </c>
      <c r="D22" s="44">
        <f t="shared" si="1"/>
        <v>0.35114680964419898</v>
      </c>
      <c r="E22" s="47">
        <f t="shared" si="9"/>
        <v>-27.680700874388972</v>
      </c>
      <c r="F22" s="47">
        <f t="shared" si="10"/>
        <v>28.399385300894611</v>
      </c>
      <c r="G22" s="47">
        <f t="shared" si="2"/>
        <v>0.71868442650563935</v>
      </c>
      <c r="H22" s="44"/>
      <c r="I22" s="44"/>
      <c r="J22" s="47">
        <f t="shared" si="11"/>
        <v>2.166659912057102</v>
      </c>
      <c r="Q22" s="8">
        <f t="shared" si="3"/>
        <v>100</v>
      </c>
      <c r="R22" s="9">
        <f t="shared" si="4"/>
        <v>2.1336825340283843E-2</v>
      </c>
      <c r="S22" s="8">
        <f t="shared" si="6"/>
        <v>-1</v>
      </c>
      <c r="T22" s="9">
        <f t="shared" si="7"/>
        <v>-1.7491819125345304E-3</v>
      </c>
      <c r="U22" s="9">
        <f t="shared" si="8"/>
        <v>-1.7472588702978794E-3</v>
      </c>
      <c r="V22" s="9">
        <f t="shared" si="12"/>
        <v>1.3397123600535897E-2</v>
      </c>
    </row>
    <row r="23" spans="1:22">
      <c r="A23" s="8">
        <f t="shared" si="5"/>
        <v>5.9999999999999991E-2</v>
      </c>
      <c r="B23" s="47">
        <f>B22*EXP((PL_r-0.5*Vol_a^2)*dt+Vol_a*SQRT(dt)*bs!A13)</f>
        <v>86.632078177017092</v>
      </c>
      <c r="C23" s="47">
        <f t="shared" si="0"/>
        <v>2.8026896318093044</v>
      </c>
      <c r="D23" s="44">
        <f t="shared" si="1"/>
        <v>0.29248562948363999</v>
      </c>
      <c r="E23" s="47">
        <f t="shared" si="9"/>
        <v>-22.535948287271449</v>
      </c>
      <c r="F23" s="47">
        <f t="shared" si="10"/>
        <v>23.320285435800731</v>
      </c>
      <c r="G23" s="47">
        <f t="shared" si="2"/>
        <v>0.78433714852928205</v>
      </c>
      <c r="H23" s="44"/>
      <c r="I23" s="44"/>
      <c r="J23" s="47">
        <f t="shared" si="11"/>
        <v>-5.0819399456256305</v>
      </c>
      <c r="Q23" s="8">
        <f t="shared" si="3"/>
        <v>100</v>
      </c>
      <c r="R23" s="9">
        <f t="shared" si="4"/>
        <v>2.0458307450412064E-2</v>
      </c>
      <c r="S23" s="8">
        <f t="shared" si="6"/>
        <v>1</v>
      </c>
      <c r="T23" s="9">
        <f t="shared" si="7"/>
        <v>5.7944114809392509E-2</v>
      </c>
      <c r="U23" s="9">
        <f t="shared" si="8"/>
        <v>5.7874623574701002E-2</v>
      </c>
      <c r="V23" s="9">
        <f t="shared" si="12"/>
        <v>-3.0899283347493318E-2</v>
      </c>
    </row>
    <row r="24" spans="1:22">
      <c r="A24" s="8">
        <f t="shared" si="5"/>
        <v>6.4999999999999988E-2</v>
      </c>
      <c r="B24" s="47">
        <f>B23*EXP((PL_r-0.5*Vol_a^2)*dt+Vol_a*SQRT(dt)*bs!A14)</f>
        <v>87.236830772131185</v>
      </c>
      <c r="C24" s="47">
        <f t="shared" si="0"/>
        <v>2.96520153328186</v>
      </c>
      <c r="D24" s="44">
        <f t="shared" si="1"/>
        <v>0.30409485249824231</v>
      </c>
      <c r="E24" s="47">
        <f t="shared" si="9"/>
        <v>-23.563069652783497</v>
      </c>
      <c r="F24" s="47">
        <f t="shared" si="10"/>
        <v>24.33536940447042</v>
      </c>
      <c r="G24" s="47">
        <f t="shared" si="2"/>
        <v>0.77229975168692278</v>
      </c>
      <c r="H24" s="44"/>
      <c r="I24" s="44"/>
      <c r="J24" s="47">
        <f t="shared" si="11"/>
        <v>1.0127518235207933</v>
      </c>
      <c r="Q24" s="8">
        <f t="shared" si="3"/>
        <v>100</v>
      </c>
      <c r="R24" s="9">
        <f t="shared" si="4"/>
        <v>2.0734991734429303E-2</v>
      </c>
      <c r="S24" s="8">
        <f t="shared" si="6"/>
        <v>-1</v>
      </c>
      <c r="T24" s="9">
        <f t="shared" si="7"/>
        <v>-1.1935096100489881E-2</v>
      </c>
      <c r="U24" s="9">
        <f t="shared" si="8"/>
        <v>-1.1919590556346634E-2</v>
      </c>
      <c r="V24" s="9">
        <f t="shared" si="12"/>
        <v>6.980700542337093E-3</v>
      </c>
    </row>
    <row r="25" spans="1:22">
      <c r="A25" s="8">
        <f t="shared" si="5"/>
        <v>6.9999999999999993E-2</v>
      </c>
      <c r="B25" s="47">
        <f>B24*EXP((PL_r-0.5*Vol_a^2)*dt+Vol_a*SQRT(dt)*bs!A15)</f>
        <v>90.320248061128098</v>
      </c>
      <c r="C25" s="47">
        <f t="shared" si="0"/>
        <v>3.9824941718472893</v>
      </c>
      <c r="D25" s="44">
        <f t="shared" si="1"/>
        <v>0.36882031526597037</v>
      </c>
      <c r="E25" s="47">
        <f t="shared" si="9"/>
        <v>-29.329448192958626</v>
      </c>
      <c r="F25" s="47">
        <f t="shared" si="10"/>
        <v>30.18382291614428</v>
      </c>
      <c r="G25" s="47">
        <f t="shared" si="2"/>
        <v>0.85437472318565355</v>
      </c>
      <c r="H25" s="44"/>
      <c r="I25" s="44"/>
      <c r="J25" s="47">
        <f t="shared" si="11"/>
        <v>5.8460198530525087</v>
      </c>
      <c r="Q25" s="8">
        <f t="shared" si="3"/>
        <v>100</v>
      </c>
      <c r="R25" s="9">
        <f t="shared" si="4"/>
        <v>2.1651455714442328E-2</v>
      </c>
      <c r="S25" s="8">
        <f t="shared" si="6"/>
        <v>1</v>
      </c>
      <c r="T25" s="9">
        <f t="shared" si="7"/>
        <v>9.2666928397806367E-2</v>
      </c>
      <c r="U25" s="9">
        <f t="shared" si="8"/>
        <v>9.2537285469274422E-2</v>
      </c>
      <c r="V25" s="9">
        <f t="shared" si="12"/>
        <v>3.5345361147415107E-2</v>
      </c>
    </row>
    <row r="26" spans="1:22">
      <c r="A26" s="8">
        <f t="shared" si="5"/>
        <v>7.4999999999999997E-2</v>
      </c>
      <c r="B26" s="47">
        <f>B25*EXP((PL_r-0.5*Vol_a^2)*dt+Vol_a*SQRT(dt)*bs!A16)</f>
        <v>89.363978936497588</v>
      </c>
      <c r="C26" s="47">
        <f t="shared" si="0"/>
        <v>3.6197843351090633</v>
      </c>
      <c r="D26" s="44">
        <f t="shared" si="1"/>
        <v>0.34743351618719998</v>
      </c>
      <c r="E26" s="47">
        <f t="shared" si="9"/>
        <v>-27.428257087277171</v>
      </c>
      <c r="F26" s="47">
        <f t="shared" si="10"/>
        <v>28.275631986965699</v>
      </c>
      <c r="G26" s="47">
        <f t="shared" si="2"/>
        <v>0.84737489968852842</v>
      </c>
      <c r="H26" s="44"/>
      <c r="I26" s="44"/>
      <c r="J26" s="47">
        <f t="shared" si="11"/>
        <v>-1.9112094623943432</v>
      </c>
      <c r="Q26" s="8">
        <f t="shared" si="3"/>
        <v>100</v>
      </c>
      <c r="R26" s="9">
        <f t="shared" si="4"/>
        <v>2.1489925327408916E-2</v>
      </c>
      <c r="S26" s="8">
        <f t="shared" si="6"/>
        <v>-1</v>
      </c>
      <c r="T26" s="9">
        <f t="shared" si="7"/>
        <v>-7.5429053848772082E-3</v>
      </c>
      <c r="U26" s="9">
        <f t="shared" si="8"/>
        <v>-7.5315995083271563E-3</v>
      </c>
      <c r="V26" s="9">
        <f t="shared" si="12"/>
        <v>-1.0587538731994106E-2</v>
      </c>
    </row>
    <row r="27" spans="1:22">
      <c r="A27" s="8">
        <f t="shared" si="5"/>
        <v>0.08</v>
      </c>
      <c r="B27" s="47">
        <f>B26*EXP((PL_r-0.5*Vol_a^2)*dt+Vol_a*SQRT(dt)*bs!A17)</f>
        <v>90.066909943120535</v>
      </c>
      <c r="C27" s="47">
        <f t="shared" si="0"/>
        <v>3.8488736366873653</v>
      </c>
      <c r="D27" s="44">
        <f t="shared" si="1"/>
        <v>0.36184849557550303</v>
      </c>
      <c r="E27" s="47">
        <f t="shared" si="9"/>
        <v>-28.741702227365117</v>
      </c>
      <c r="F27" s="47">
        <f t="shared" si="10"/>
        <v>29.5767723419455</v>
      </c>
      <c r="G27" s="47">
        <f t="shared" si="2"/>
        <v>0.83507011458038249</v>
      </c>
      <c r="H27" s="44"/>
      <c r="I27" s="44"/>
      <c r="J27" s="47">
        <f t="shared" si="11"/>
        <v>1.2983126503982296</v>
      </c>
      <c r="Q27" s="8">
        <f t="shared" si="3"/>
        <v>100</v>
      </c>
      <c r="R27" s="9">
        <f t="shared" si="4"/>
        <v>2.1691133922531153E-2</v>
      </c>
      <c r="S27" s="8">
        <f t="shared" si="6"/>
        <v>-1</v>
      </c>
      <c r="T27" s="9">
        <f t="shared" si="7"/>
        <v>-1.2152390299715017E-2</v>
      </c>
      <c r="U27" s="9">
        <f t="shared" si="8"/>
        <v>-1.2132962022002343E-2</v>
      </c>
      <c r="V27" s="9">
        <f t="shared" si="12"/>
        <v>7.8659322804152752E-3</v>
      </c>
    </row>
    <row r="28" spans="1:22">
      <c r="A28" s="8">
        <f t="shared" si="5"/>
        <v>8.5000000000000006E-2</v>
      </c>
      <c r="B28" s="47">
        <f>B27*EXP((PL_r-0.5*Vol_a^2)*dt+Vol_a*SQRT(dt)*bs!A18)</f>
        <v>89.864938007957676</v>
      </c>
      <c r="C28" s="47">
        <f t="shared" si="0"/>
        <v>3.755900331821131</v>
      </c>
      <c r="D28" s="44">
        <f t="shared" si="1"/>
        <v>0.35670995898130398</v>
      </c>
      <c r="E28" s="47">
        <f t="shared" si="9"/>
        <v>-28.299818018854879</v>
      </c>
      <c r="F28" s="47">
        <f t="shared" si="10"/>
        <v>29.117955894579168</v>
      </c>
      <c r="G28" s="47">
        <f t="shared" si="2"/>
        <v>0.81813787572428964</v>
      </c>
      <c r="H28" s="44"/>
      <c r="I28" s="44"/>
      <c r="J28" s="47">
        <f t="shared" si="11"/>
        <v>-0.46177427248931963</v>
      </c>
      <c r="Q28" s="8">
        <f t="shared" si="3"/>
        <v>100</v>
      </c>
      <c r="R28" s="9">
        <f t="shared" si="4"/>
        <v>2.1691486605460279E-2</v>
      </c>
      <c r="S28" s="8">
        <f t="shared" si="6"/>
        <v>-1</v>
      </c>
      <c r="T28" s="9">
        <f t="shared" si="7"/>
        <v>-1.7076964483899205E-2</v>
      </c>
      <c r="U28" s="9">
        <f t="shared" si="8"/>
        <v>-1.7047958306513008E-2</v>
      </c>
      <c r="V28" s="9">
        <f t="shared" si="12"/>
        <v>-2.2424654658454446E-3</v>
      </c>
    </row>
    <row r="29" spans="1:22">
      <c r="A29" s="8">
        <f t="shared" si="5"/>
        <v>9.0000000000000011E-2</v>
      </c>
      <c r="B29" s="47">
        <f>B28*EXP((PL_r-0.5*Vol_a^2)*dt+Vol_a*SQRT(dt)*bs!A19)</f>
        <v>91.377474738616201</v>
      </c>
      <c r="C29" s="47">
        <f t="shared" si="0"/>
        <v>4.298887977477964</v>
      </c>
      <c r="D29" s="44">
        <f t="shared" si="1"/>
        <v>0.3890340881865697</v>
      </c>
      <c r="E29" s="47">
        <f t="shared" si="9"/>
        <v>-31.250064588250897</v>
      </c>
      <c r="F29" s="47">
        <f t="shared" si="10"/>
        <v>32.074565135665196</v>
      </c>
      <c r="G29" s="47">
        <f t="shared" si="2"/>
        <v>0.82450054741429923</v>
      </c>
      <c r="H29" s="44"/>
      <c r="I29" s="44"/>
      <c r="J29" s="47">
        <f t="shared" si="11"/>
        <v>2.9536972999019353</v>
      </c>
      <c r="Q29" s="8">
        <f t="shared" si="3"/>
        <v>100</v>
      </c>
      <c r="R29" s="9">
        <f t="shared" si="4"/>
        <v>2.1992352781615151E-2</v>
      </c>
      <c r="S29" s="8">
        <f t="shared" si="6"/>
        <v>1</v>
      </c>
      <c r="T29" s="9">
        <f t="shared" si="7"/>
        <v>7.6473868294028432E-3</v>
      </c>
      <c r="U29" s="9">
        <f t="shared" si="8"/>
        <v>7.6336339144466659E-3</v>
      </c>
      <c r="V29" s="9">
        <f t="shared" si="12"/>
        <v>1.6831222100488038E-2</v>
      </c>
    </row>
    <row r="30" spans="1:22">
      <c r="A30" s="8">
        <f t="shared" si="5"/>
        <v>9.5000000000000015E-2</v>
      </c>
      <c r="B30" s="47">
        <f>B29*EXP((PL_r-0.5*Vol_a^2)*dt+Vol_a*SQRT(dt)*bs!A20)</f>
        <v>88.444379073313144</v>
      </c>
      <c r="C30" s="47">
        <f t="shared" si="0"/>
        <v>3.2324525627271576</v>
      </c>
      <c r="D30" s="44">
        <f t="shared" si="1"/>
        <v>0.32450423317273802</v>
      </c>
      <c r="E30" s="47">
        <f t="shared" si="9"/>
        <v>-25.46812284689728</v>
      </c>
      <c r="F30" s="47">
        <f t="shared" si="10"/>
        <v>26.370469794167672</v>
      </c>
      <c r="G30" s="47">
        <f t="shared" si="2"/>
        <v>0.90234694727039155</v>
      </c>
      <c r="H30" s="44"/>
      <c r="I30" s="44"/>
      <c r="J30" s="47">
        <f t="shared" si="11"/>
        <v>-5.707302958389266</v>
      </c>
      <c r="Q30" s="8">
        <f t="shared" si="3"/>
        <v>100</v>
      </c>
      <c r="R30" s="9">
        <f t="shared" si="4"/>
        <v>2.1374843509467303E-2</v>
      </c>
      <c r="S30" s="8">
        <f t="shared" si="6"/>
        <v>1</v>
      </c>
      <c r="T30" s="9">
        <f t="shared" si="7"/>
        <v>6.9416295124319793E-2</v>
      </c>
      <c r="U30" s="9">
        <f t="shared" si="8"/>
        <v>6.9284529380679569E-2</v>
      </c>
      <c r="V30" s="9">
        <f t="shared" si="12"/>
        <v>-3.2098672826023369E-2</v>
      </c>
    </row>
    <row r="31" spans="1:22">
      <c r="A31" s="8">
        <f t="shared" si="5"/>
        <v>0.10000000000000002</v>
      </c>
      <c r="B31" s="47">
        <f>B30*EXP((PL_r-0.5*Vol_a^2)*dt+Vol_a*SQRT(dt)*bs!A21)</f>
        <v>88.061161614383778</v>
      </c>
      <c r="C31" s="47">
        <f t="shared" si="0"/>
        <v>3.0907055103533061</v>
      </c>
      <c r="D31" s="44">
        <f t="shared" si="1"/>
        <v>0.31549191883104233</v>
      </c>
      <c r="E31" s="47">
        <f t="shared" si="9"/>
        <v>-24.69187934185916</v>
      </c>
      <c r="F31" s="47">
        <f t="shared" si="10"/>
        <v>25.579472103240143</v>
      </c>
      <c r="G31" s="47">
        <f t="shared" si="2"/>
        <v>0.88759276138098286</v>
      </c>
      <c r="H31" s="44"/>
      <c r="I31" s="44"/>
      <c r="J31" s="47">
        <f t="shared" si="11"/>
        <v>-0.79363486976369313</v>
      </c>
      <c r="Q31" s="8">
        <f t="shared" si="3"/>
        <v>100</v>
      </c>
      <c r="R31" s="9">
        <f t="shared" si="4"/>
        <v>2.1275131197640702E-2</v>
      </c>
      <c r="S31" s="8">
        <f t="shared" si="6"/>
        <v>-1</v>
      </c>
      <c r="T31" s="9">
        <f t="shared" si="7"/>
        <v>-1.4949692907210491E-2</v>
      </c>
      <c r="U31" s="9">
        <f t="shared" si="8"/>
        <v>-1.4919823400858923E-2</v>
      </c>
      <c r="V31" s="9">
        <f t="shared" si="12"/>
        <v>-4.3328639190480366E-3</v>
      </c>
    </row>
    <row r="32" spans="1:22">
      <c r="A32" s="8">
        <f t="shared" si="5"/>
        <v>0.10500000000000002</v>
      </c>
      <c r="B32" s="47">
        <f>B31*EXP((PL_r-0.5*Vol_a^2)*dt+Vol_a*SQRT(dt)*bs!A22)</f>
        <v>82.613557970984303</v>
      </c>
      <c r="C32" s="47">
        <f t="shared" si="0"/>
        <v>1.6611217810283438</v>
      </c>
      <c r="D32" s="44">
        <f t="shared" si="1"/>
        <v>0.20604006372322359</v>
      </c>
      <c r="E32" s="47">
        <f t="shared" si="9"/>
        <v>-15.360580967715487</v>
      </c>
      <c r="F32" s="47">
        <f t="shared" si="10"/>
        <v>16.539823001370536</v>
      </c>
      <c r="G32" s="47">
        <f t="shared" si="2"/>
        <v>1.1792420336550489</v>
      </c>
      <c r="H32" s="44"/>
      <c r="I32" s="44"/>
      <c r="J32" s="47">
        <f t="shared" si="11"/>
        <v>-9.0422071769815577</v>
      </c>
      <c r="Q32" s="8">
        <f t="shared" si="3"/>
        <v>100</v>
      </c>
      <c r="R32" s="9">
        <f t="shared" si="4"/>
        <v>1.8231505428184459E-2</v>
      </c>
      <c r="S32" s="8">
        <f t="shared" si="6"/>
        <v>1</v>
      </c>
      <c r="T32" s="9">
        <f t="shared" si="7"/>
        <v>0.22564492374058012</v>
      </c>
      <c r="U32" s="9">
        <f t="shared" si="8"/>
        <v>0.22517156659968157</v>
      </c>
      <c r="V32" s="9">
        <f t="shared" si="12"/>
        <v>-6.1861591915563278E-2</v>
      </c>
    </row>
    <row r="33" spans="1:22">
      <c r="A33" s="8">
        <f t="shared" si="5"/>
        <v>0.11000000000000003</v>
      </c>
      <c r="B33" s="47">
        <f>B32*EXP((PL_r-0.5*Vol_a^2)*dt+Vol_a*SQRT(dt)*bs!A23)</f>
        <v>86.730794923485178</v>
      </c>
      <c r="C33" s="47">
        <f t="shared" si="0"/>
        <v>2.6540062270780851</v>
      </c>
      <c r="D33" s="44">
        <f t="shared" si="1"/>
        <v>0.28575358443170085</v>
      </c>
      <c r="E33" s="47">
        <f t="shared" si="9"/>
        <v>-22.129629302918566</v>
      </c>
      <c r="F33" s="47">
        <f t="shared" si="10"/>
        <v>23.455094083568476</v>
      </c>
      <c r="G33" s="47">
        <f t="shared" si="2"/>
        <v>1.3254647806499094</v>
      </c>
      <c r="H33" s="44"/>
      <c r="I33" s="44"/>
      <c r="J33" s="47">
        <f t="shared" si="11"/>
        <v>6.9136170171959304</v>
      </c>
      <c r="Q33" s="8">
        <f t="shared" si="3"/>
        <v>100</v>
      </c>
      <c r="R33" s="9">
        <f t="shared" si="4"/>
        <v>2.0772479632123014E-2</v>
      </c>
      <c r="S33" s="8">
        <f t="shared" si="6"/>
        <v>1</v>
      </c>
      <c r="T33" s="9">
        <f t="shared" si="7"/>
        <v>0.17842465066288868</v>
      </c>
      <c r="U33" s="9">
        <f t="shared" si="8"/>
        <v>0.17803254790261472</v>
      </c>
      <c r="V33" s="9">
        <f t="shared" si="12"/>
        <v>4.9837303387259252E-2</v>
      </c>
    </row>
    <row r="34" spans="1:22">
      <c r="A34" s="8">
        <f t="shared" si="5"/>
        <v>0.11500000000000003</v>
      </c>
      <c r="B34" s="47">
        <f>B33*EXP((PL_r-0.5*Vol_a^2)*dt+Vol_a*SQRT(dt)*bs!A24)</f>
        <v>86.705880347599617</v>
      </c>
      <c r="C34" s="47">
        <f t="shared" si="0"/>
        <v>2.6290698432165946</v>
      </c>
      <c r="D34" s="44">
        <f t="shared" si="1"/>
        <v>0.28433228472007965</v>
      </c>
      <c r="E34" s="47">
        <f t="shared" si="9"/>
        <v>-22.024211214682257</v>
      </c>
      <c r="F34" s="47">
        <f t="shared" si="10"/>
        <v>23.334204667522307</v>
      </c>
      <c r="G34" s="47">
        <f t="shared" si="2"/>
        <v>1.3099934528400503</v>
      </c>
      <c r="I34" s="44"/>
      <c r="J34" s="47">
        <f t="shared" si="11"/>
        <v>-0.12323504273390504</v>
      </c>
      <c r="Q34" s="8">
        <f t="shared" si="3"/>
        <v>100</v>
      </c>
      <c r="R34" s="9">
        <f t="shared" si="4"/>
        <v>2.0787582430501435E-2</v>
      </c>
      <c r="S34" s="8">
        <f t="shared" si="6"/>
        <v>-1</v>
      </c>
      <c r="T34" s="9">
        <f t="shared" si="7"/>
        <v>-1.5621468636914554E-2</v>
      </c>
      <c r="U34" s="9">
        <f t="shared" si="8"/>
        <v>-1.5585580546174666E-2</v>
      </c>
      <c r="V34" s="9">
        <f t="shared" si="12"/>
        <v>-2.8726331757411371E-4</v>
      </c>
    </row>
    <row r="35" spans="1:22">
      <c r="A35" s="8">
        <f t="shared" si="5"/>
        <v>0.12000000000000004</v>
      </c>
      <c r="B35" s="47">
        <f>B34*EXP((PL_r-0.5*Vol_a^2)*dt+Vol_a*SQRT(dt)*bs!A25)</f>
        <v>87.402098881390145</v>
      </c>
      <c r="C35" s="47">
        <f t="shared" si="0"/>
        <v>2.8136303244291163</v>
      </c>
      <c r="D35" s="44">
        <f t="shared" si="1"/>
        <v>0.2980299393903435</v>
      </c>
      <c r="E35" s="47">
        <f t="shared" si="9"/>
        <v>-23.234811907780397</v>
      </c>
      <c r="F35" s="47">
        <f t="shared" si="10"/>
        <v>24.533741972597511</v>
      </c>
      <c r="G35" s="47">
        <f t="shared" si="2"/>
        <v>1.2989300648171138</v>
      </c>
      <c r="I35" s="44"/>
      <c r="J35" s="47">
        <f t="shared" si="11"/>
        <v>1.1972037679335363</v>
      </c>
      <c r="Q35" s="8">
        <f t="shared" si="3"/>
        <v>100</v>
      </c>
      <c r="R35" s="9">
        <f t="shared" si="4"/>
        <v>2.1139900896770918E-2</v>
      </c>
      <c r="S35" s="8">
        <f t="shared" si="6"/>
        <v>-1</v>
      </c>
      <c r="T35" s="9">
        <f t="shared" si="7"/>
        <v>-1.094295980545997E-2</v>
      </c>
      <c r="U35" s="9">
        <f t="shared" si="8"/>
        <v>-1.0916728192453647E-2</v>
      </c>
      <c r="V35" s="9">
        <f t="shared" si="12"/>
        <v>8.02965763105596E-3</v>
      </c>
    </row>
    <row r="36" spans="1:22">
      <c r="A36" s="8">
        <f t="shared" si="5"/>
        <v>0.12500000000000003</v>
      </c>
      <c r="B36" s="47">
        <f>B35*EXP((PL_r-0.5*Vol_a^2)*dt+Vol_a*SQRT(dt)*bs!A26)</f>
        <v>91.632594737361146</v>
      </c>
      <c r="C36" s="47">
        <f t="shared" si="0"/>
        <v>4.2462588026775343</v>
      </c>
      <c r="D36" s="44">
        <f t="shared" si="1"/>
        <v>0.38973894719879176</v>
      </c>
      <c r="E36" s="47">
        <f t="shared" si="9"/>
        <v>-31.466532199355147</v>
      </c>
      <c r="F36" s="47">
        <f t="shared" si="10"/>
        <v>32.939729815744599</v>
      </c>
      <c r="G36" s="47">
        <f t="shared" si="2"/>
        <v>1.4731976163894522</v>
      </c>
      <c r="I36" s="44"/>
      <c r="J36" s="47">
        <f t="shared" si="11"/>
        <v>8.4035343462770289</v>
      </c>
      <c r="Q36" s="8">
        <f t="shared" si="3"/>
        <v>100</v>
      </c>
      <c r="R36" s="9">
        <f t="shared" si="4"/>
        <v>2.2376994772827924E-2</v>
      </c>
      <c r="S36" s="8">
        <f t="shared" si="6"/>
        <v>1</v>
      </c>
      <c r="T36" s="9">
        <f t="shared" si="7"/>
        <v>0.20130627703804274</v>
      </c>
      <c r="U36" s="9">
        <f t="shared" si="8"/>
        <v>0.20080363990365577</v>
      </c>
      <c r="V36" s="9">
        <f t="shared" si="12"/>
        <v>4.8402680371692618E-2</v>
      </c>
    </row>
    <row r="37" spans="1:22">
      <c r="A37" s="8">
        <f t="shared" si="5"/>
        <v>0.13000000000000003</v>
      </c>
      <c r="B37" s="47">
        <f>B36*EXP((PL_r-0.5*Vol_a^2)*dt+Vol_a*SQRT(dt)*bs!A27)</f>
        <v>92.075679351069311</v>
      </c>
      <c r="C37" s="47">
        <f t="shared" si="0"/>
        <v>4.3988735333158075</v>
      </c>
      <c r="D37" s="44">
        <f t="shared" si="1"/>
        <v>0.39896892616698976</v>
      </c>
      <c r="E37" s="47">
        <f t="shared" si="9"/>
        <v>-32.33646138347639</v>
      </c>
      <c r="F37" s="47">
        <f t="shared" si="10"/>
        <v>33.792880537323228</v>
      </c>
      <c r="G37" s="47">
        <f t="shared" si="2"/>
        <v>1.4564191538468378</v>
      </c>
      <c r="I37" s="44"/>
      <c r="J37" s="47">
        <f t="shared" si="11"/>
        <v>0.84985658389291208</v>
      </c>
      <c r="Q37" s="8">
        <f t="shared" si="3"/>
        <v>100</v>
      </c>
      <c r="R37" s="9">
        <f t="shared" si="4"/>
        <v>2.2477223706495405E-2</v>
      </c>
      <c r="S37" s="8">
        <f t="shared" si="6"/>
        <v>-1</v>
      </c>
      <c r="T37" s="9">
        <f t="shared" si="7"/>
        <v>-1.6828236063440482E-2</v>
      </c>
      <c r="U37" s="9">
        <f t="shared" si="8"/>
        <v>-1.6784539479849946E-2</v>
      </c>
      <c r="V37" s="9">
        <f t="shared" si="12"/>
        <v>4.8354476371442094E-3</v>
      </c>
    </row>
    <row r="38" spans="1:22">
      <c r="A38" s="8">
        <f t="shared" si="5"/>
        <v>0.13500000000000004</v>
      </c>
      <c r="B38" s="47">
        <f>B37*EXP((PL_r-0.5*Vol_a^2)*dt+Vol_a*SQRT(dt)*bs!A28)</f>
        <v>96.733570605916981</v>
      </c>
      <c r="C38" s="47">
        <f t="shared" si="0"/>
        <v>6.4761856763143157</v>
      </c>
      <c r="D38" s="44">
        <f t="shared" si="1"/>
        <v>0.50298183998634916</v>
      </c>
      <c r="E38" s="47">
        <f t="shared" si="9"/>
        <v>-42.179043655499228</v>
      </c>
      <c r="F38" s="47">
        <f t="shared" si="10"/>
        <v>43.857800537219156</v>
      </c>
      <c r="G38" s="47">
        <f t="shared" si="2"/>
        <v>1.6787568817199272</v>
      </c>
      <c r="I38" s="44"/>
      <c r="J38" s="47">
        <f t="shared" si="11"/>
        <v>10.06154054287216</v>
      </c>
      <c r="Q38" s="8">
        <f t="shared" si="3"/>
        <v>100</v>
      </c>
      <c r="R38" s="9">
        <f t="shared" si="4"/>
        <v>2.2170866668478839E-2</v>
      </c>
      <c r="S38" s="8">
        <f t="shared" si="6"/>
        <v>1</v>
      </c>
      <c r="T38" s="9">
        <f t="shared" si="7"/>
        <v>0.24471194292230961</v>
      </c>
      <c r="U38" s="9">
        <f t="shared" si="8"/>
        <v>0.24405211184921538</v>
      </c>
      <c r="V38" s="9">
        <f t="shared" si="12"/>
        <v>5.0587639294931527E-2</v>
      </c>
    </row>
    <row r="39" spans="1:22">
      <c r="A39" s="8">
        <f t="shared" si="5"/>
        <v>0.14000000000000004</v>
      </c>
      <c r="B39" s="47">
        <f>B38*EXP((PL_r-0.5*Vol_a^2)*dt+Vol_a*SQRT(dt)*bs!A29)</f>
        <v>96.21886944944454</v>
      </c>
      <c r="C39" s="47">
        <f t="shared" si="0"/>
        <v>6.1954669971983378</v>
      </c>
      <c r="D39" s="44">
        <f t="shared" si="1"/>
        <v>0.49108564973237057</v>
      </c>
      <c r="E39" s="47">
        <f t="shared" si="9"/>
        <v>-41.056239022896271</v>
      </c>
      <c r="F39" s="47">
        <f t="shared" si="10"/>
        <v>42.717548559575867</v>
      </c>
      <c r="G39" s="47">
        <f t="shared" si="2"/>
        <v>1.661309536679596</v>
      </c>
      <c r="I39" s="44"/>
      <c r="J39" s="47">
        <f t="shared" si="11"/>
        <v>-1.1446379769933204</v>
      </c>
      <c r="Q39" s="8">
        <f t="shared" si="3"/>
        <v>100</v>
      </c>
      <c r="R39" s="9">
        <f t="shared" si="4"/>
        <v>2.2349209181667364E-2</v>
      </c>
      <c r="S39" s="8">
        <f t="shared" si="6"/>
        <v>-1</v>
      </c>
      <c r="T39" s="9">
        <f t="shared" si="7"/>
        <v>-1.7762129397296721E-2</v>
      </c>
      <c r="U39" s="9">
        <f t="shared" si="8"/>
        <v>-1.7712464997591281E-2</v>
      </c>
      <c r="V39" s="9">
        <f t="shared" si="12"/>
        <v>-5.3208121363500843E-3</v>
      </c>
    </row>
    <row r="40" spans="1:22">
      <c r="A40" s="8">
        <f t="shared" si="5"/>
        <v>0.14500000000000005</v>
      </c>
      <c r="B40" s="47">
        <f>B39*EXP((PL_r-0.5*Vol_a^2)*dt+Vol_a*SQRT(dt)*bs!A30)</f>
        <v>95.557369726056777</v>
      </c>
      <c r="C40" s="47">
        <f t="shared" si="0"/>
        <v>5.8509994238399514</v>
      </c>
      <c r="D40" s="44">
        <f t="shared" si="1"/>
        <v>0.4757602602462031</v>
      </c>
      <c r="E40" s="47">
        <f t="shared" si="9"/>
        <v>-39.611399665471474</v>
      </c>
      <c r="F40" s="47">
        <f t="shared" si="10"/>
        <v>41.257366618701163</v>
      </c>
      <c r="G40" s="47">
        <f t="shared" si="2"/>
        <v>1.6459669532296886</v>
      </c>
      <c r="I40" s="44"/>
      <c r="J40" s="47">
        <f t="shared" si="11"/>
        <v>-1.4644539093255275</v>
      </c>
      <c r="Q40" s="8">
        <f t="shared" si="3"/>
        <v>100</v>
      </c>
      <c r="R40" s="9">
        <f t="shared" si="4"/>
        <v>2.2533579518386571E-2</v>
      </c>
      <c r="S40" s="8">
        <f t="shared" si="6"/>
        <v>-1</v>
      </c>
      <c r="T40" s="9">
        <f t="shared" si="7"/>
        <v>-1.5713299553603663E-2</v>
      </c>
      <c r="U40" s="9">
        <f t="shared" si="8"/>
        <v>-1.5667796995497172E-2</v>
      </c>
      <c r="V40" s="9">
        <f t="shared" si="12"/>
        <v>-6.8749479927669409E-3</v>
      </c>
    </row>
    <row r="41" spans="1:22">
      <c r="A41" s="8">
        <f t="shared" si="5"/>
        <v>0.15000000000000005</v>
      </c>
      <c r="B41" s="47">
        <f>B40*EXP((PL_r-0.5*Vol_a^2)*dt+Vol_a*SQRT(dt)*bs!A31)</f>
        <v>97.316348945015307</v>
      </c>
      <c r="C41" s="47">
        <f t="shared" si="0"/>
        <v>6.6972102804790055</v>
      </c>
      <c r="D41" s="44">
        <f t="shared" si="1"/>
        <v>0.51470210071220401</v>
      </c>
      <c r="E41" s="47">
        <f t="shared" si="9"/>
        <v>-43.391718955162254</v>
      </c>
      <c r="F41" s="47">
        <f t="shared" si="10"/>
        <v>45.051170297007204</v>
      </c>
      <c r="G41" s="47">
        <f t="shared" si="2"/>
        <v>1.6594513418449495</v>
      </c>
      <c r="I41" s="44"/>
      <c r="J41" s="47">
        <f t="shared" si="11"/>
        <v>3.789677735350462</v>
      </c>
      <c r="Q41" s="8">
        <f t="shared" si="3"/>
        <v>100</v>
      </c>
      <c r="R41" s="9">
        <f t="shared" si="4"/>
        <v>2.2217222292478609E-2</v>
      </c>
      <c r="S41" s="8">
        <f t="shared" si="6"/>
        <v>1</v>
      </c>
      <c r="T41" s="9">
        <f t="shared" si="7"/>
        <v>1.4606360183748727E-2</v>
      </c>
      <c r="U41" s="9">
        <f t="shared" si="8"/>
        <v>1.4562606766138953E-2</v>
      </c>
      <c r="V41" s="9">
        <f t="shared" si="12"/>
        <v>1.8407572581802527E-2</v>
      </c>
    </row>
    <row r="42" spans="1:22">
      <c r="A42" s="8">
        <f t="shared" si="5"/>
        <v>0.15500000000000005</v>
      </c>
      <c r="B42" s="47">
        <f>B41*EXP((PL_r-0.5*Vol_a^2)*dt+Vol_a*SQRT(dt)*bs!A32)</f>
        <v>95.625936717882638</v>
      </c>
      <c r="C42" s="47">
        <f t="shared" si="0"/>
        <v>5.8344179124807951</v>
      </c>
      <c r="D42" s="44">
        <f t="shared" si="1"/>
        <v>0.47630468741512932</v>
      </c>
      <c r="E42" s="47">
        <f t="shared" si="9"/>
        <v>-39.712663984709231</v>
      </c>
      <c r="F42" s="47">
        <f t="shared" si="10"/>
        <v>41.383887025223821</v>
      </c>
      <c r="G42" s="47">
        <f t="shared" si="2"/>
        <v>1.6712230405145903</v>
      </c>
      <c r="I42" s="44"/>
      <c r="J42" s="47">
        <f t="shared" si="11"/>
        <v>-3.6717886140764495</v>
      </c>
      <c r="Q42" s="8">
        <f t="shared" si="3"/>
        <v>100</v>
      </c>
      <c r="R42" s="9">
        <f t="shared" si="4"/>
        <v>2.2652131058954073E-2</v>
      </c>
      <c r="S42" s="8">
        <f t="shared" si="6"/>
        <v>1</v>
      </c>
      <c r="T42" s="9">
        <f t="shared" si="7"/>
        <v>1.0535741745921916E-2</v>
      </c>
      <c r="U42" s="9">
        <f t="shared" si="8"/>
        <v>1.0503131518477451E-2</v>
      </c>
      <c r="V42" s="9">
        <f t="shared" si="12"/>
        <v>-1.7370279973077989E-2</v>
      </c>
    </row>
    <row r="43" spans="1:22">
      <c r="A43" s="8">
        <f t="shared" si="5"/>
        <v>0.16000000000000006</v>
      </c>
      <c r="B43" s="47">
        <f>B42*EXP((PL_r-0.5*Vol_a^2)*dt+Vol_a*SQRT(dt)*bs!A33)</f>
        <v>97.561726350764658</v>
      </c>
      <c r="C43" s="47">
        <f t="shared" si="0"/>
        <v>6.7731051118615753</v>
      </c>
      <c r="D43" s="44">
        <f t="shared" ref="D43:D74" si="13">CallDelta(B43,$E$6,0,PL_r, PL_K, PL_T-A43)</f>
        <v>0.51939527877474057</v>
      </c>
      <c r="E43" s="47">
        <f t="shared" si="9"/>
        <v>-43.899994943838784</v>
      </c>
      <c r="F43" s="47">
        <f t="shared" si="10"/>
        <v>45.5920181033717</v>
      </c>
      <c r="G43" s="47">
        <f t="shared" ref="G43:G74" si="14">F43+E43</f>
        <v>1.6920231595329156</v>
      </c>
      <c r="I43" s="44"/>
      <c r="J43" s="47">
        <f t="shared" si="11"/>
        <v>4.2039924825190162</v>
      </c>
      <c r="Q43" s="8">
        <f t="shared" ref="Q43:Q74" si="15">PL_K</f>
        <v>100</v>
      </c>
      <c r="R43" s="9">
        <f t="shared" ref="R43:R74" si="16">CallGamma(B43,$E$6,0,PL_r, PL_K, PL_T-A43)</f>
        <v>2.2281647847555326E-2</v>
      </c>
      <c r="S43" s="8">
        <f t="shared" si="6"/>
        <v>1</v>
      </c>
      <c r="T43" s="9">
        <f t="shared" si="7"/>
        <v>2.2246822877144426E-2</v>
      </c>
      <c r="U43" s="9">
        <f t="shared" si="8"/>
        <v>2.2175746826270513E-2</v>
      </c>
      <c r="V43" s="9">
        <f t="shared" si="12"/>
        <v>2.0243353417734582E-2</v>
      </c>
    </row>
    <row r="44" spans="1:22">
      <c r="A44" s="8">
        <f t="shared" ref="A44:A75" si="17">A43+dt</f>
        <v>0.16500000000000006</v>
      </c>
      <c r="B44" s="47">
        <f>B43*EXP((PL_r-0.5*Vol_a^2)*dt+Vol_a*SQRT(dt)*bs!A34)</f>
        <v>95.223796336863742</v>
      </c>
      <c r="C44" s="47">
        <f t="shared" si="0"/>
        <v>5.5956416113896594</v>
      </c>
      <c r="D44" s="44">
        <f t="shared" si="13"/>
        <v>0.46611758895256117</v>
      </c>
      <c r="E44" s="47">
        <f t="shared" si="9"/>
        <v>-38.789844748058997</v>
      </c>
      <c r="F44" s="47">
        <f t="shared" ref="F44:F75" si="18">J44+F43*EXP(PL_r*dt)</f>
        <v>40.52327364822392</v>
      </c>
      <c r="G44" s="47">
        <f t="shared" si="14"/>
        <v>1.7334289001649239</v>
      </c>
      <c r="I44" s="44"/>
      <c r="J44" s="47">
        <f t="shared" ref="J44:J75" si="19">(D44-D43)*B44</f>
        <v>-5.0733038849258092</v>
      </c>
      <c r="Q44" s="8">
        <f t="shared" si="15"/>
        <v>100</v>
      </c>
      <c r="R44" s="9">
        <f t="shared" si="16"/>
        <v>2.2841322409656528E-2</v>
      </c>
      <c r="S44" s="8">
        <f t="shared" ref="S44:S75" si="20">IF(V44^2 &lt; ($E$6^2*dt), -1, 1)</f>
        <v>1</v>
      </c>
      <c r="T44" s="9">
        <f t="shared" ref="T44:T75" si="21">0.5*R44*(B44^2)*(V44^2-$E$6^2*dt)</f>
        <v>3.8756872985183502E-2</v>
      </c>
      <c r="U44" s="9">
        <f t="shared" ref="U44:U75" si="22">T44*EXP(-PL_r*A44)</f>
        <v>3.8629186103562897E-2</v>
      </c>
      <c r="V44" s="9">
        <f t="shared" si="12"/>
        <v>-2.3963598240311294E-2</v>
      </c>
    </row>
    <row r="45" spans="1:22">
      <c r="A45" s="8">
        <f t="shared" si="17"/>
        <v>0.17000000000000007</v>
      </c>
      <c r="B45" s="47">
        <f>B44*EXP((PL_r-0.5*Vol_a^2)*dt+Vol_a*SQRT(dt)*bs!A35)</f>
        <v>91.999253520666016</v>
      </c>
      <c r="C45" s="47">
        <f t="shared" si="0"/>
        <v>4.1892121874114707</v>
      </c>
      <c r="D45" s="44">
        <f t="shared" si="13"/>
        <v>0.39148460495973725</v>
      </c>
      <c r="E45" s="47">
        <f t="shared" si="9"/>
        <v>-31.827079233717178</v>
      </c>
      <c r="F45" s="47">
        <f t="shared" si="18"/>
        <v>33.661147362852248</v>
      </c>
      <c r="G45" s="47">
        <f t="shared" si="14"/>
        <v>1.8340681291350691</v>
      </c>
      <c r="I45" s="44"/>
      <c r="J45" s="47">
        <f t="shared" si="19"/>
        <v>-6.8661788153596168</v>
      </c>
      <c r="Q45" s="8">
        <f t="shared" si="15"/>
        <v>100</v>
      </c>
      <c r="R45" s="9">
        <f t="shared" si="16"/>
        <v>2.2912946977632298E-2</v>
      </c>
      <c r="S45" s="8">
        <f t="shared" si="20"/>
        <v>1</v>
      </c>
      <c r="T45" s="9">
        <f t="shared" si="21"/>
        <v>9.1796577162248344E-2</v>
      </c>
      <c r="U45" s="9">
        <f t="shared" si="22"/>
        <v>9.1484998783294705E-2</v>
      </c>
      <c r="V45" s="9">
        <f t="shared" si="12"/>
        <v>-3.3862783676367844E-2</v>
      </c>
    </row>
    <row r="46" spans="1:22">
      <c r="A46" s="8">
        <f t="shared" si="17"/>
        <v>0.17500000000000007</v>
      </c>
      <c r="B46" s="47">
        <f>B45*EXP((PL_r-0.5*Vol_a^2)*dt+Vol_a*SQRT(dt)*bs!A36)</f>
        <v>90.355262752089203</v>
      </c>
      <c r="C46" s="47">
        <f t="shared" si="0"/>
        <v>3.5551608572928153</v>
      </c>
      <c r="D46" s="44">
        <f t="shared" si="13"/>
        <v>0.35321885865661651</v>
      </c>
      <c r="E46" s="47">
        <f t="shared" si="9"/>
        <v>-28.360021925618828</v>
      </c>
      <c r="F46" s="47">
        <f t="shared" si="18"/>
        <v>30.20700208427662</v>
      </c>
      <c r="G46" s="47">
        <f t="shared" si="14"/>
        <v>1.846980158657793</v>
      </c>
      <c r="I46" s="44"/>
      <c r="J46" s="47">
        <f t="shared" si="19"/>
        <v>-3.4575115616232606</v>
      </c>
      <c r="Q46" s="8">
        <f t="shared" si="15"/>
        <v>100</v>
      </c>
      <c r="R46" s="9">
        <f t="shared" si="16"/>
        <v>2.2640961102575591E-2</v>
      </c>
      <c r="S46" s="8">
        <f t="shared" si="20"/>
        <v>1</v>
      </c>
      <c r="T46" s="9">
        <f t="shared" si="21"/>
        <v>1.1027975077438631E-2</v>
      </c>
      <c r="U46" s="9">
        <f t="shared" si="22"/>
        <v>1.0989444632279778E-2</v>
      </c>
      <c r="V46" s="9">
        <f t="shared" si="12"/>
        <v>-1.7869609868166155E-2</v>
      </c>
    </row>
    <row r="47" spans="1:22">
      <c r="A47" s="8">
        <f t="shared" si="17"/>
        <v>0.18000000000000008</v>
      </c>
      <c r="B47" s="47">
        <f>B46*EXP((PL_r-0.5*Vol_a^2)*dt+Vol_a*SQRT(dt)*bs!A37)</f>
        <v>90.068630151965309</v>
      </c>
      <c r="C47" s="47">
        <f t="shared" si="0"/>
        <v>3.4337498737050005</v>
      </c>
      <c r="D47" s="44">
        <f t="shared" si="13"/>
        <v>0.34589046074783669</v>
      </c>
      <c r="E47" s="47">
        <f t="shared" si="9"/>
        <v>-27.720130108484778</v>
      </c>
      <c r="F47" s="47">
        <f t="shared" si="18"/>
        <v>29.54996417467277</v>
      </c>
      <c r="G47" s="47">
        <f t="shared" si="14"/>
        <v>1.8298340661879919</v>
      </c>
      <c r="I47" s="44"/>
      <c r="J47" s="47">
        <f t="shared" si="19"/>
        <v>-0.66005876085232518</v>
      </c>
      <c r="Q47" s="8">
        <f t="shared" si="15"/>
        <v>100</v>
      </c>
      <c r="R47" s="9">
        <f t="shared" si="16"/>
        <v>2.2608502592329636E-2</v>
      </c>
      <c r="S47" s="8">
        <f t="shared" si="20"/>
        <v>-1</v>
      </c>
      <c r="T47" s="9">
        <f t="shared" si="21"/>
        <v>-1.7417972615538454E-2</v>
      </c>
      <c r="U47" s="9">
        <f t="shared" si="22"/>
        <v>-1.7355380647264718E-2</v>
      </c>
      <c r="V47" s="9">
        <f t="shared" si="12"/>
        <v>-3.1722845066627513E-3</v>
      </c>
    </row>
    <row r="48" spans="1:22">
      <c r="A48" s="8">
        <f t="shared" si="17"/>
        <v>0.18500000000000008</v>
      </c>
      <c r="B48" s="47">
        <f>B47*EXP((PL_r-0.5*Vol_a^2)*dt+Vol_a*SQRT(dt)*bs!A38)</f>
        <v>88.133210136802205</v>
      </c>
      <c r="C48" s="47">
        <f t="shared" si="0"/>
        <v>2.786848588398307</v>
      </c>
      <c r="D48" s="44">
        <f t="shared" si="13"/>
        <v>0.30185549420044544</v>
      </c>
      <c r="E48" s="47">
        <f t="shared" si="9"/>
        <v>-23.816645112917829</v>
      </c>
      <c r="F48" s="47">
        <f t="shared" si="18"/>
        <v>25.671976358756698</v>
      </c>
      <c r="G48" s="47">
        <f t="shared" si="14"/>
        <v>1.8553312458388689</v>
      </c>
      <c r="I48" s="44"/>
      <c r="J48" s="47">
        <f t="shared" si="19"/>
        <v>-3.8809429600882885</v>
      </c>
      <c r="Q48" s="8">
        <f t="shared" si="15"/>
        <v>100</v>
      </c>
      <c r="R48" s="9">
        <f t="shared" si="16"/>
        <v>2.1910617076701625E-2</v>
      </c>
      <c r="S48" s="8">
        <f t="shared" si="20"/>
        <v>1</v>
      </c>
      <c r="T48" s="9">
        <f t="shared" si="21"/>
        <v>2.2273280965655711E-2</v>
      </c>
      <c r="U48" s="9">
        <f t="shared" si="22"/>
        <v>2.219102209883005E-2</v>
      </c>
      <c r="V48" s="9">
        <f t="shared" si="12"/>
        <v>-2.1488280790966069E-2</v>
      </c>
    </row>
    <row r="49" spans="1:22">
      <c r="A49" s="8">
        <f t="shared" si="17"/>
        <v>0.19000000000000009</v>
      </c>
      <c r="B49" s="47">
        <f>B48*EXP((PL_r-0.5*Vol_a^2)*dt+Vol_a*SQRT(dt)*bs!A39)</f>
        <v>89.815314195121559</v>
      </c>
      <c r="C49" s="47">
        <f t="shared" si="0"/>
        <v>3.3050000585096164</v>
      </c>
      <c r="D49" s="44">
        <f t="shared" si="13"/>
        <v>0.33843131192140052</v>
      </c>
      <c r="E49" s="47">
        <f t="shared" si="9"/>
        <v>-27.091314555178162</v>
      </c>
      <c r="F49" s="47">
        <f t="shared" si="18"/>
        <v>28.95961224530781</v>
      </c>
      <c r="G49" s="47">
        <f t="shared" si="14"/>
        <v>1.8682976901296477</v>
      </c>
      <c r="I49" s="44"/>
      <c r="J49" s="47">
        <f t="shared" si="19"/>
        <v>3.2850685605510757</v>
      </c>
      <c r="Q49" s="8">
        <f t="shared" si="15"/>
        <v>100</v>
      </c>
      <c r="R49" s="9">
        <f t="shared" si="16"/>
        <v>2.2624199886637778E-2</v>
      </c>
      <c r="S49" s="8">
        <f t="shared" si="20"/>
        <v>1</v>
      </c>
      <c r="T49" s="9">
        <f t="shared" si="21"/>
        <v>1.4990262087843874E-2</v>
      </c>
      <c r="U49" s="9">
        <f t="shared" si="22"/>
        <v>1.4933407184641536E-2</v>
      </c>
      <c r="V49" s="9">
        <f t="shared" si="12"/>
        <v>1.9085927492126481E-2</v>
      </c>
    </row>
    <row r="50" spans="1:22">
      <c r="A50" s="8">
        <f t="shared" si="17"/>
        <v>0.19500000000000009</v>
      </c>
      <c r="B50" s="47">
        <f>B49*EXP((PL_r-0.5*Vol_a^2)*dt+Vol_a*SQRT(dt)*bs!A40)</f>
        <v>89.384033067686957</v>
      </c>
      <c r="C50" s="47">
        <f t="shared" si="0"/>
        <v>3.1405481969240441</v>
      </c>
      <c r="D50" s="44">
        <f t="shared" si="13"/>
        <v>0.3278061315021279</v>
      </c>
      <c r="E50" s="47">
        <f t="shared" si="9"/>
        <v>-26.160085901052696</v>
      </c>
      <c r="F50" s="47">
        <f t="shared" si="18"/>
        <v>28.012786873388826</v>
      </c>
      <c r="G50" s="47">
        <f t="shared" si="14"/>
        <v>1.8527009723361303</v>
      </c>
      <c r="I50" s="44"/>
      <c r="J50" s="47">
        <f t="shared" si="19"/>
        <v>-0.9497214779464046</v>
      </c>
      <c r="Q50" s="8">
        <f t="shared" si="15"/>
        <v>100</v>
      </c>
      <c r="R50" s="9">
        <f t="shared" si="16"/>
        <v>2.2518120547204475E-2</v>
      </c>
      <c r="S50" s="8">
        <f t="shared" si="20"/>
        <v>-1</v>
      </c>
      <c r="T50" s="9">
        <f t="shared" si="21"/>
        <v>-1.5916704958474134E-2</v>
      </c>
      <c r="U50" s="9">
        <f t="shared" si="22"/>
        <v>-1.5854750698470099E-2</v>
      </c>
      <c r="V50" s="9">
        <f t="shared" si="12"/>
        <v>-4.8018662663435567E-3</v>
      </c>
    </row>
    <row r="51" spans="1:22">
      <c r="A51" s="8">
        <f t="shared" si="17"/>
        <v>0.20000000000000009</v>
      </c>
      <c r="B51" s="47">
        <f>B50*EXP((PL_r-0.5*Vol_a^2)*dt+Vol_a*SQRT(dt)*bs!A41)</f>
        <v>93.263386135519838</v>
      </c>
      <c r="C51" s="47">
        <f t="shared" si="0"/>
        <v>4.5607408109616827</v>
      </c>
      <c r="D51" s="44">
        <f t="shared" si="13"/>
        <v>0.41644855591424035</v>
      </c>
      <c r="E51" s="47">
        <f t="shared" si="9"/>
        <v>-34.278661664847739</v>
      </c>
      <c r="F51" s="47">
        <f t="shared" si="18"/>
        <v>36.282680948080241</v>
      </c>
      <c r="G51" s="47">
        <f t="shared" si="14"/>
        <v>2.0040192832325019</v>
      </c>
      <c r="I51" s="44"/>
      <c r="J51" s="47">
        <f t="shared" si="19"/>
        <v>8.2670926559354729</v>
      </c>
      <c r="Q51" s="8">
        <f t="shared" si="15"/>
        <v>100</v>
      </c>
      <c r="R51" s="9">
        <f t="shared" si="16"/>
        <v>2.3386080292341526E-2</v>
      </c>
      <c r="S51" s="8">
        <f t="shared" si="20"/>
        <v>1</v>
      </c>
      <c r="T51" s="9">
        <f t="shared" si="21"/>
        <v>0.17123792226589599</v>
      </c>
      <c r="U51" s="9">
        <f t="shared" si="22"/>
        <v>0.17055433865549777</v>
      </c>
      <c r="V51" s="9">
        <f t="shared" si="12"/>
        <v>4.3400962506303577E-2</v>
      </c>
    </row>
    <row r="52" spans="1:22">
      <c r="A52" s="8">
        <f t="shared" si="17"/>
        <v>0.2050000000000001</v>
      </c>
      <c r="B52" s="47">
        <f>B51*EXP((PL_r-0.5*Vol_a^2)*dt+Vol_a*SQRT(dt)*bs!A42)</f>
        <v>100.07262041610826</v>
      </c>
      <c r="C52" s="47">
        <f t="shared" si="0"/>
        <v>7.9068527491246599</v>
      </c>
      <c r="D52" s="44">
        <f t="shared" si="13"/>
        <v>0.5723641699898091</v>
      </c>
      <c r="E52" s="47">
        <f t="shared" si="9"/>
        <v>-49.371129574046371</v>
      </c>
      <c r="F52" s="47">
        <f t="shared" si="18"/>
        <v>51.88919346192332</v>
      </c>
      <c r="G52" s="47">
        <f t="shared" si="14"/>
        <v>2.5180638878769486</v>
      </c>
      <c r="I52" s="44"/>
      <c r="J52" s="47">
        <f t="shared" si="19"/>
        <v>15.602884064328819</v>
      </c>
      <c r="Q52" s="8">
        <f t="shared" si="15"/>
        <v>100</v>
      </c>
      <c r="R52" s="9">
        <f t="shared" si="16"/>
        <v>2.1986549844909178E-2</v>
      </c>
      <c r="S52" s="8">
        <f t="shared" si="20"/>
        <v>1</v>
      </c>
      <c r="T52" s="9">
        <f t="shared" si="21"/>
        <v>0.56483788187838713</v>
      </c>
      <c r="U52" s="9">
        <f t="shared" si="22"/>
        <v>0.56252678754352925</v>
      </c>
      <c r="V52" s="9">
        <f t="shared" si="12"/>
        <v>7.3010798371549751E-2</v>
      </c>
    </row>
    <row r="53" spans="1:22">
      <c r="A53" s="8">
        <f t="shared" si="17"/>
        <v>0.2100000000000001</v>
      </c>
      <c r="B53" s="47">
        <f>B52*EXP((PL_r-0.5*Vol_a^2)*dt+Vol_a*SQRT(dt)*bs!A43)</f>
        <v>97.648460540315043</v>
      </c>
      <c r="C53" s="47">
        <f t="shared" si="0"/>
        <v>6.5586784091187269</v>
      </c>
      <c r="D53" s="44">
        <f t="shared" si="13"/>
        <v>0.51750771524561745</v>
      </c>
      <c r="E53" s="47">
        <f t="shared" si="9"/>
        <v>-43.975153302351544</v>
      </c>
      <c r="F53" s="47">
        <f t="shared" si="18"/>
        <v>46.537734284254356</v>
      </c>
      <c r="G53" s="47">
        <f t="shared" si="14"/>
        <v>2.562580981902812</v>
      </c>
      <c r="I53" s="44"/>
      <c r="J53" s="47">
        <f t="shared" si="19"/>
        <v>-5.3566483564697762</v>
      </c>
      <c r="Q53" s="8">
        <f t="shared" si="15"/>
        <v>100</v>
      </c>
      <c r="R53" s="9">
        <f t="shared" si="16"/>
        <v>2.2960569338764593E-2</v>
      </c>
      <c r="S53" s="8">
        <f t="shared" si="20"/>
        <v>1</v>
      </c>
      <c r="T53" s="9">
        <f t="shared" si="21"/>
        <v>4.2342135558806948E-2</v>
      </c>
      <c r="U53" s="9">
        <f t="shared" si="22"/>
        <v>4.2164671524803417E-2</v>
      </c>
      <c r="V53" s="9">
        <f t="shared" si="12"/>
        <v>-2.4224007183117749E-2</v>
      </c>
    </row>
    <row r="54" spans="1:22">
      <c r="A54" s="8">
        <f t="shared" si="17"/>
        <v>0.21500000000000011</v>
      </c>
      <c r="B54" s="47">
        <f>B53*EXP((PL_r-0.5*Vol_a^2)*dt+Vol_a*SQRT(dt)*bs!A44)</f>
        <v>98.608579053350283</v>
      </c>
      <c r="C54" s="47">
        <f t="shared" si="0"/>
        <v>7.0394173132389994</v>
      </c>
      <c r="D54" s="44">
        <f t="shared" si="13"/>
        <v>0.53908417924015017</v>
      </c>
      <c r="E54" s="47">
        <f t="shared" si="9"/>
        <v>-46.118907591773805</v>
      </c>
      <c r="F54" s="47">
        <f t="shared" si="18"/>
        <v>48.670012745875852</v>
      </c>
      <c r="G54" s="47">
        <f t="shared" si="14"/>
        <v>2.5511051541020464</v>
      </c>
      <c r="I54" s="44"/>
      <c r="J54" s="47">
        <f t="shared" si="19"/>
        <v>2.1276244554966461</v>
      </c>
      <c r="Q54" s="8">
        <f t="shared" si="15"/>
        <v>100</v>
      </c>
      <c r="R54" s="9">
        <f t="shared" si="16"/>
        <v>2.2721639777871356E-2</v>
      </c>
      <c r="S54" s="8">
        <f t="shared" si="20"/>
        <v>-1</v>
      </c>
      <c r="T54" s="9">
        <f t="shared" si="21"/>
        <v>-1.1414058329788378E-2</v>
      </c>
      <c r="U54" s="9">
        <f t="shared" si="22"/>
        <v>-1.1365083250852412E-2</v>
      </c>
      <c r="V54" s="9">
        <f t="shared" si="12"/>
        <v>9.8323978455230939E-3</v>
      </c>
    </row>
    <row r="55" spans="1:22">
      <c r="A55" s="8">
        <f t="shared" si="17"/>
        <v>0.22000000000000011</v>
      </c>
      <c r="B55" s="47">
        <f>B54*EXP((PL_r-0.5*Vol_a^2)*dt+Vol_a*SQRT(dt)*bs!A45)</f>
        <v>96.217741324450714</v>
      </c>
      <c r="C55" s="47">
        <f t="shared" si="0"/>
        <v>5.7904446437368691</v>
      </c>
      <c r="D55" s="44">
        <f t="shared" si="13"/>
        <v>0.48338977354098889</v>
      </c>
      <c r="E55" s="47">
        <f t="shared" si="9"/>
        <v>-40.720227545714806</v>
      </c>
      <c r="F55" s="47">
        <f t="shared" si="18"/>
        <v>43.3160900697277</v>
      </c>
      <c r="G55" s="47">
        <f t="shared" si="14"/>
        <v>2.5958625240128939</v>
      </c>
      <c r="I55" s="44"/>
      <c r="J55" s="47">
        <f t="shared" si="19"/>
        <v>-5.3587899207809144</v>
      </c>
      <c r="Q55" s="8">
        <f t="shared" si="15"/>
        <v>100</v>
      </c>
      <c r="R55" s="9">
        <f t="shared" si="16"/>
        <v>2.3453138531989461E-2</v>
      </c>
      <c r="S55" s="8">
        <f t="shared" si="20"/>
        <v>1</v>
      </c>
      <c r="T55" s="9">
        <f t="shared" si="21"/>
        <v>4.2106735053637621E-2</v>
      </c>
      <c r="U55" s="9">
        <f t="shared" si="22"/>
        <v>4.192187241545059E-2</v>
      </c>
      <c r="V55" s="9">
        <f t="shared" si="12"/>
        <v>-2.4245737560076315E-2</v>
      </c>
    </row>
    <row r="56" spans="1:22">
      <c r="A56" s="8">
        <f t="shared" si="17"/>
        <v>0.22500000000000012</v>
      </c>
      <c r="B56" s="47">
        <f>B55*EXP((PL_r-0.5*Vol_a^2)*dt+Vol_a*SQRT(dt)*bs!A46)</f>
        <v>94.483162922164709</v>
      </c>
      <c r="C56" s="47">
        <f t="shared" si="0"/>
        <v>4.9625532129604721</v>
      </c>
      <c r="D56" s="44">
        <f t="shared" si="13"/>
        <v>0.44186520903839732</v>
      </c>
      <c r="E56" s="47">
        <f t="shared" si="9"/>
        <v>-36.786269322250789</v>
      </c>
      <c r="F56" s="47">
        <f t="shared" si="18"/>
        <v>39.397049702152053</v>
      </c>
      <c r="G56" s="47">
        <f t="shared" si="14"/>
        <v>2.6107803799012643</v>
      </c>
      <c r="I56" s="44"/>
      <c r="J56" s="47">
        <f t="shared" si="19"/>
        <v>-3.9233721931702963</v>
      </c>
      <c r="Q56" s="8">
        <f t="shared" si="15"/>
        <v>100</v>
      </c>
      <c r="R56" s="9">
        <f t="shared" si="16"/>
        <v>2.3726339477837637E-2</v>
      </c>
      <c r="S56" s="8">
        <f t="shared" si="20"/>
        <v>1</v>
      </c>
      <c r="T56" s="9">
        <f t="shared" si="21"/>
        <v>1.323745523727873E-2</v>
      </c>
      <c r="U56" s="9">
        <f t="shared" si="22"/>
        <v>1.3178020517127373E-2</v>
      </c>
      <c r="V56" s="9">
        <f t="shared" si="12"/>
        <v>-1.8027635843549113E-2</v>
      </c>
    </row>
    <row r="57" spans="1:22">
      <c r="A57" s="8">
        <f t="shared" si="17"/>
        <v>0.23000000000000012</v>
      </c>
      <c r="B57" s="47">
        <f>B56*EXP((PL_r-0.5*Vol_a^2)*dt+Vol_a*SQRT(dt)*bs!A47)</f>
        <v>98.018620224909441</v>
      </c>
      <c r="C57" s="47">
        <f t="shared" si="0"/>
        <v>6.6455203253663981</v>
      </c>
      <c r="D57" s="44">
        <f t="shared" si="13"/>
        <v>0.52450610667177644</v>
      </c>
      <c r="E57" s="47">
        <f t="shared" si="9"/>
        <v>-44.765844550140294</v>
      </c>
      <c r="F57" s="47">
        <f t="shared" si="18"/>
        <v>47.501336364285891</v>
      </c>
      <c r="G57" s="47">
        <f t="shared" si="14"/>
        <v>2.7354918141455968</v>
      </c>
      <c r="I57" s="44"/>
      <c r="J57" s="47">
        <f t="shared" si="19"/>
        <v>8.1003467601718047</v>
      </c>
      <c r="Q57" s="8">
        <f t="shared" si="15"/>
        <v>100</v>
      </c>
      <c r="R57" s="9">
        <f t="shared" si="16"/>
        <v>2.3147586913596793E-2</v>
      </c>
      <c r="S57" s="8">
        <f t="shared" si="20"/>
        <v>1</v>
      </c>
      <c r="T57" s="9">
        <f t="shared" si="21"/>
        <v>0.13345581619627972</v>
      </c>
      <c r="U57" s="9">
        <f t="shared" si="22"/>
        <v>0.13284332924179043</v>
      </c>
      <c r="V57" s="9">
        <f t="shared" si="12"/>
        <v>3.7418913522796055E-2</v>
      </c>
    </row>
    <row r="58" spans="1:22">
      <c r="A58" s="8">
        <f t="shared" si="17"/>
        <v>0.23500000000000013</v>
      </c>
      <c r="B58" s="47">
        <f>B57*EXP((PL_r-0.5*Vol_a^2)*dt+Vol_a*SQRT(dt)*bs!A48)</f>
        <v>97.860582966472933</v>
      </c>
      <c r="C58" s="47">
        <f t="shared" si="0"/>
        <v>6.5362251089446417</v>
      </c>
      <c r="D58" s="44">
        <f t="shared" si="13"/>
        <v>0.52045642520777891</v>
      </c>
      <c r="E58" s="47">
        <f t="shared" si="9"/>
        <v>-44.395944070535123</v>
      </c>
      <c r="F58" s="47">
        <f t="shared" si="18"/>
        <v>47.109782546541602</v>
      </c>
      <c r="G58" s="47">
        <f t="shared" si="14"/>
        <v>2.7138384760064795</v>
      </c>
      <c r="I58" s="44"/>
      <c r="J58" s="47">
        <f t="shared" si="19"/>
        <v>-0.39630418889531827</v>
      </c>
      <c r="Q58" s="8">
        <f t="shared" si="15"/>
        <v>100</v>
      </c>
      <c r="R58" s="9">
        <f t="shared" si="16"/>
        <v>2.3273951027624692E-2</v>
      </c>
      <c r="S58" s="8">
        <f t="shared" si="20"/>
        <v>-1</v>
      </c>
      <c r="T58" s="9">
        <f t="shared" si="21"/>
        <v>-2.1999043992988233E-2</v>
      </c>
      <c r="U58" s="9">
        <f t="shared" si="22"/>
        <v>-2.1895891085441165E-2</v>
      </c>
      <c r="V58" s="9">
        <f t="shared" si="12"/>
        <v>-1.6123187418256068E-3</v>
      </c>
    </row>
    <row r="59" spans="1:22">
      <c r="A59" s="8">
        <f t="shared" si="17"/>
        <v>0.24000000000000013</v>
      </c>
      <c r="B59" s="47">
        <f>B58*EXP((PL_r-0.5*Vol_a^2)*dt+Vol_a*SQRT(dt)*bs!A49)</f>
        <v>92.393812154847623</v>
      </c>
      <c r="C59" s="47">
        <f t="shared" si="0"/>
        <v>4.0207640425476825</v>
      </c>
      <c r="D59" s="44">
        <f t="shared" si="13"/>
        <v>0.38997973170527633</v>
      </c>
      <c r="E59" s="47">
        <f t="shared" si="9"/>
        <v>-32.010950032827495</v>
      </c>
      <c r="F59" s="47">
        <f t="shared" si="18"/>
        <v>35.05925465029717</v>
      </c>
      <c r="G59" s="47">
        <f t="shared" si="14"/>
        <v>3.0483046174696753</v>
      </c>
      <c r="I59" s="44"/>
      <c r="J59" s="47">
        <f t="shared" si="19"/>
        <v>-12.055239110055851</v>
      </c>
      <c r="Q59" s="8">
        <f t="shared" si="15"/>
        <v>100</v>
      </c>
      <c r="R59" s="9">
        <f t="shared" si="16"/>
        <v>2.3816740506346887E-2</v>
      </c>
      <c r="S59" s="8">
        <f t="shared" si="20"/>
        <v>1</v>
      </c>
      <c r="T59" s="9">
        <f t="shared" si="21"/>
        <v>0.2969058574286666</v>
      </c>
      <c r="U59" s="9">
        <f t="shared" si="22"/>
        <v>0.2954841242024786</v>
      </c>
      <c r="V59" s="9">
        <f t="shared" si="12"/>
        <v>-5.5862847388700176E-2</v>
      </c>
    </row>
    <row r="60" spans="1:22">
      <c r="A60" s="8">
        <f t="shared" si="17"/>
        <v>0.24500000000000013</v>
      </c>
      <c r="B60" s="47">
        <f>B59*EXP((PL_r-0.5*Vol_a^2)*dt+Vol_a*SQRT(dt)*bs!A50)</f>
        <v>87.871738004591208</v>
      </c>
      <c r="C60" s="47">
        <f t="shared" si="0"/>
        <v>2.4773675957621037</v>
      </c>
      <c r="D60" s="44">
        <f t="shared" si="13"/>
        <v>0.28426755090965461</v>
      </c>
      <c r="E60" s="47">
        <f t="shared" si="9"/>
        <v>-22.50171616097786</v>
      </c>
      <c r="F60" s="47">
        <f t="shared" si="18"/>
        <v>25.773647696297466</v>
      </c>
      <c r="G60" s="47">
        <f t="shared" si="14"/>
        <v>3.2719315353196059</v>
      </c>
      <c r="I60" s="44"/>
      <c r="J60" s="47">
        <f t="shared" si="19"/>
        <v>-9.289113054766851</v>
      </c>
      <c r="Q60" s="8">
        <f t="shared" si="15"/>
        <v>100</v>
      </c>
      <c r="R60" s="9">
        <f t="shared" si="16"/>
        <v>2.2205175699685342E-2</v>
      </c>
      <c r="S60" s="8">
        <f t="shared" si="20"/>
        <v>1</v>
      </c>
      <c r="T60" s="9">
        <f t="shared" si="21"/>
        <v>0.18821269044032524</v>
      </c>
      <c r="U60" s="9">
        <f t="shared" si="22"/>
        <v>0.18729270406452703</v>
      </c>
      <c r="V60" s="9">
        <f t="shared" si="12"/>
        <v>-4.8943474078952762E-2</v>
      </c>
    </row>
    <row r="61" spans="1:22">
      <c r="A61" s="8">
        <f t="shared" si="17"/>
        <v>0.25000000000000011</v>
      </c>
      <c r="B61" s="47">
        <f>B60*EXP((PL_r-0.5*Vol_a^2)*dt+Vol_a*SQRT(dt)*bs!A51)</f>
        <v>86.968085849165433</v>
      </c>
      <c r="C61" s="47">
        <f t="shared" si="0"/>
        <v>2.2110206541047006</v>
      </c>
      <c r="D61" s="44">
        <f t="shared" si="13"/>
        <v>0.26338533323734148</v>
      </c>
      <c r="E61" s="47">
        <f t="shared" si="9"/>
        <v>-20.695097618291459</v>
      </c>
      <c r="F61" s="47">
        <f t="shared" si="18"/>
        <v>23.960138690692943</v>
      </c>
      <c r="G61" s="47">
        <f t="shared" si="14"/>
        <v>3.265041072401484</v>
      </c>
      <c r="I61" s="44"/>
      <c r="J61" s="47">
        <f t="shared" si="19"/>
        <v>-1.8160864992466879</v>
      </c>
      <c r="Q61" s="8">
        <f t="shared" si="15"/>
        <v>100</v>
      </c>
      <c r="R61" s="9">
        <f t="shared" si="16"/>
        <v>2.1676874158843135E-2</v>
      </c>
      <c r="S61" s="8">
        <f t="shared" si="20"/>
        <v>-1</v>
      </c>
      <c r="T61" s="9">
        <f t="shared" si="21"/>
        <v>-7.7257592731831155E-3</v>
      </c>
      <c r="U61" s="9">
        <f t="shared" si="22"/>
        <v>-7.687226888055787E-3</v>
      </c>
      <c r="V61" s="9">
        <f t="shared" si="12"/>
        <v>-1.0283763311686855E-2</v>
      </c>
    </row>
    <row r="62" spans="1:22">
      <c r="A62" s="8">
        <f t="shared" si="17"/>
        <v>0.25500000000000012</v>
      </c>
      <c r="B62" s="47">
        <f>B61*EXP((PL_r-0.5*Vol_a^2)*dt+Vol_a*SQRT(dt)*bs!A52)</f>
        <v>87.091776118889257</v>
      </c>
      <c r="C62" s="47">
        <f t="shared" si="0"/>
        <v>2.225161693040306</v>
      </c>
      <c r="D62" s="44">
        <f t="shared" si="13"/>
        <v>0.26500548300542992</v>
      </c>
      <c r="E62" s="47">
        <f t="shared" si="9"/>
        <v>-20.854636503146708</v>
      </c>
      <c r="F62" s="47">
        <f t="shared" si="18"/>
        <v>24.103636545248129</v>
      </c>
      <c r="G62" s="47">
        <f t="shared" si="14"/>
        <v>3.2490000421014216</v>
      </c>
      <c r="I62" s="44"/>
      <c r="J62" s="47">
        <f t="shared" si="19"/>
        <v>0.14110172088142889</v>
      </c>
      <c r="Q62" s="8">
        <f t="shared" si="15"/>
        <v>100</v>
      </c>
      <c r="R62" s="9">
        <f t="shared" si="16"/>
        <v>2.1786545200275606E-2</v>
      </c>
      <c r="S62" s="8">
        <f t="shared" si="20"/>
        <v>-1</v>
      </c>
      <c r="T62" s="9">
        <f t="shared" si="21"/>
        <v>-1.6357911786545741E-2</v>
      </c>
      <c r="U62" s="9">
        <f t="shared" si="22"/>
        <v>-1.6274698809888882E-2</v>
      </c>
      <c r="V62" s="9">
        <f t="shared" si="12"/>
        <v>1.4222489608239496E-3</v>
      </c>
    </row>
    <row r="63" spans="1:22">
      <c r="A63" s="8">
        <f t="shared" si="17"/>
        <v>0.26000000000000012</v>
      </c>
      <c r="B63" s="47">
        <f>B62*EXP((PL_r-0.5*Vol_a^2)*dt+Vol_a*SQRT(dt)*bs!A53)</f>
        <v>91.076697732793079</v>
      </c>
      <c r="C63" s="47">
        <f t="shared" si="0"/>
        <v>3.4376319435836606</v>
      </c>
      <c r="D63" s="44">
        <f t="shared" si="13"/>
        <v>0.35523451946276408</v>
      </c>
      <c r="E63" s="47">
        <f t="shared" si="9"/>
        <v>-28.915955009780504</v>
      </c>
      <c r="F63" s="47">
        <f t="shared" si="18"/>
        <v>32.323809709570639</v>
      </c>
      <c r="G63" s="47">
        <f t="shared" si="14"/>
        <v>3.4078546997901356</v>
      </c>
      <c r="I63" s="44"/>
      <c r="J63" s="47">
        <f t="shared" si="19"/>
        <v>8.217762680145789</v>
      </c>
      <c r="Q63" s="8">
        <f t="shared" si="15"/>
        <v>100</v>
      </c>
      <c r="R63" s="9">
        <f t="shared" si="16"/>
        <v>2.3764686419369869E-2</v>
      </c>
      <c r="S63" s="8">
        <f t="shared" si="20"/>
        <v>1</v>
      </c>
      <c r="T63" s="9">
        <f t="shared" si="21"/>
        <v>0.18663606030795882</v>
      </c>
      <c r="U63" s="9">
        <f t="shared" si="22"/>
        <v>0.18566807174581892</v>
      </c>
      <c r="V63" s="9">
        <f t="shared" si="12"/>
        <v>4.5755429404310148E-2</v>
      </c>
    </row>
    <row r="64" spans="1:22">
      <c r="A64" s="8">
        <f t="shared" si="17"/>
        <v>0.26500000000000012</v>
      </c>
      <c r="B64" s="47">
        <f>B63*EXP((PL_r-0.5*Vol_a^2)*dt+Vol_a*SQRT(dt)*bs!A54)</f>
        <v>92.570362251946818</v>
      </c>
      <c r="C64" s="47">
        <f t="shared" si="0"/>
        <v>3.970980732107428</v>
      </c>
      <c r="D64" s="44">
        <f t="shared" si="13"/>
        <v>0.39020612376555519</v>
      </c>
      <c r="E64" s="47">
        <f t="shared" si="9"/>
        <v>-32.15054149779801</v>
      </c>
      <c r="F64" s="47">
        <f t="shared" si="18"/>
        <v>35.564376331007146</v>
      </c>
      <c r="G64" s="47">
        <f t="shared" si="14"/>
        <v>3.4138348332091368</v>
      </c>
      <c r="I64" s="44"/>
      <c r="J64" s="47">
        <f t="shared" si="19"/>
        <v>3.2373340788411156</v>
      </c>
      <c r="Q64" s="8">
        <f t="shared" si="15"/>
        <v>100</v>
      </c>
      <c r="R64" s="9">
        <f t="shared" si="16"/>
        <v>2.4176191412905935E-2</v>
      </c>
      <c r="S64" s="8">
        <f t="shared" si="20"/>
        <v>1</v>
      </c>
      <c r="T64" s="9">
        <f t="shared" si="21"/>
        <v>7.1435520125796761E-3</v>
      </c>
      <c r="U64" s="9">
        <f t="shared" si="22"/>
        <v>7.1057913410838653E-3</v>
      </c>
      <c r="V64" s="9">
        <f t="shared" si="12"/>
        <v>1.6400073304545501E-2</v>
      </c>
    </row>
    <row r="65" spans="1:22">
      <c r="A65" s="8">
        <f t="shared" si="17"/>
        <v>0.27000000000000013</v>
      </c>
      <c r="B65" s="47">
        <f>B64*EXP((PL_r-0.5*Vol_a^2)*dt+Vol_a*SQRT(dt)*bs!A55)</f>
        <v>91.929591934026476</v>
      </c>
      <c r="C65" s="47">
        <f t="shared" si="0"/>
        <v>3.7024830194048555</v>
      </c>
      <c r="D65" s="44">
        <f t="shared" si="13"/>
        <v>0.37389528774814396</v>
      </c>
      <c r="E65" s="47">
        <f t="shared" si="9"/>
        <v>-30.669558209337428</v>
      </c>
      <c r="F65" s="47">
        <f t="shared" si="18"/>
        <v>34.068484447284618</v>
      </c>
      <c r="G65" s="47">
        <f t="shared" si="14"/>
        <v>3.3989262379471903</v>
      </c>
      <c r="I65" s="44"/>
      <c r="J65" s="47">
        <f t="shared" si="19"/>
        <v>-1.4994484991834363</v>
      </c>
      <c r="Q65" s="8">
        <f t="shared" si="15"/>
        <v>100</v>
      </c>
      <c r="R65" s="9">
        <f t="shared" si="16"/>
        <v>2.4116313160009516E-2</v>
      </c>
      <c r="S65" s="8">
        <f t="shared" si="20"/>
        <v>-1</v>
      </c>
      <c r="T65" s="9">
        <f t="shared" si="21"/>
        <v>-1.5498202110480452E-2</v>
      </c>
      <c r="U65" s="9">
        <f t="shared" si="22"/>
        <v>-1.5414737376684312E-2</v>
      </c>
      <c r="V65" s="9">
        <f t="shared" si="12"/>
        <v>-6.9219813159677518E-3</v>
      </c>
    </row>
    <row r="66" spans="1:22">
      <c r="A66" s="8">
        <f t="shared" si="17"/>
        <v>0.27500000000000013</v>
      </c>
      <c r="B66" s="47">
        <f>B65*EXP((PL_r-0.5*Vol_a^2)*dt+Vol_a*SQRT(dt)*bs!A56)</f>
        <v>92.090928572382566</v>
      </c>
      <c r="C66" s="47">
        <f t="shared" si="0"/>
        <v>3.7395085795075858</v>
      </c>
      <c r="D66" s="44">
        <f t="shared" si="13"/>
        <v>0.37693572087681859</v>
      </c>
      <c r="E66" s="47">
        <f t="shared" si="9"/>
        <v>-30.972851968139047</v>
      </c>
      <c r="F66" s="47">
        <f t="shared" si="18"/>
        <v>34.35188777615933</v>
      </c>
      <c r="G66" s="47">
        <f t="shared" si="14"/>
        <v>3.3790358080202836</v>
      </c>
      <c r="I66" s="44"/>
      <c r="J66" s="47">
        <f t="shared" si="19"/>
        <v>0.27999631008188153</v>
      </c>
      <c r="Q66" s="8">
        <f t="shared" si="15"/>
        <v>100</v>
      </c>
      <c r="R66" s="9">
        <f t="shared" si="16"/>
        <v>2.4218498187311054E-2</v>
      </c>
      <c r="S66" s="8">
        <f t="shared" si="20"/>
        <v>-1</v>
      </c>
      <c r="T66" s="9">
        <f t="shared" si="21"/>
        <v>-2.0222771365778065E-2</v>
      </c>
      <c r="U66" s="9">
        <f t="shared" si="22"/>
        <v>-2.0111851432692795E-2</v>
      </c>
      <c r="V66" s="9">
        <f t="shared" si="12"/>
        <v>1.7550022246576903E-3</v>
      </c>
    </row>
    <row r="67" spans="1:22">
      <c r="A67" s="8">
        <f t="shared" si="17"/>
        <v>0.28000000000000014</v>
      </c>
      <c r="B67" s="47">
        <f>B66*EXP((PL_r-0.5*Vol_a^2)*dt+Vol_a*SQRT(dt)*bs!A57)</f>
        <v>91.99513158252671</v>
      </c>
      <c r="C67" s="47">
        <f t="shared" si="0"/>
        <v>3.6799316530499375</v>
      </c>
      <c r="D67" s="44">
        <f t="shared" si="13"/>
        <v>0.37375026243645482</v>
      </c>
      <c r="E67" s="47">
        <f t="shared" si="9"/>
        <v>-30.703272918795616</v>
      </c>
      <c r="F67" s="47">
        <f t="shared" si="18"/>
        <v>34.062276468330175</v>
      </c>
      <c r="G67" s="47">
        <f t="shared" si="14"/>
        <v>3.3590035495345596</v>
      </c>
      <c r="I67" s="44"/>
      <c r="J67" s="47">
        <f t="shared" si="19"/>
        <v>-0.29304666837193583</v>
      </c>
      <c r="Q67" s="8">
        <f t="shared" si="15"/>
        <v>100</v>
      </c>
      <c r="R67" s="9">
        <f t="shared" si="16"/>
        <v>2.4262921292462918E-2</v>
      </c>
      <c r="S67" s="8">
        <f t="shared" si="20"/>
        <v>-1</v>
      </c>
      <c r="T67" s="9">
        <f t="shared" si="21"/>
        <v>-2.0422863514847487E-2</v>
      </c>
      <c r="U67" s="9">
        <f t="shared" si="22"/>
        <v>-2.0308815112736588E-2</v>
      </c>
      <c r="V67" s="9">
        <f t="shared" si="12"/>
        <v>-1.0402434999942523E-3</v>
      </c>
    </row>
    <row r="68" spans="1:22">
      <c r="A68" s="8">
        <f t="shared" si="17"/>
        <v>0.28500000000000014</v>
      </c>
      <c r="B68" s="47">
        <f>B67*EXP((PL_r-0.5*Vol_a^2)*dt+Vol_a*SQRT(dt)*bs!A58)</f>
        <v>90.863265852505151</v>
      </c>
      <c r="C68" s="47">
        <f t="shared" si="0"/>
        <v>3.2497763825125858</v>
      </c>
      <c r="D68" s="44">
        <f t="shared" si="13"/>
        <v>0.34551898876855391</v>
      </c>
      <c r="E68" s="47">
        <f t="shared" si="9"/>
        <v>-28.145207351053269</v>
      </c>
      <c r="F68" s="47">
        <f t="shared" si="18"/>
        <v>31.500497141652762</v>
      </c>
      <c r="G68" s="47">
        <f t="shared" si="14"/>
        <v>3.3552897905994925</v>
      </c>
      <c r="I68" s="44"/>
      <c r="J68" s="47">
        <f t="shared" si="19"/>
        <v>-2.5651857246413079</v>
      </c>
      <c r="Q68" s="8">
        <f t="shared" si="15"/>
        <v>100</v>
      </c>
      <c r="R68" s="9">
        <f t="shared" si="16"/>
        <v>2.3990386369574609E-2</v>
      </c>
      <c r="S68" s="8">
        <f t="shared" si="20"/>
        <v>-1</v>
      </c>
      <c r="T68" s="9">
        <f t="shared" si="21"/>
        <v>-4.8153176643299309E-3</v>
      </c>
      <c r="U68" s="9">
        <f t="shared" si="22"/>
        <v>-4.7879484300630722E-3</v>
      </c>
      <c r="V68" s="9">
        <f t="shared" si="12"/>
        <v>-1.2303539443347482E-2</v>
      </c>
    </row>
    <row r="69" spans="1:22">
      <c r="A69" s="8">
        <f t="shared" si="17"/>
        <v>0.29000000000000015</v>
      </c>
      <c r="B69" s="47">
        <f>B68*EXP((PL_r-0.5*Vol_a^2)*dt+Vol_a*SQRT(dt)*bs!A59)</f>
        <v>88.818435285694719</v>
      </c>
      <c r="C69" s="47">
        <f t="shared" si="0"/>
        <v>2.572238859378416</v>
      </c>
      <c r="D69" s="44">
        <f t="shared" si="13"/>
        <v>0.29629177259686135</v>
      </c>
      <c r="E69" s="47">
        <f t="shared" si="9"/>
        <v>-23.74393277069969</v>
      </c>
      <c r="F69" s="47">
        <f t="shared" si="18"/>
        <v>27.131363035034283</v>
      </c>
      <c r="G69" s="47">
        <f t="shared" si="14"/>
        <v>3.3874302643345935</v>
      </c>
      <c r="I69" s="44"/>
      <c r="J69" s="47">
        <f t="shared" si="19"/>
        <v>-4.3722843138403809</v>
      </c>
      <c r="Q69" s="8">
        <f t="shared" si="15"/>
        <v>100</v>
      </c>
      <c r="R69" s="9">
        <f t="shared" si="16"/>
        <v>2.3097902485146846E-2</v>
      </c>
      <c r="S69" s="8">
        <f t="shared" si="20"/>
        <v>1</v>
      </c>
      <c r="T69" s="9">
        <f t="shared" si="21"/>
        <v>2.7919698091948303E-2</v>
      </c>
      <c r="U69" s="9">
        <f t="shared" si="22"/>
        <v>2.7758232545740499E-2</v>
      </c>
      <c r="V69" s="9">
        <f t="shared" si="12"/>
        <v>-2.2504480194776702E-2</v>
      </c>
    </row>
    <row r="70" spans="1:22">
      <c r="A70" s="8">
        <f t="shared" si="17"/>
        <v>0.29500000000000015</v>
      </c>
      <c r="B70" s="47">
        <f>B69*EXP((PL_r-0.5*Vol_a^2)*dt+Vol_a*SQRT(dt)*bs!A60)</f>
        <v>89.963635681142691</v>
      </c>
      <c r="C70" s="47">
        <f t="shared" si="0"/>
        <v>2.905036676860508</v>
      </c>
      <c r="D70" s="44">
        <f t="shared" si="13"/>
        <v>0.32207985393357197</v>
      </c>
      <c r="E70" s="47">
        <f t="shared" si="9"/>
        <v>-26.070437962655014</v>
      </c>
      <c r="F70" s="47">
        <f t="shared" si="18"/>
        <v>29.454065861290637</v>
      </c>
      <c r="G70" s="47">
        <f t="shared" si="14"/>
        <v>3.3836278986356234</v>
      </c>
      <c r="I70" s="44"/>
      <c r="J70" s="47">
        <f t="shared" si="19"/>
        <v>2.3199895542915097</v>
      </c>
      <c r="Q70" s="8">
        <f t="shared" si="15"/>
        <v>100</v>
      </c>
      <c r="R70" s="9">
        <f t="shared" si="16"/>
        <v>2.3735132531053443E-2</v>
      </c>
      <c r="S70" s="8">
        <f t="shared" si="20"/>
        <v>-1</v>
      </c>
      <c r="T70" s="9">
        <f t="shared" si="21"/>
        <v>-3.2418553310929214E-3</v>
      </c>
      <c r="U70" s="9">
        <f t="shared" si="22"/>
        <v>-3.222784698326828E-3</v>
      </c>
      <c r="V70" s="9">
        <f t="shared" si="12"/>
        <v>1.2893724053619085E-2</v>
      </c>
    </row>
    <row r="71" spans="1:22">
      <c r="A71" s="8">
        <f t="shared" si="17"/>
        <v>0.30000000000000016</v>
      </c>
      <c r="B71" s="47">
        <f>B70*EXP((PL_r-0.5*Vol_a^2)*dt+Vol_a*SQRT(dt)*bs!A61)</f>
        <v>91.376958020624983</v>
      </c>
      <c r="C71" s="47">
        <f t="shared" si="0"/>
        <v>3.3609278829653704</v>
      </c>
      <c r="D71" s="44">
        <f t="shared" si="13"/>
        <v>0.35510370982684691</v>
      </c>
      <c r="E71" s="47">
        <f t="shared" si="9"/>
        <v>-29.087368902850613</v>
      </c>
      <c r="F71" s="47">
        <f t="shared" si="18"/>
        <v>32.474630908790957</v>
      </c>
      <c r="G71" s="47">
        <f t="shared" si="14"/>
        <v>3.3872620059403431</v>
      </c>
      <c r="I71" s="44"/>
      <c r="J71" s="47">
        <f t="shared" si="19"/>
        <v>3.0176194936389535</v>
      </c>
      <c r="Q71" s="8">
        <f t="shared" si="15"/>
        <v>100</v>
      </c>
      <c r="R71" s="9">
        <f t="shared" si="16"/>
        <v>2.4350778083684306E-2</v>
      </c>
      <c r="S71" s="8">
        <f t="shared" si="20"/>
        <v>1</v>
      </c>
      <c r="T71" s="9">
        <f t="shared" si="21"/>
        <v>4.7579455900676184E-3</v>
      </c>
      <c r="U71" s="9">
        <f t="shared" si="22"/>
        <v>4.7294833885184141E-3</v>
      </c>
      <c r="V71" s="9">
        <f t="shared" si="12"/>
        <v>1.5709929115042858E-2</v>
      </c>
    </row>
    <row r="72" spans="1:22">
      <c r="A72" s="8">
        <f t="shared" si="17"/>
        <v>0.30500000000000016</v>
      </c>
      <c r="B72" s="47">
        <f>B71*EXP((PL_r-0.5*Vol_a^2)*dt+Vol_a*SQRT(dt)*bs!A62)</f>
        <v>88.763003876541177</v>
      </c>
      <c r="C72" s="47">
        <f t="shared" si="0"/>
        <v>2.494120895311621</v>
      </c>
      <c r="D72" s="44">
        <f t="shared" si="13"/>
        <v>0.291783356993365</v>
      </c>
      <c r="E72" s="47">
        <f t="shared" si="9"/>
        <v>-23.405446352600634</v>
      </c>
      <c r="F72" s="47">
        <f t="shared" si="18"/>
        <v>26.857373810238094</v>
      </c>
      <c r="G72" s="47">
        <f t="shared" si="14"/>
        <v>3.4519274576374599</v>
      </c>
      <c r="I72" s="44"/>
      <c r="J72" s="47">
        <f t="shared" si="19"/>
        <v>-5.6205047240223109</v>
      </c>
      <c r="Q72" s="8">
        <f t="shared" si="15"/>
        <v>100</v>
      </c>
      <c r="R72" s="9">
        <f t="shared" si="16"/>
        <v>2.3195413286517041E-2</v>
      </c>
      <c r="S72" s="8">
        <f t="shared" si="20"/>
        <v>1</v>
      </c>
      <c r="T72" s="9">
        <f t="shared" si="21"/>
        <v>5.6500015074152699E-2</v>
      </c>
      <c r="U72" s="9">
        <f t="shared" si="22"/>
        <v>5.6156414030831402E-2</v>
      </c>
      <c r="V72" s="9">
        <f t="shared" si="12"/>
        <v>-2.8606272310945195E-2</v>
      </c>
    </row>
    <row r="73" spans="1:22">
      <c r="A73" s="8">
        <f t="shared" si="17"/>
        <v>0.31000000000000016</v>
      </c>
      <c r="B73" s="47">
        <f>B72*EXP((PL_r-0.5*Vol_a^2)*dt+Vol_a*SQRT(dt)*bs!A63)</f>
        <v>88.086678979012007</v>
      </c>
      <c r="C73" s="47">
        <f t="shared" si="0"/>
        <v>2.2821711510238174</v>
      </c>
      <c r="D73" s="44">
        <f t="shared" si="13"/>
        <v>0.27511746321759567</v>
      </c>
      <c r="E73" s="47">
        <f t="shared" si="9"/>
        <v>-21.952012512944677</v>
      </c>
      <c r="F73" s="47">
        <f t="shared" si="18"/>
        <v>25.392016446985956</v>
      </c>
      <c r="G73" s="47">
        <f t="shared" si="14"/>
        <v>3.4400039340412789</v>
      </c>
      <c r="I73" s="44"/>
      <c r="J73" s="47">
        <f t="shared" si="19"/>
        <v>-1.4680432349245067</v>
      </c>
      <c r="Q73" s="8">
        <f t="shared" si="15"/>
        <v>100</v>
      </c>
      <c r="R73" s="9">
        <f t="shared" si="16"/>
        <v>2.2805849069210963E-2</v>
      </c>
      <c r="S73" s="8">
        <f t="shared" si="20"/>
        <v>-1</v>
      </c>
      <c r="T73" s="9">
        <f t="shared" si="21"/>
        <v>-1.2558966515927326E-2</v>
      </c>
      <c r="U73" s="9">
        <f t="shared" si="22"/>
        <v>-1.2481341808778391E-2</v>
      </c>
      <c r="V73" s="9">
        <f t="shared" si="12"/>
        <v>-7.6194458050322187E-3</v>
      </c>
    </row>
    <row r="74" spans="1:22">
      <c r="A74" s="8">
        <f t="shared" si="17"/>
        <v>0.31500000000000017</v>
      </c>
      <c r="B74" s="47">
        <f>B73*EXP((PL_r-0.5*Vol_a^2)*dt+Vol_a*SQRT(dt)*bs!A64)</f>
        <v>89.88965741728272</v>
      </c>
      <c r="C74" s="47">
        <f t="shared" si="0"/>
        <v>2.7940219520934946</v>
      </c>
      <c r="D74" s="44">
        <f t="shared" si="13"/>
        <v>0.31618706094342752</v>
      </c>
      <c r="E74" s="47">
        <f t="shared" si="9"/>
        <v>-25.6279246358887</v>
      </c>
      <c r="F74" s="47">
        <f t="shared" si="18"/>
        <v>29.08628784543561</v>
      </c>
      <c r="G74" s="47">
        <f t="shared" si="14"/>
        <v>3.4583632095469099</v>
      </c>
      <c r="I74" s="44"/>
      <c r="J74" s="47">
        <f t="shared" si="19"/>
        <v>3.6917320698406386</v>
      </c>
      <c r="Q74" s="8">
        <f t="shared" si="15"/>
        <v>100</v>
      </c>
      <c r="R74" s="9">
        <f t="shared" si="16"/>
        <v>2.3912766526616204E-2</v>
      </c>
      <c r="S74" s="8">
        <f t="shared" si="20"/>
        <v>1</v>
      </c>
      <c r="T74" s="9">
        <f t="shared" si="21"/>
        <v>2.1152473653612214E-2</v>
      </c>
      <c r="U74" s="9">
        <f t="shared" si="22"/>
        <v>2.1019631960301995E-2</v>
      </c>
      <c r="V74" s="9">
        <f t="shared" si="12"/>
        <v>2.0468230374541655E-2</v>
      </c>
    </row>
    <row r="75" spans="1:22">
      <c r="A75" s="8">
        <f t="shared" si="17"/>
        <v>0.32000000000000017</v>
      </c>
      <c r="B75" s="47">
        <f>B74*EXP((PL_r-0.5*Vol_a^2)*dt+Vol_a*SQRT(dt)*bs!A65)</f>
        <v>90.950082655290515</v>
      </c>
      <c r="C75" s="47">
        <f t="shared" ref="C75:C138" si="23">CallOption(B75,Vol_i,0,PL_r, PL_K,PL_T-A75)</f>
        <v>3.1198650928531997</v>
      </c>
      <c r="D75" s="44">
        <f t="shared" ref="D75:D138" si="24">CallDelta(B75,$E$6,0,PL_r, PL_K, PL_T-A75)</f>
        <v>0.34081308521348574</v>
      </c>
      <c r="E75" s="47">
        <f t="shared" si="9"/>
        <v>-27.877113177317899</v>
      </c>
      <c r="F75" s="47">
        <f t="shared" si="18"/>
        <v>31.328935562489427</v>
      </c>
      <c r="G75" s="47">
        <f t="shared" ref="G75:G106" si="25">F75+E75</f>
        <v>3.4518223851715284</v>
      </c>
      <c r="I75" s="44"/>
      <c r="J75" s="47">
        <f t="shared" si="19"/>
        <v>2.2397389428329855</v>
      </c>
      <c r="Q75" s="8">
        <f t="shared" ref="Q75:Q138" si="26">PL_K</f>
        <v>100</v>
      </c>
      <c r="R75" s="9">
        <f t="shared" ref="R75:R106" si="27">CallGamma(B75,$E$6,0,PL_r, PL_K, PL_T-A75)</f>
        <v>2.444986097880843E-2</v>
      </c>
      <c r="S75" s="8">
        <f t="shared" si="20"/>
        <v>-1</v>
      </c>
      <c r="T75" s="9">
        <f t="shared" si="21"/>
        <v>-6.1515105729944199E-3</v>
      </c>
      <c r="U75" s="9">
        <f t="shared" si="22"/>
        <v>-6.1122666199296648E-3</v>
      </c>
      <c r="V75" s="9">
        <f t="shared" si="12"/>
        <v>1.1796966063460729E-2</v>
      </c>
    </row>
    <row r="76" spans="1:22">
      <c r="A76" s="8">
        <f t="shared" ref="A76:A107" si="28">A75+dt</f>
        <v>0.32500000000000018</v>
      </c>
      <c r="B76" s="47">
        <f>B75*EXP((PL_r-0.5*Vol_a^2)*dt+Vol_a*SQRT(dt)*bs!A66)</f>
        <v>91.036299781617544</v>
      </c>
      <c r="C76" s="47">
        <f t="shared" si="23"/>
        <v>3.1262187656574447</v>
      </c>
      <c r="D76" s="44">
        <f t="shared" si="24"/>
        <v>0.34192596330018654</v>
      </c>
      <c r="E76" s="47">
        <f t="shared" ref="E76:E139" si="29">C76-D76*B76</f>
        <v>-28.001455732456694</v>
      </c>
      <c r="F76" s="47">
        <f t="shared" ref="F76:F139" si="30">J76+F75*EXP(PL_r*dt)</f>
        <v>31.433380915816862</v>
      </c>
      <c r="G76" s="47">
        <f t="shared" si="25"/>
        <v>3.4319251833601676</v>
      </c>
      <c r="I76" s="44"/>
      <c r="J76" s="47">
        <f t="shared" ref="J76:J139" si="31">(D76-D75)*B76</f>
        <v>0.10131230312128672</v>
      </c>
      <c r="Q76" s="8">
        <f t="shared" si="26"/>
        <v>100</v>
      </c>
      <c r="R76" s="9">
        <f t="shared" si="27"/>
        <v>2.4547415619839062E-2</v>
      </c>
      <c r="S76" s="8">
        <f t="shared" ref="S76:S107" si="32">IF(V76^2 &lt; ($E$6^2*dt), -1, 1)</f>
        <v>-1</v>
      </c>
      <c r="T76" s="9">
        <f t="shared" ref="T76:T107" si="33">0.5*R76*(B76^2)*(V76^2-$E$6^2*dt)</f>
        <v>-2.0252527158253708E-2</v>
      </c>
      <c r="U76" s="9">
        <f t="shared" ref="U76:U107" si="34">T76*EXP(-PL_r*A76)</f>
        <v>-2.012131264089061E-2</v>
      </c>
      <c r="V76" s="9">
        <f t="shared" si="12"/>
        <v>9.4796094527807649E-4</v>
      </c>
    </row>
    <row r="77" spans="1:22">
      <c r="A77" s="8">
        <f t="shared" si="28"/>
        <v>0.33000000000000018</v>
      </c>
      <c r="B77" s="47">
        <f>B76*EXP((PL_r-0.5*Vol_a^2)*dt+Vol_a*SQRT(dt)*bs!A67)</f>
        <v>94.642417802999162</v>
      </c>
      <c r="C77" s="47">
        <f t="shared" si="23"/>
        <v>4.4948709524187294</v>
      </c>
      <c r="D77" s="44">
        <f t="shared" si="24"/>
        <v>0.43146232621889369</v>
      </c>
      <c r="E77" s="47">
        <f t="shared" si="29"/>
        <v>-36.339766791843729</v>
      </c>
      <c r="F77" s="47">
        <f t="shared" si="30"/>
        <v>39.910462278993833</v>
      </c>
      <c r="G77" s="47">
        <f t="shared" si="25"/>
        <v>3.570695487150104</v>
      </c>
      <c r="I77" s="44"/>
      <c r="J77" s="47">
        <f t="shared" si="31"/>
        <v>8.4739378679132429</v>
      </c>
      <c r="Q77" s="8">
        <f t="shared" si="26"/>
        <v>100</v>
      </c>
      <c r="R77" s="9">
        <f t="shared" si="27"/>
        <v>2.5367865982286183E-2</v>
      </c>
      <c r="S77" s="8">
        <f t="shared" si="32"/>
        <v>1</v>
      </c>
      <c r="T77" s="9">
        <f t="shared" si="33"/>
        <v>0.15554670875689267</v>
      </c>
      <c r="U77" s="9">
        <f t="shared" si="34"/>
        <v>0.15452348084551934</v>
      </c>
      <c r="V77" s="9">
        <f t="shared" ref="V77:V140" si="35">(B77-B76)/B76</f>
        <v>3.9611869441444306E-2</v>
      </c>
    </row>
    <row r="78" spans="1:22">
      <c r="A78" s="8">
        <f t="shared" si="28"/>
        <v>0.33500000000000019</v>
      </c>
      <c r="B78" s="47">
        <f>B77*EXP((PL_r-0.5*Vol_a^2)*dt+Vol_a*SQRT(dt)*bs!A68)</f>
        <v>93.122787852522649</v>
      </c>
      <c r="C78" s="47">
        <f t="shared" si="23"/>
        <v>3.8432990676418513</v>
      </c>
      <c r="D78" s="44">
        <f t="shared" si="24"/>
        <v>0.39212903653154252</v>
      </c>
      <c r="E78" s="47">
        <f t="shared" si="29"/>
        <v>-32.672850012099083</v>
      </c>
      <c r="F78" s="47">
        <f t="shared" si="30"/>
        <v>36.251627933683679</v>
      </c>
      <c r="G78" s="47">
        <f t="shared" si="25"/>
        <v>3.5787779215845958</v>
      </c>
      <c r="I78" s="44"/>
      <c r="J78" s="47">
        <f t="shared" si="31"/>
        <v>-3.66282559109702</v>
      </c>
      <c r="Q78" s="8">
        <f t="shared" si="26"/>
        <v>100</v>
      </c>
      <c r="R78" s="9">
        <f t="shared" si="27"/>
        <v>2.5300992770649781E-2</v>
      </c>
      <c r="S78" s="8">
        <f t="shared" si="32"/>
        <v>1</v>
      </c>
      <c r="T78" s="9">
        <f t="shared" si="33"/>
        <v>6.3422235806665289E-3</v>
      </c>
      <c r="U78" s="9">
        <f t="shared" si="34"/>
        <v>6.2998727164984324E-3</v>
      </c>
      <c r="V78" s="9">
        <f t="shared" si="35"/>
        <v>-1.6056541937037851E-2</v>
      </c>
    </row>
    <row r="79" spans="1:22">
      <c r="A79" s="8">
        <f t="shared" si="28"/>
        <v>0.34000000000000019</v>
      </c>
      <c r="B79" s="47">
        <f>B78*EXP((PL_r-0.5*Vol_a^2)*dt+Vol_a*SQRT(dt)*bs!A69)</f>
        <v>93.22480215441</v>
      </c>
      <c r="C79" s="47">
        <f t="shared" si="23"/>
        <v>3.858105050608998</v>
      </c>
      <c r="D79" s="44">
        <f t="shared" si="24"/>
        <v>0.39384874063526587</v>
      </c>
      <c r="E79" s="47">
        <f t="shared" si="29"/>
        <v>-32.858365873877204</v>
      </c>
      <c r="F79" s="47">
        <f t="shared" si="30"/>
        <v>36.415572352574969</v>
      </c>
      <c r="G79" s="47">
        <f t="shared" si="25"/>
        <v>3.5572064786977649</v>
      </c>
      <c r="I79" s="44"/>
      <c r="J79" s="47">
        <f t="shared" si="31"/>
        <v>0.16031907483373645</v>
      </c>
      <c r="Q79" s="8">
        <f t="shared" si="26"/>
        <v>100</v>
      </c>
      <c r="R79" s="9">
        <f t="shared" si="27"/>
        <v>2.5399686309071568E-2</v>
      </c>
      <c r="S79" s="8">
        <f t="shared" si="32"/>
        <v>-1</v>
      </c>
      <c r="T79" s="9">
        <f t="shared" si="33"/>
        <v>-2.194206531318443E-2</v>
      </c>
      <c r="U79" s="9">
        <f t="shared" si="34"/>
        <v>-2.179336542167571E-2</v>
      </c>
      <c r="V79" s="9">
        <f t="shared" si="35"/>
        <v>1.095481613468337E-3</v>
      </c>
    </row>
    <row r="80" spans="1:22">
      <c r="A80" s="8">
        <f t="shared" si="28"/>
        <v>0.3450000000000002</v>
      </c>
      <c r="B80" s="47">
        <f>B79*EXP((PL_r-0.5*Vol_a^2)*dt+Vol_a*SQRT(dt)*bs!A70)</f>
        <v>91.405961735784444</v>
      </c>
      <c r="C80" s="47">
        <f t="shared" si="23"/>
        <v>3.1598620874937495</v>
      </c>
      <c r="D80" s="44">
        <f t="shared" si="24"/>
        <v>0.34705285027537069</v>
      </c>
      <c r="E80" s="47">
        <f t="shared" si="29"/>
        <v>-28.562837465071713</v>
      </c>
      <c r="F80" s="47">
        <f t="shared" si="30"/>
        <v>32.141790728265619</v>
      </c>
      <c r="G80" s="47">
        <f t="shared" si="25"/>
        <v>3.5789532631939061</v>
      </c>
      <c r="I80" s="44"/>
      <c r="J80" s="47">
        <f t="shared" si="31"/>
        <v>-4.277423363628543</v>
      </c>
      <c r="Q80" s="8">
        <f t="shared" si="26"/>
        <v>100</v>
      </c>
      <c r="R80" s="9">
        <f t="shared" si="27"/>
        <v>2.4957281697754696E-2</v>
      </c>
      <c r="S80" s="8">
        <f t="shared" si="32"/>
        <v>1</v>
      </c>
      <c r="T80" s="9">
        <f t="shared" si="33"/>
        <v>1.8834546939183492E-2</v>
      </c>
      <c r="U80" s="9">
        <f t="shared" si="34"/>
        <v>1.870503589224972E-2</v>
      </c>
      <c r="V80" s="9">
        <f t="shared" si="35"/>
        <v>-1.95102631123097E-2</v>
      </c>
    </row>
    <row r="81" spans="1:22">
      <c r="A81" s="8">
        <f t="shared" si="28"/>
        <v>0.3500000000000002</v>
      </c>
      <c r="B81" s="47">
        <f>B80*EXP((PL_r-0.5*Vol_a^2)*dt+Vol_a*SQRT(dt)*bs!A71)</f>
        <v>93.057874206194029</v>
      </c>
      <c r="C81" s="47">
        <f t="shared" si="23"/>
        <v>3.7421585832515518</v>
      </c>
      <c r="D81" s="44">
        <f t="shared" si="24"/>
        <v>0.38783707009548063</v>
      </c>
      <c r="E81" s="47">
        <f t="shared" si="29"/>
        <v>-32.349134698192543</v>
      </c>
      <c r="F81" s="47">
        <f t="shared" si="30"/>
        <v>35.94029786567031</v>
      </c>
      <c r="G81" s="47">
        <f t="shared" si="25"/>
        <v>3.5911631674777666</v>
      </c>
      <c r="I81" s="44"/>
      <c r="J81" s="47">
        <f t="shared" si="31"/>
        <v>3.7952927976175554</v>
      </c>
      <c r="Q81" s="8">
        <f t="shared" si="26"/>
        <v>100</v>
      </c>
      <c r="R81" s="9">
        <f t="shared" si="27"/>
        <v>2.552920604159483E-2</v>
      </c>
      <c r="S81" s="8">
        <f t="shared" si="32"/>
        <v>1</v>
      </c>
      <c r="T81" s="9">
        <f t="shared" si="33"/>
        <v>1.3994908814453536E-2</v>
      </c>
      <c r="U81" s="9">
        <f t="shared" si="34"/>
        <v>1.3897286529374145E-2</v>
      </c>
      <c r="V81" s="9">
        <f t="shared" si="35"/>
        <v>1.8072261798246347E-2</v>
      </c>
    </row>
    <row r="82" spans="1:22">
      <c r="A82" s="8">
        <f t="shared" si="28"/>
        <v>0.3550000000000002</v>
      </c>
      <c r="B82" s="47">
        <f>B81*EXP((PL_r-0.5*Vol_a^2)*dt+Vol_a*SQRT(dt)*bs!A72)</f>
        <v>91.7705013226131</v>
      </c>
      <c r="C82" s="47">
        <f t="shared" si="23"/>
        <v>3.2397862639228165</v>
      </c>
      <c r="D82" s="44">
        <f t="shared" si="24"/>
        <v>0.3541883635535864</v>
      </c>
      <c r="E82" s="47">
        <f t="shared" si="29"/>
        <v>-29.264257422025757</v>
      </c>
      <c r="F82" s="47">
        <f t="shared" si="30"/>
        <v>32.855933406957234</v>
      </c>
      <c r="G82" s="47">
        <f t="shared" si="25"/>
        <v>3.5916759849314772</v>
      </c>
      <c r="I82" s="44"/>
      <c r="J82" s="47">
        <f t="shared" si="31"/>
        <v>-3.0879586682071238</v>
      </c>
      <c r="Q82" s="8">
        <f t="shared" si="26"/>
        <v>100</v>
      </c>
      <c r="R82" s="9">
        <f t="shared" si="27"/>
        <v>2.5235817403475934E-2</v>
      </c>
      <c r="S82" s="8">
        <f t="shared" si="32"/>
        <v>-1</v>
      </c>
      <c r="T82" s="9">
        <f t="shared" si="33"/>
        <v>-9.1573462472119879E-4</v>
      </c>
      <c r="U82" s="9">
        <f t="shared" si="34"/>
        <v>-9.0925593544846747E-4</v>
      </c>
      <c r="V82" s="9">
        <f t="shared" si="35"/>
        <v>-1.3834110165985717E-2</v>
      </c>
    </row>
    <row r="83" spans="1:22">
      <c r="A83" s="8">
        <f t="shared" si="28"/>
        <v>0.36000000000000021</v>
      </c>
      <c r="B83" s="47">
        <f>B82*EXP((PL_r-0.5*Vol_a^2)*dt+Vol_a*SQRT(dt)*bs!A73)</f>
        <v>95.264368357404095</v>
      </c>
      <c r="C83" s="47">
        <f t="shared" si="23"/>
        <v>4.6059375224059664</v>
      </c>
      <c r="D83" s="44">
        <f t="shared" si="24"/>
        <v>0.443060331681145</v>
      </c>
      <c r="E83" s="47">
        <f t="shared" si="29"/>
        <v>-37.601925119420265</v>
      </c>
      <c r="F83" s="47">
        <f t="shared" si="30"/>
        <v>41.325551072934289</v>
      </c>
      <c r="G83" s="47">
        <f t="shared" si="25"/>
        <v>3.7236259535140235</v>
      </c>
      <c r="I83" s="44"/>
      <c r="J83" s="47">
        <f t="shared" si="31"/>
        <v>8.4663319083512185</v>
      </c>
      <c r="Q83" s="8">
        <f t="shared" si="26"/>
        <v>100</v>
      </c>
      <c r="R83" s="9">
        <f t="shared" si="27"/>
        <v>2.5906325251112344E-2</v>
      </c>
      <c r="S83" s="8">
        <f t="shared" si="32"/>
        <v>1</v>
      </c>
      <c r="T83" s="9">
        <f t="shared" si="33"/>
        <v>0.14687893383374506</v>
      </c>
      <c r="U83" s="9">
        <f t="shared" si="34"/>
        <v>0.14582520349148539</v>
      </c>
      <c r="V83" s="9">
        <f t="shared" si="35"/>
        <v>3.8071787605349759E-2</v>
      </c>
    </row>
    <row r="84" spans="1:22">
      <c r="A84" s="8">
        <f t="shared" si="28"/>
        <v>0.36500000000000021</v>
      </c>
      <c r="B84" s="47">
        <f>B83*EXP((PL_r-0.5*Vol_a^2)*dt+Vol_a*SQRT(dt)*bs!A74)</f>
        <v>97.489174342591099</v>
      </c>
      <c r="C84" s="47">
        <f t="shared" si="23"/>
        <v>5.6269543094301113</v>
      </c>
      <c r="D84" s="44">
        <f t="shared" si="24"/>
        <v>0.49992779502592222</v>
      </c>
      <c r="E84" s="47">
        <f t="shared" si="29"/>
        <v>-43.110593658559168</v>
      </c>
      <c r="F84" s="47">
        <f t="shared" si="30"/>
        <v>46.873645883116119</v>
      </c>
      <c r="G84" s="47">
        <f t="shared" si="25"/>
        <v>3.7630522245569509</v>
      </c>
      <c r="I84" s="44"/>
      <c r="J84" s="47">
        <f t="shared" si="31"/>
        <v>5.5439620484398944</v>
      </c>
      <c r="Q84" s="8">
        <f t="shared" si="26"/>
        <v>100</v>
      </c>
      <c r="R84" s="9">
        <f t="shared" si="27"/>
        <v>2.5676558394879367E-2</v>
      </c>
      <c r="S84" s="8">
        <f t="shared" si="32"/>
        <v>1</v>
      </c>
      <c r="T84" s="9">
        <f t="shared" si="33"/>
        <v>4.2145851740904287E-2</v>
      </c>
      <c r="U84" s="9">
        <f t="shared" si="34"/>
        <v>4.1839307271819531E-2</v>
      </c>
      <c r="V84" s="9">
        <f t="shared" si="35"/>
        <v>2.3354020223387E-2</v>
      </c>
    </row>
    <row r="85" spans="1:22">
      <c r="A85" s="8">
        <f t="shared" si="28"/>
        <v>0.37000000000000022</v>
      </c>
      <c r="B85" s="47">
        <f>B84*EXP((PL_r-0.5*Vol_a^2)*dt+Vol_a*SQRT(dt)*bs!A75)</f>
        <v>101.53936202426215</v>
      </c>
      <c r="C85" s="47">
        <f t="shared" si="23"/>
        <v>7.8283933948237561</v>
      </c>
      <c r="D85" s="44">
        <f t="shared" si="24"/>
        <v>0.6006295031236335</v>
      </c>
      <c r="E85" s="47">
        <f t="shared" si="29"/>
        <v>-53.159143165299561</v>
      </c>
      <c r="F85" s="47">
        <f t="shared" si="30"/>
        <v>57.103520677075551</v>
      </c>
      <c r="G85" s="47">
        <f t="shared" si="25"/>
        <v>3.9443775117759898</v>
      </c>
      <c r="I85" s="44"/>
      <c r="J85" s="47">
        <f t="shared" si="31"/>
        <v>10.225187194995078</v>
      </c>
      <c r="Q85" s="8">
        <f t="shared" si="26"/>
        <v>100</v>
      </c>
      <c r="R85" s="9">
        <f t="shared" si="27"/>
        <v>2.3958405922455774E-2</v>
      </c>
      <c r="S85" s="8">
        <f t="shared" si="32"/>
        <v>1</v>
      </c>
      <c r="T85" s="9">
        <f t="shared" si="33"/>
        <v>0.18847233399020413</v>
      </c>
      <c r="U85" s="9">
        <f t="shared" si="34"/>
        <v>0.18708278638577613</v>
      </c>
      <c r="V85" s="9">
        <f t="shared" si="35"/>
        <v>4.1544999318981826E-2</v>
      </c>
    </row>
    <row r="86" spans="1:22">
      <c r="A86" s="8">
        <f t="shared" si="28"/>
        <v>0.37500000000000022</v>
      </c>
      <c r="B86" s="47">
        <f>B85*EXP((PL_r-0.5*Vol_a^2)*dt+Vol_a*SQRT(dt)*bs!A76)</f>
        <v>104.70724659412485</v>
      </c>
      <c r="C86" s="47">
        <f t="shared" si="23"/>
        <v>9.8179150223367913</v>
      </c>
      <c r="D86" s="44">
        <f t="shared" si="24"/>
        <v>0.67329557423620368</v>
      </c>
      <c r="E86" s="47">
        <f t="shared" si="29"/>
        <v>-60.681010699946285</v>
      </c>
      <c r="F86" s="47">
        <f t="shared" si="30"/>
        <v>64.717895541680477</v>
      </c>
      <c r="G86" s="47">
        <f t="shared" si="25"/>
        <v>4.0368848417341923</v>
      </c>
      <c r="I86" s="44"/>
      <c r="J86" s="47">
        <f t="shared" si="31"/>
        <v>7.6086642270100979</v>
      </c>
      <c r="Q86" s="8">
        <f t="shared" si="26"/>
        <v>100</v>
      </c>
      <c r="R86" s="9">
        <f t="shared" si="27"/>
        <v>2.1786127812905134E-2</v>
      </c>
      <c r="S86" s="8">
        <f t="shared" si="32"/>
        <v>1</v>
      </c>
      <c r="T86" s="9">
        <f t="shared" si="33"/>
        <v>9.2359299653086174E-2</v>
      </c>
      <c r="U86" s="9">
        <f t="shared" si="34"/>
        <v>9.166919602913555E-2</v>
      </c>
      <c r="V86" s="9">
        <f t="shared" si="35"/>
        <v>3.119858650584945E-2</v>
      </c>
    </row>
    <row r="87" spans="1:22">
      <c r="A87" s="8">
        <f t="shared" si="28"/>
        <v>0.38000000000000023</v>
      </c>
      <c r="B87" s="47">
        <f>B86*EXP((PL_r-0.5*Vol_a^2)*dt+Vol_a*SQRT(dt)*bs!A77)</f>
        <v>105.75627068356656</v>
      </c>
      <c r="C87" s="47">
        <f t="shared" si="23"/>
        <v>10.506299224116461</v>
      </c>
      <c r="D87" s="44">
        <f t="shared" si="24"/>
        <v>0.69597905641367708</v>
      </c>
      <c r="E87" s="47">
        <f t="shared" si="29"/>
        <v>-63.097850256061605</v>
      </c>
      <c r="F87" s="47">
        <f t="shared" si="30"/>
        <v>67.123288136041637</v>
      </c>
      <c r="G87" s="47">
        <f t="shared" si="25"/>
        <v>4.0254378799800321</v>
      </c>
      <c r="I87" s="44"/>
      <c r="J87" s="47">
        <f t="shared" si="31"/>
        <v>2.3989204812067348</v>
      </c>
      <c r="Q87" s="8">
        <f t="shared" si="26"/>
        <v>100</v>
      </c>
      <c r="R87" s="9">
        <f t="shared" si="27"/>
        <v>2.1001993837948655E-2</v>
      </c>
      <c r="S87" s="8">
        <f t="shared" si="32"/>
        <v>-1</v>
      </c>
      <c r="T87" s="9">
        <f t="shared" si="33"/>
        <v>-1.1700900773621275E-2</v>
      </c>
      <c r="U87" s="9">
        <f t="shared" si="34"/>
        <v>-1.1612310995311055E-2</v>
      </c>
      <c r="V87" s="9">
        <f t="shared" si="35"/>
        <v>1.0018638857996313E-2</v>
      </c>
    </row>
    <row r="88" spans="1:22">
      <c r="A88" s="8">
        <f t="shared" si="28"/>
        <v>0.38500000000000023</v>
      </c>
      <c r="B88" s="47">
        <f>B87*EXP((PL_r-0.5*Vol_a^2)*dt+Vol_a*SQRT(dt)*bs!A78)</f>
        <v>101.90366835984048</v>
      </c>
      <c r="C88" s="47">
        <f t="shared" si="23"/>
        <v>7.958192894744947</v>
      </c>
      <c r="D88" s="44">
        <f t="shared" si="24"/>
        <v>0.60913925879159503</v>
      </c>
      <c r="E88" s="47">
        <f t="shared" si="29"/>
        <v>-54.115332118112796</v>
      </c>
      <c r="F88" s="47">
        <f t="shared" si="30"/>
        <v>58.280706863166564</v>
      </c>
      <c r="G88" s="47">
        <f t="shared" si="25"/>
        <v>4.1653747450537679</v>
      </c>
      <c r="I88" s="44"/>
      <c r="J88" s="47">
        <f t="shared" si="31"/>
        <v>-8.8492939373163129</v>
      </c>
      <c r="Q88" s="8">
        <f t="shared" si="26"/>
        <v>100</v>
      </c>
      <c r="R88" s="9">
        <f t="shared" si="27"/>
        <v>2.4020497677218134E-2</v>
      </c>
      <c r="S88" s="8">
        <f t="shared" si="32"/>
        <v>1</v>
      </c>
      <c r="T88" s="9">
        <f t="shared" si="33"/>
        <v>0.14056759469054708</v>
      </c>
      <c r="U88" s="9">
        <f t="shared" si="34"/>
        <v>0.13948938066270761</v>
      </c>
      <c r="V88" s="9">
        <f t="shared" si="35"/>
        <v>-3.6429067504218732E-2</v>
      </c>
    </row>
    <row r="89" spans="1:22">
      <c r="A89" s="8">
        <f t="shared" si="28"/>
        <v>0.39000000000000024</v>
      </c>
      <c r="B89" s="47">
        <f>B88*EXP((PL_r-0.5*Vol_a^2)*dt+Vol_a*SQRT(dt)*bs!A79)</f>
        <v>100.06870271769407</v>
      </c>
      <c r="C89" s="47">
        <f t="shared" si="23"/>
        <v>6.8513968979726627</v>
      </c>
      <c r="D89" s="44">
        <f t="shared" si="24"/>
        <v>0.56379645839050563</v>
      </c>
      <c r="E89" s="47">
        <f t="shared" si="29"/>
        <v>-49.566983289995619</v>
      </c>
      <c r="F89" s="47">
        <f t="shared" si="30"/>
        <v>53.749140011541776</v>
      </c>
      <c r="G89" s="47">
        <f t="shared" si="25"/>
        <v>4.182156721546157</v>
      </c>
      <c r="I89" s="44"/>
      <c r="J89" s="47">
        <f t="shared" si="31"/>
        <v>-4.5373952137243547</v>
      </c>
      <c r="Q89" s="8">
        <f t="shared" si="26"/>
        <v>100</v>
      </c>
      <c r="R89" s="9">
        <f t="shared" si="27"/>
        <v>2.5195096530886609E-2</v>
      </c>
      <c r="S89" s="8">
        <f t="shared" si="32"/>
        <v>1</v>
      </c>
      <c r="T89" s="9">
        <f t="shared" si="33"/>
        <v>1.5673615506513937E-2</v>
      </c>
      <c r="U89" s="9">
        <f t="shared" si="34"/>
        <v>1.5551836859702805E-2</v>
      </c>
      <c r="V89" s="9">
        <f t="shared" si="35"/>
        <v>-1.8006865421829717E-2</v>
      </c>
    </row>
    <row r="90" spans="1:22">
      <c r="A90" s="8">
        <f t="shared" si="28"/>
        <v>0.39500000000000024</v>
      </c>
      <c r="B90" s="47">
        <f>B89*EXP((PL_r-0.5*Vol_a^2)*dt+Vol_a*SQRT(dt)*bs!A80)</f>
        <v>99.391174556807627</v>
      </c>
      <c r="C90" s="47">
        <f t="shared" si="23"/>
        <v>6.4451785455188926</v>
      </c>
      <c r="D90" s="44">
        <f t="shared" si="24"/>
        <v>0.54629545932950319</v>
      </c>
      <c r="E90" s="47">
        <f t="shared" si="29"/>
        <v>-47.851768812291162</v>
      </c>
      <c r="F90" s="47">
        <f t="shared" si="30"/>
        <v>52.015070341706966</v>
      </c>
      <c r="G90" s="47">
        <f t="shared" si="25"/>
        <v>4.1633015294158042</v>
      </c>
      <c r="I90" s="44"/>
      <c r="J90" s="47">
        <f t="shared" si="31"/>
        <v>-1.7394448525906201</v>
      </c>
      <c r="Q90" s="8">
        <f t="shared" si="26"/>
        <v>100</v>
      </c>
      <c r="R90" s="9">
        <f t="shared" si="27"/>
        <v>2.5628143046503415E-2</v>
      </c>
      <c r="S90" s="8">
        <f t="shared" si="32"/>
        <v>-1</v>
      </c>
      <c r="T90" s="9">
        <f t="shared" si="33"/>
        <v>-1.9514186930701043E-2</v>
      </c>
      <c r="U90" s="9">
        <f t="shared" si="34"/>
        <v>-1.9360632193771144E-2</v>
      </c>
      <c r="V90" s="9">
        <f t="shared" si="35"/>
        <v>-6.7706300020479726E-3</v>
      </c>
    </row>
    <row r="91" spans="1:22">
      <c r="A91" s="8">
        <f t="shared" si="28"/>
        <v>0.40000000000000024</v>
      </c>
      <c r="B91" s="47">
        <f>B90*EXP((PL_r-0.5*Vol_a^2)*dt+Vol_a*SQRT(dt)*bs!A81)</f>
        <v>101.03650574817304</v>
      </c>
      <c r="C91" s="47">
        <f t="shared" si="23"/>
        <v>7.3477851017927378</v>
      </c>
      <c r="D91" s="44">
        <f t="shared" si="24"/>
        <v>0.58764104493599612</v>
      </c>
      <c r="E91" s="47">
        <f t="shared" si="29"/>
        <v>-52.02541271274545</v>
      </c>
      <c r="F91" s="47">
        <f t="shared" si="30"/>
        <v>56.197685606617164</v>
      </c>
      <c r="G91" s="47">
        <f t="shared" si="25"/>
        <v>4.172272893871714</v>
      </c>
      <c r="I91" s="44"/>
      <c r="J91" s="47">
        <f t="shared" si="31"/>
        <v>4.1774134977920037</v>
      </c>
      <c r="Q91" s="8">
        <f t="shared" si="26"/>
        <v>100</v>
      </c>
      <c r="R91" s="9">
        <f t="shared" si="27"/>
        <v>2.4869910007844373E-2</v>
      </c>
      <c r="S91" s="8">
        <f t="shared" si="32"/>
        <v>1</v>
      </c>
      <c r="T91" s="9">
        <f t="shared" si="33"/>
        <v>9.3984529633059904E-3</v>
      </c>
      <c r="U91" s="9">
        <f t="shared" si="34"/>
        <v>9.3235652896944878E-3</v>
      </c>
      <c r="V91" s="9">
        <f t="shared" si="35"/>
        <v>1.6554097470948145E-2</v>
      </c>
    </row>
    <row r="92" spans="1:22">
      <c r="A92" s="8">
        <f t="shared" si="28"/>
        <v>0.40500000000000025</v>
      </c>
      <c r="B92" s="47">
        <f>B91*EXP((PL_r-0.5*Vol_a^2)*dt+Vol_a*SQRT(dt)*bs!A82)</f>
        <v>102.62730416287741</v>
      </c>
      <c r="C92" s="47">
        <f t="shared" si="23"/>
        <v>8.2829120366817222</v>
      </c>
      <c r="D92" s="44">
        <f t="shared" si="24"/>
        <v>0.62641621350449739</v>
      </c>
      <c r="E92" s="47">
        <f t="shared" si="29"/>
        <v>-56.004495239202285</v>
      </c>
      <c r="F92" s="47">
        <f t="shared" si="30"/>
        <v>60.182696674822047</v>
      </c>
      <c r="G92" s="47">
        <f t="shared" si="25"/>
        <v>4.1782014356197621</v>
      </c>
      <c r="I92" s="44"/>
      <c r="J92" s="47">
        <f t="shared" si="31"/>
        <v>3.9793910186464241</v>
      </c>
      <c r="Q92" s="8">
        <f t="shared" si="26"/>
        <v>100</v>
      </c>
      <c r="R92" s="9">
        <f t="shared" si="27"/>
        <v>2.3921658444913091E-2</v>
      </c>
      <c r="S92" s="8">
        <f t="shared" si="32"/>
        <v>1</v>
      </c>
      <c r="T92" s="9">
        <f t="shared" si="33"/>
        <v>6.0340349627925295E-3</v>
      </c>
      <c r="U92" s="9">
        <f t="shared" si="34"/>
        <v>5.9853566927357904E-3</v>
      </c>
      <c r="V92" s="9">
        <f t="shared" si="35"/>
        <v>1.574478850910906E-2</v>
      </c>
    </row>
    <row r="93" spans="1:22">
      <c r="A93" s="8">
        <f t="shared" si="28"/>
        <v>0.41000000000000025</v>
      </c>
      <c r="B93" s="47">
        <f>B92*EXP((PL_r-0.5*Vol_a^2)*dt+Vol_a*SQRT(dt)*bs!A83)</f>
        <v>100.7185695251664</v>
      </c>
      <c r="C93" s="47">
        <f t="shared" si="23"/>
        <v>7.1009144188179292</v>
      </c>
      <c r="D93" s="44">
        <f t="shared" si="24"/>
        <v>0.57934983785373761</v>
      </c>
      <c r="E93" s="47">
        <f t="shared" si="29"/>
        <v>-51.250372504447625</v>
      </c>
      <c r="F93" s="47">
        <f t="shared" si="30"/>
        <v>55.448257217134397</v>
      </c>
      <c r="G93" s="47">
        <f t="shared" si="25"/>
        <v>4.197884712686772</v>
      </c>
      <c r="I93" s="44"/>
      <c r="J93" s="47">
        <f t="shared" si="31"/>
        <v>-4.7404580282786473</v>
      </c>
      <c r="Q93" s="8">
        <f t="shared" si="26"/>
        <v>100</v>
      </c>
      <c r="R93" s="9">
        <f t="shared" si="27"/>
        <v>2.527194061178753E-2</v>
      </c>
      <c r="S93" s="8">
        <f t="shared" si="32"/>
        <v>1</v>
      </c>
      <c r="T93" s="9">
        <f t="shared" si="33"/>
        <v>1.870328319212182E-2</v>
      </c>
      <c r="U93" s="9">
        <f t="shared" si="34"/>
        <v>1.8550543359112995E-2</v>
      </c>
      <c r="V93" s="9">
        <f t="shared" si="35"/>
        <v>-1.8598701907649239E-2</v>
      </c>
    </row>
    <row r="94" spans="1:22">
      <c r="A94" s="8">
        <f t="shared" si="28"/>
        <v>0.41500000000000026</v>
      </c>
      <c r="B94" s="47">
        <f>B93*EXP((PL_r-0.5*Vol_a^2)*dt+Vol_a*SQRT(dt)*bs!A84)</f>
        <v>100.92464054589695</v>
      </c>
      <c r="C94" s="47">
        <f t="shared" si="23"/>
        <v>7.1899840083270234</v>
      </c>
      <c r="D94" s="44">
        <f t="shared" si="24"/>
        <v>0.58439049257908993</v>
      </c>
      <c r="E94" s="47">
        <f t="shared" si="29"/>
        <v>-51.789416393657284</v>
      </c>
      <c r="F94" s="47">
        <f t="shared" si="30"/>
        <v>55.962528586378795</v>
      </c>
      <c r="G94" s="47">
        <f t="shared" si="25"/>
        <v>4.1731121927215113</v>
      </c>
      <c r="I94" s="44"/>
      <c r="J94" s="47">
        <f t="shared" si="31"/>
        <v>0.508726266272159</v>
      </c>
      <c r="Q94" s="8">
        <f t="shared" si="26"/>
        <v>100</v>
      </c>
      <c r="R94" s="9">
        <f t="shared" si="27"/>
        <v>2.5260408033386798E-2</v>
      </c>
      <c r="S94" s="8">
        <f t="shared" si="32"/>
        <v>-1</v>
      </c>
      <c r="T94" s="9">
        <f t="shared" si="33"/>
        <v>-2.5191161701451952E-2</v>
      </c>
      <c r="U94" s="9">
        <f t="shared" si="34"/>
        <v>-2.4982940373204695E-2</v>
      </c>
      <c r="V94" s="9">
        <f t="shared" si="35"/>
        <v>2.0460082157844482E-3</v>
      </c>
    </row>
    <row r="95" spans="1:22">
      <c r="A95" s="8">
        <f t="shared" si="28"/>
        <v>0.42000000000000026</v>
      </c>
      <c r="B95" s="47">
        <f>B94*EXP((PL_r-0.5*Vol_a^2)*dt+Vol_a*SQRT(dt)*bs!A85)</f>
        <v>101.65511597380579</v>
      </c>
      <c r="C95" s="47">
        <f t="shared" si="23"/>
        <v>7.5925162629969378</v>
      </c>
      <c r="D95" s="44">
        <f t="shared" si="24"/>
        <v>0.60260264805544805</v>
      </c>
      <c r="E95" s="47">
        <f t="shared" si="29"/>
        <v>-53.66512581120211</v>
      </c>
      <c r="F95" s="47">
        <f t="shared" si="30"/>
        <v>57.819483896141577</v>
      </c>
      <c r="G95" s="47">
        <f t="shared" si="25"/>
        <v>4.1543580849394672</v>
      </c>
      <c r="I95" s="44"/>
      <c r="J95" s="47">
        <f t="shared" si="31"/>
        <v>1.8513587770821678</v>
      </c>
      <c r="Q95" s="8">
        <f t="shared" si="26"/>
        <v>100</v>
      </c>
      <c r="R95" s="9">
        <f t="shared" si="27"/>
        <v>2.4908498776500351E-2</v>
      </c>
      <c r="S95" s="8">
        <f t="shared" si="32"/>
        <v>-1</v>
      </c>
      <c r="T95" s="9">
        <f t="shared" si="33"/>
        <v>-1.8997787815734891E-2</v>
      </c>
      <c r="U95" s="9">
        <f t="shared" si="34"/>
        <v>-1.8838874767293796E-2</v>
      </c>
      <c r="V95" s="9">
        <f t="shared" si="35"/>
        <v>7.2378303648914007E-3</v>
      </c>
    </row>
    <row r="96" spans="1:22">
      <c r="A96" s="8">
        <f t="shared" si="28"/>
        <v>0.42500000000000027</v>
      </c>
      <c r="B96" s="47">
        <f>B95*EXP((PL_r-0.5*Vol_a^2)*dt+Vol_a*SQRT(dt)*bs!A86)</f>
        <v>101.89112028504927</v>
      </c>
      <c r="C96" s="47">
        <f t="shared" si="23"/>
        <v>7.7042477909006166</v>
      </c>
      <c r="D96" s="44">
        <f t="shared" si="24"/>
        <v>0.60841474912385685</v>
      </c>
      <c r="E96" s="47">
        <f t="shared" si="29"/>
        <v>-54.287812595276357</v>
      </c>
      <c r="F96" s="47">
        <f t="shared" si="30"/>
        <v>58.417467622708358</v>
      </c>
      <c r="G96" s="47">
        <f t="shared" si="25"/>
        <v>4.1296550274320012</v>
      </c>
      <c r="I96" s="44"/>
      <c r="J96" s="47">
        <f t="shared" si="31"/>
        <v>0.59220148907010361</v>
      </c>
      <c r="Q96" s="8">
        <f t="shared" si="26"/>
        <v>100</v>
      </c>
      <c r="R96" s="9">
        <f t="shared" si="27"/>
        <v>2.4857953475576365E-2</v>
      </c>
      <c r="S96" s="8">
        <f t="shared" si="32"/>
        <v>-1</v>
      </c>
      <c r="T96" s="9">
        <f t="shared" si="33"/>
        <v>-2.5111543433798816E-2</v>
      </c>
      <c r="U96" s="9">
        <f t="shared" si="34"/>
        <v>-2.4898999904299526E-2</v>
      </c>
      <c r="V96" s="9">
        <f t="shared" si="35"/>
        <v>2.3216176478937822E-3</v>
      </c>
    </row>
    <row r="97" spans="1:22">
      <c r="A97" s="8">
        <f t="shared" si="28"/>
        <v>0.43000000000000027</v>
      </c>
      <c r="B97" s="47">
        <f>B96*EXP((PL_r-0.5*Vol_a^2)*dt+Vol_a*SQRT(dt)*bs!A87)</f>
        <v>106.50781142094435</v>
      </c>
      <c r="C97" s="47">
        <f t="shared" si="23"/>
        <v>10.735042562913293</v>
      </c>
      <c r="D97" s="44">
        <f t="shared" si="24"/>
        <v>0.71516695361388949</v>
      </c>
      <c r="E97" s="47">
        <f t="shared" si="29"/>
        <v>-65.435824467086107</v>
      </c>
      <c r="F97" s="47">
        <f t="shared" si="30"/>
        <v>69.793253326162187</v>
      </c>
      <c r="G97" s="47">
        <f t="shared" si="25"/>
        <v>4.3574288590760801</v>
      </c>
      <c r="I97" s="44"/>
      <c r="J97" s="47">
        <f t="shared" si="31"/>
        <v>11.369943664594485</v>
      </c>
      <c r="Q97" s="8">
        <f t="shared" si="26"/>
        <v>100</v>
      </c>
      <c r="R97" s="9">
        <f t="shared" si="27"/>
        <v>2.1104263926806109E-2</v>
      </c>
      <c r="S97" s="8">
        <f t="shared" si="32"/>
        <v>1</v>
      </c>
      <c r="T97" s="9">
        <f t="shared" si="33"/>
        <v>0.22180869840307776</v>
      </c>
      <c r="U97" s="9">
        <f t="shared" si="34"/>
        <v>0.21990932261915383</v>
      </c>
      <c r="V97" s="9">
        <f t="shared" si="35"/>
        <v>4.5310043927081052E-2</v>
      </c>
    </row>
    <row r="98" spans="1:22">
      <c r="A98" s="8">
        <f t="shared" si="28"/>
        <v>0.43500000000000028</v>
      </c>
      <c r="B98" s="47">
        <f>B97*EXP((PL_r-0.5*Vol_a^2)*dt+Vol_a*SQRT(dt)*bs!A88)</f>
        <v>106.17670676705572</v>
      </c>
      <c r="C98" s="47">
        <f t="shared" si="23"/>
        <v>10.468749276325809</v>
      </c>
      <c r="D98" s="44">
        <f t="shared" si="24"/>
        <v>0.70850133970833917</v>
      </c>
      <c r="E98" s="47">
        <f t="shared" si="29"/>
        <v>-64.757589713952655</v>
      </c>
      <c r="F98" s="47">
        <f t="shared" si="30"/>
        <v>69.092500067400678</v>
      </c>
      <c r="G98" s="47">
        <f t="shared" si="25"/>
        <v>4.3349103534480236</v>
      </c>
      <c r="I98" s="44"/>
      <c r="J98" s="47">
        <f t="shared" si="31"/>
        <v>-0.70773293307202489</v>
      </c>
      <c r="Q98" s="8">
        <f t="shared" si="26"/>
        <v>100</v>
      </c>
      <c r="R98" s="9">
        <f t="shared" si="27"/>
        <v>2.1496878379209335E-2</v>
      </c>
      <c r="S98" s="8">
        <f t="shared" si="32"/>
        <v>-1</v>
      </c>
      <c r="T98" s="9">
        <f t="shared" si="33"/>
        <v>-2.3063451394771031E-2</v>
      </c>
      <c r="U98" s="9">
        <f t="shared" si="34"/>
        <v>-2.2863669678225083E-2</v>
      </c>
      <c r="V98" s="9">
        <f t="shared" si="35"/>
        <v>-3.1087358708369794E-3</v>
      </c>
    </row>
    <row r="99" spans="1:22">
      <c r="A99" s="8">
        <f t="shared" si="28"/>
        <v>0.44000000000000028</v>
      </c>
      <c r="B99" s="47">
        <f>B98*EXP((PL_r-0.5*Vol_a^2)*dt+Vol_a*SQRT(dt)*bs!A89)</f>
        <v>102.77230644253453</v>
      </c>
      <c r="C99" s="47">
        <f t="shared" si="23"/>
        <v>8.1557247895300407</v>
      </c>
      <c r="D99" s="44">
        <f t="shared" si="24"/>
        <v>0.63019789340044496</v>
      </c>
      <c r="E99" s="47">
        <f t="shared" si="29"/>
        <v>-56.611166230460199</v>
      </c>
      <c r="F99" s="47">
        <f t="shared" si="30"/>
        <v>61.051983883419993</v>
      </c>
      <c r="G99" s="47">
        <f t="shared" si="25"/>
        <v>4.4408176529597938</v>
      </c>
      <c r="I99" s="44"/>
      <c r="J99" s="47">
        <f t="shared" si="31"/>
        <v>-8.0474257794614523</v>
      </c>
      <c r="Q99" s="8">
        <f t="shared" si="26"/>
        <v>100</v>
      </c>
      <c r="R99" s="9">
        <f t="shared" si="27"/>
        <v>2.4542603469010223E-2</v>
      </c>
      <c r="S99" s="8">
        <f t="shared" si="32"/>
        <v>1</v>
      </c>
      <c r="T99" s="9">
        <f t="shared" si="33"/>
        <v>0.10732724087016443</v>
      </c>
      <c r="U99" s="9">
        <f t="shared" si="34"/>
        <v>0.10638690469795961</v>
      </c>
      <c r="V99" s="9">
        <f t="shared" si="35"/>
        <v>-3.2063532842379519E-2</v>
      </c>
    </row>
    <row r="100" spans="1:22">
      <c r="A100" s="8">
        <f t="shared" si="28"/>
        <v>0.44500000000000028</v>
      </c>
      <c r="B100" s="47">
        <f>B99*EXP((PL_r-0.5*Vol_a^2)*dt+Vol_a*SQRT(dt)*bs!A90)</f>
        <v>103.96907923774779</v>
      </c>
      <c r="C100" s="47">
        <f t="shared" si="23"/>
        <v>8.8957877420152798</v>
      </c>
      <c r="D100" s="44">
        <f t="shared" si="24"/>
        <v>0.65918247265128738</v>
      </c>
      <c r="E100" s="47">
        <f t="shared" si="29"/>
        <v>-59.638806989200937</v>
      </c>
      <c r="F100" s="47">
        <f t="shared" si="30"/>
        <v>64.071589403882044</v>
      </c>
      <c r="G100" s="47">
        <f t="shared" si="25"/>
        <v>4.4327824146811068</v>
      </c>
      <c r="I100" s="44"/>
      <c r="J100" s="47">
        <f t="shared" si="31"/>
        <v>3.0135000168036155</v>
      </c>
      <c r="Q100" s="8">
        <f t="shared" si="26"/>
        <v>100</v>
      </c>
      <c r="R100" s="9">
        <f t="shared" si="27"/>
        <v>2.3674750843037454E-2</v>
      </c>
      <c r="S100" s="8">
        <f t="shared" si="32"/>
        <v>-1</v>
      </c>
      <c r="T100" s="9">
        <f t="shared" si="33"/>
        <v>-8.2399661084767914E-3</v>
      </c>
      <c r="U100" s="9">
        <f t="shared" si="34"/>
        <v>-8.1669557879659425E-3</v>
      </c>
      <c r="V100" s="9">
        <f t="shared" si="35"/>
        <v>1.1644895756839347E-2</v>
      </c>
    </row>
    <row r="101" spans="1:22">
      <c r="A101" s="8">
        <f t="shared" si="28"/>
        <v>0.45000000000000029</v>
      </c>
      <c r="B101" s="47">
        <f>B100*EXP((PL_r-0.5*Vol_a^2)*dt+Vol_a*SQRT(dt)*bs!A91)</f>
        <v>105.77196157501061</v>
      </c>
      <c r="C101" s="47">
        <f t="shared" si="23"/>
        <v>10.090723544975546</v>
      </c>
      <c r="D101" s="44">
        <f t="shared" si="24"/>
        <v>0.70078277786313559</v>
      </c>
      <c r="E101" s="47">
        <f t="shared" si="29"/>
        <v>-64.032445507593224</v>
      </c>
      <c r="F101" s="47">
        <f t="shared" si="30"/>
        <v>68.478142767567391</v>
      </c>
      <c r="G101" s="47">
        <f t="shared" si="25"/>
        <v>4.4456972599741675</v>
      </c>
      <c r="I101" s="44"/>
      <c r="J101" s="47">
        <f t="shared" si="31"/>
        <v>4.4001458843763226</v>
      </c>
      <c r="Q101" s="8">
        <f t="shared" si="26"/>
        <v>100</v>
      </c>
      <c r="R101" s="9">
        <f t="shared" si="27"/>
        <v>2.2136015213872866E-2</v>
      </c>
      <c r="S101" s="8">
        <f t="shared" si="32"/>
        <v>1</v>
      </c>
      <c r="T101" s="9">
        <f t="shared" si="33"/>
        <v>1.2468636585913993E-2</v>
      </c>
      <c r="U101" s="9">
        <f t="shared" si="34"/>
        <v>1.2356922324885639E-2</v>
      </c>
      <c r="V101" s="9">
        <f t="shared" si="35"/>
        <v>1.7340562698839861E-2</v>
      </c>
    </row>
    <row r="102" spans="1:22">
      <c r="A102" s="8">
        <f t="shared" si="28"/>
        <v>0.45500000000000029</v>
      </c>
      <c r="B102" s="47">
        <f>B101*EXP((PL_r-0.5*Vol_a^2)*dt+Vol_a*SQRT(dt)*bs!A92)</f>
        <v>105.40388147030255</v>
      </c>
      <c r="C102" s="47">
        <f t="shared" si="23"/>
        <v>9.8029358041132397</v>
      </c>
      <c r="D102" s="44">
        <f t="shared" si="24"/>
        <v>0.69290398263518138</v>
      </c>
      <c r="E102" s="47">
        <f t="shared" si="29"/>
        <v>-63.231833451866002</v>
      </c>
      <c r="F102" s="47">
        <f t="shared" si="30"/>
        <v>67.654535325910203</v>
      </c>
      <c r="G102" s="47">
        <f t="shared" si="25"/>
        <v>4.4227018740442006</v>
      </c>
      <c r="I102" s="44"/>
      <c r="J102" s="47">
        <f t="shared" si="31"/>
        <v>-0.83045559833607041</v>
      </c>
      <c r="Q102" s="8">
        <f t="shared" si="26"/>
        <v>100</v>
      </c>
      <c r="R102" s="9">
        <f t="shared" si="27"/>
        <v>2.2575883092943644E-2</v>
      </c>
      <c r="S102" s="8">
        <f t="shared" si="32"/>
        <v>-1</v>
      </c>
      <c r="T102" s="9">
        <f t="shared" si="33"/>
        <v>-2.3563058584557168E-2</v>
      </c>
      <c r="U102" s="9">
        <f t="shared" si="34"/>
        <v>-2.3349607427192536E-2</v>
      </c>
      <c r="V102" s="9">
        <f t="shared" si="35"/>
        <v>-3.4799402339439831E-3</v>
      </c>
    </row>
    <row r="103" spans="1:22">
      <c r="A103" s="8">
        <f t="shared" si="28"/>
        <v>0.4600000000000003</v>
      </c>
      <c r="B103" s="47">
        <f>B102*EXP((PL_r-0.5*Vol_a^2)*dt+Vol_a*SQRT(dt)*bs!A93)</f>
        <v>106.18893047571993</v>
      </c>
      <c r="C103" s="47">
        <f t="shared" si="23"/>
        <v>10.322615046176352</v>
      </c>
      <c r="D103" s="44">
        <f t="shared" si="24"/>
        <v>0.71074273316347691</v>
      </c>
      <c r="E103" s="47">
        <f t="shared" si="29"/>
        <v>-65.150395631843253</v>
      </c>
      <c r="F103" s="47">
        <f t="shared" si="30"/>
        <v>69.555578957349638</v>
      </c>
      <c r="G103" s="47">
        <f t="shared" si="25"/>
        <v>4.4051833255063855</v>
      </c>
      <c r="I103" s="44"/>
      <c r="J103" s="47">
        <f t="shared" si="31"/>
        <v>1.8942778396228865</v>
      </c>
      <c r="Q103" s="8">
        <f t="shared" si="26"/>
        <v>100</v>
      </c>
      <c r="R103" s="9">
        <f t="shared" si="27"/>
        <v>2.1907012216668444E-2</v>
      </c>
      <c r="S103" s="8">
        <f t="shared" si="32"/>
        <v>-1</v>
      </c>
      <c r="T103" s="9">
        <f t="shared" si="33"/>
        <v>-1.7850942246156975E-2</v>
      </c>
      <c r="U103" s="9">
        <f t="shared" si="34"/>
        <v>-1.7687466717967767E-2</v>
      </c>
      <c r="V103" s="9">
        <f t="shared" si="35"/>
        <v>7.4480085027852075E-3</v>
      </c>
    </row>
    <row r="104" spans="1:22">
      <c r="A104" s="8">
        <f t="shared" si="28"/>
        <v>0.4650000000000003</v>
      </c>
      <c r="B104" s="47">
        <f>B103*EXP((PL_r-0.5*Vol_a^2)*dt+Vol_a*SQRT(dt)*bs!A94)</f>
        <v>102.88059924301994</v>
      </c>
      <c r="C104" s="47">
        <f t="shared" si="23"/>
        <v>8.0647265516842381</v>
      </c>
      <c r="D104" s="44">
        <f t="shared" si="24"/>
        <v>0.6332291520801171</v>
      </c>
      <c r="E104" s="47">
        <f t="shared" si="29"/>
        <v>-57.08226807246762</v>
      </c>
      <c r="F104" s="47">
        <f t="shared" si="30"/>
        <v>61.587891191706397</v>
      </c>
      <c r="G104" s="47">
        <f t="shared" si="25"/>
        <v>4.505623119238777</v>
      </c>
      <c r="I104" s="44"/>
      <c r="J104" s="47">
        <f t="shared" si="31"/>
        <v>-7.9746436713284732</v>
      </c>
      <c r="Q104" s="8">
        <f t="shared" si="26"/>
        <v>100</v>
      </c>
      <c r="R104" s="9">
        <f t="shared" si="27"/>
        <v>2.5015297795582665E-2</v>
      </c>
      <c r="S104" s="8">
        <f t="shared" si="32"/>
        <v>1</v>
      </c>
      <c r="T104" s="9">
        <f t="shared" si="33"/>
        <v>0.10202246833838292</v>
      </c>
      <c r="U104" s="9">
        <f t="shared" si="34"/>
        <v>0.10107805769913833</v>
      </c>
      <c r="V104" s="9">
        <f t="shared" si="35"/>
        <v>-3.1155142234495278E-2</v>
      </c>
    </row>
    <row r="105" spans="1:22">
      <c r="A105" s="8">
        <f t="shared" si="28"/>
        <v>0.47000000000000031</v>
      </c>
      <c r="B105" s="47">
        <f>B104*EXP((PL_r-0.5*Vol_a^2)*dt+Vol_a*SQRT(dt)*bs!A95)</f>
        <v>103.63786242789544</v>
      </c>
      <c r="C105" s="47">
        <f t="shared" si="23"/>
        <v>8.5192143897493153</v>
      </c>
      <c r="D105" s="44">
        <f t="shared" si="24"/>
        <v>0.65210662375959516</v>
      </c>
      <c r="E105" s="47">
        <f t="shared" si="29"/>
        <v>-59.063722171766976</v>
      </c>
      <c r="F105" s="47">
        <f t="shared" si="30"/>
        <v>63.550471101679534</v>
      </c>
      <c r="G105" s="47">
        <f t="shared" si="25"/>
        <v>4.486748929912558</v>
      </c>
      <c r="I105" s="44"/>
      <c r="J105" s="47">
        <f t="shared" si="31"/>
        <v>1.95642081290424</v>
      </c>
      <c r="Q105" s="8">
        <f t="shared" si="26"/>
        <v>100</v>
      </c>
      <c r="R105" s="9">
        <f t="shared" si="27"/>
        <v>2.4491961772240261E-2</v>
      </c>
      <c r="S105" s="8">
        <f t="shared" si="32"/>
        <v>-1</v>
      </c>
      <c r="T105" s="9">
        <f t="shared" si="33"/>
        <v>-1.9180155726578562E-2</v>
      </c>
      <c r="U105" s="9">
        <f t="shared" si="34"/>
        <v>-1.9000706993134803E-2</v>
      </c>
      <c r="V105" s="9">
        <f t="shared" si="35"/>
        <v>7.3606023919701793E-3</v>
      </c>
    </row>
    <row r="106" spans="1:22">
      <c r="A106" s="8">
        <f t="shared" si="28"/>
        <v>0.47500000000000031</v>
      </c>
      <c r="B106" s="47">
        <f>B105*EXP((PL_r-0.5*Vol_a^2)*dt+Vol_a*SQRT(dt)*bs!A96)</f>
        <v>110.36415686310627</v>
      </c>
      <c r="C106" s="47">
        <f t="shared" si="23"/>
        <v>13.38190855619186</v>
      </c>
      <c r="D106" s="44">
        <f t="shared" si="24"/>
        <v>0.79543445781453193</v>
      </c>
      <c r="E106" s="47">
        <f t="shared" si="29"/>
        <v>-74.405544720371026</v>
      </c>
      <c r="F106" s="47">
        <f t="shared" si="30"/>
        <v>79.37508202704096</v>
      </c>
      <c r="G106" s="47">
        <f t="shared" si="25"/>
        <v>4.9695373066699347</v>
      </c>
      <c r="I106" s="44"/>
      <c r="J106" s="47">
        <f t="shared" si="31"/>
        <v>15.818255560488307</v>
      </c>
      <c r="Q106" s="8">
        <f t="shared" si="26"/>
        <v>100</v>
      </c>
      <c r="R106" s="9">
        <f t="shared" si="27"/>
        <v>1.7742906163037114E-2</v>
      </c>
      <c r="S106" s="8">
        <f t="shared" si="32"/>
        <v>1</v>
      </c>
      <c r="T106" s="9">
        <f t="shared" si="33"/>
        <v>0.43355040519098581</v>
      </c>
      <c r="U106" s="9">
        <f t="shared" si="34"/>
        <v>0.42945117849801739</v>
      </c>
      <c r="V106" s="9">
        <f t="shared" si="35"/>
        <v>6.4901902428666502E-2</v>
      </c>
    </row>
    <row r="107" spans="1:22">
      <c r="A107" s="8">
        <f t="shared" si="28"/>
        <v>0.48000000000000032</v>
      </c>
      <c r="B107" s="47">
        <f>B106*EXP((PL_r-0.5*Vol_a^2)*dt+Vol_a*SQRT(dt)*bs!A97)</f>
        <v>114.81624735439399</v>
      </c>
      <c r="C107" s="47">
        <f t="shared" si="23"/>
        <v>17.057952678024094</v>
      </c>
      <c r="D107" s="44">
        <f t="shared" si="24"/>
        <v>0.86481450663898773</v>
      </c>
      <c r="E107" s="47">
        <f t="shared" si="29"/>
        <v>-82.236803631906128</v>
      </c>
      <c r="F107" s="47">
        <f t="shared" si="30"/>
        <v>87.348976779420965</v>
      </c>
      <c r="G107" s="47">
        <f>F107+E107</f>
        <v>5.112173147514838</v>
      </c>
      <c r="I107" s="44"/>
      <c r="J107" s="47">
        <f t="shared" si="31"/>
        <v>7.9659568472886502</v>
      </c>
      <c r="Q107" s="8">
        <f t="shared" si="26"/>
        <v>100</v>
      </c>
      <c r="R107" s="9">
        <f t="shared" ref="R107:R138" si="36">CallGamma(B107,$E$6,0,PL_r, PL_K, PL_T-A107)</f>
        <v>1.312413324299536E-2</v>
      </c>
      <c r="S107" s="8">
        <f t="shared" si="32"/>
        <v>1</v>
      </c>
      <c r="T107" s="9">
        <f t="shared" si="33"/>
        <v>0.12347170182239307</v>
      </c>
      <c r="U107" s="9">
        <f t="shared" si="34"/>
        <v>0.122292044897887</v>
      </c>
      <c r="V107" s="9">
        <f t="shared" si="35"/>
        <v>4.0340003655444163E-2</v>
      </c>
    </row>
    <row r="108" spans="1:22">
      <c r="A108" s="8">
        <f t="shared" ref="A108:A139" si="37">A107+dt</f>
        <v>0.48500000000000032</v>
      </c>
      <c r="B108" s="47">
        <f>B107*EXP((PL_r-0.5*Vol_a^2)*dt+Vol_a*SQRT(dt)*bs!A98)</f>
        <v>115.9104499997466</v>
      </c>
      <c r="C108" s="47">
        <f t="shared" si="23"/>
        <v>17.987281594746463</v>
      </c>
      <c r="D108" s="44">
        <f t="shared" si="24"/>
        <v>0.879449071502864</v>
      </c>
      <c r="E108" s="47">
        <f t="shared" si="29"/>
        <v>-83.950056035009837</v>
      </c>
      <c r="F108" s="47">
        <f t="shared" si="30"/>
        <v>89.054011112780728</v>
      </c>
      <c r="G108" s="47">
        <f>F108+E108</f>
        <v>5.1039550777708911</v>
      </c>
      <c r="I108" s="44"/>
      <c r="J108" s="47">
        <f t="shared" si="31"/>
        <v>1.6962989989223782</v>
      </c>
      <c r="Q108" s="8">
        <f t="shared" si="26"/>
        <v>100</v>
      </c>
      <c r="R108" s="9">
        <f t="shared" si="36"/>
        <v>1.2063213766466147E-2</v>
      </c>
      <c r="S108" s="8">
        <f t="shared" ref="S108:S139" si="38">IF(V108^2 &lt; ($E$6^2*dt), -1, 1)</f>
        <v>-1</v>
      </c>
      <c r="T108" s="9">
        <f t="shared" ref="T108:T139" si="39">0.5*R108*(B108^2)*(V108^2-$E$6^2*dt)</f>
        <v>-8.8473907241045074E-3</v>
      </c>
      <c r="U108" s="9">
        <f t="shared" ref="U108:U139" si="40">T108*EXP(-PL_r*A108)</f>
        <v>-8.7619859170387712E-3</v>
      </c>
      <c r="V108" s="9">
        <f t="shared" si="35"/>
        <v>9.5300331666059706E-3</v>
      </c>
    </row>
    <row r="109" spans="1:22">
      <c r="A109" s="8">
        <f t="shared" si="37"/>
        <v>0.49000000000000032</v>
      </c>
      <c r="B109" s="47">
        <f>B108*EXP((PL_r-0.5*Vol_a^2)*dt+Vol_a*SQRT(dt)*bs!A99)</f>
        <v>114.60629553594514</v>
      </c>
      <c r="C109" s="47">
        <f t="shared" si="23"/>
        <v>16.825222233901101</v>
      </c>
      <c r="D109" s="44">
        <f t="shared" si="24"/>
        <v>0.86375517009028535</v>
      </c>
      <c r="E109" s="47">
        <f t="shared" si="29"/>
        <v>-82.166558060166707</v>
      </c>
      <c r="F109" s="47">
        <f t="shared" si="30"/>
        <v>87.264297055774932</v>
      </c>
      <c r="G109" s="47">
        <f>F109+E109</f>
        <v>5.0977389956082249</v>
      </c>
      <c r="I109" s="44"/>
      <c r="J109" s="47">
        <f t="shared" si="31"/>
        <v>-1.7986199034019754</v>
      </c>
      <c r="Q109" s="8">
        <f t="shared" si="26"/>
        <v>100</v>
      </c>
      <c r="R109" s="9">
        <f t="shared" si="36"/>
        <v>1.3347626772285752E-2</v>
      </c>
      <c r="S109" s="8">
        <f t="shared" si="38"/>
        <v>-1</v>
      </c>
      <c r="T109" s="9">
        <f t="shared" si="39"/>
        <v>-6.4346211935175923E-3</v>
      </c>
      <c r="U109" s="9">
        <f t="shared" si="40"/>
        <v>-6.3718698894299495E-3</v>
      </c>
      <c r="V109" s="9">
        <f t="shared" si="35"/>
        <v>-1.1251396779188745E-2</v>
      </c>
    </row>
    <row r="110" spans="1:22">
      <c r="A110" s="8">
        <f t="shared" si="37"/>
        <v>0.49500000000000033</v>
      </c>
      <c r="B110" s="47">
        <f>B109*EXP((PL_r-0.5*Vol_a^2)*dt+Vol_a*SQRT(dt)*bs!A100)</f>
        <v>116.46413380028801</v>
      </c>
      <c r="C110" s="47">
        <f t="shared" si="23"/>
        <v>18.427783362321037</v>
      </c>
      <c r="D110" s="44">
        <f t="shared" si="24"/>
        <v>0.88772190479297275</v>
      </c>
      <c r="E110" s="47">
        <f t="shared" si="29"/>
        <v>-84.959979334934275</v>
      </c>
      <c r="F110" s="47">
        <f t="shared" si="30"/>
        <v>90.064288918986335</v>
      </c>
      <c r="G110" s="47">
        <f>F110+E110</f>
        <v>5.1043095840520607</v>
      </c>
      <c r="I110" s="44"/>
      <c r="J110" s="47">
        <f t="shared" si="31"/>
        <v>2.7912649971697912</v>
      </c>
      <c r="Q110" s="8">
        <f t="shared" si="26"/>
        <v>100</v>
      </c>
      <c r="R110" s="9">
        <f t="shared" si="36"/>
        <v>1.1527806807183098E-2</v>
      </c>
      <c r="S110" s="8">
        <f t="shared" si="38"/>
        <v>1</v>
      </c>
      <c r="T110" s="9">
        <f t="shared" si="39"/>
        <v>4.9085115593125589E-3</v>
      </c>
      <c r="U110" s="9">
        <f t="shared" si="40"/>
        <v>4.8601570446577596E-3</v>
      </c>
      <c r="V110" s="9">
        <f t="shared" si="35"/>
        <v>1.6210612651380754E-2</v>
      </c>
    </row>
    <row r="111" spans="1:22">
      <c r="A111" s="8">
        <f t="shared" si="37"/>
        <v>0.50000000000000033</v>
      </c>
      <c r="B111" s="47">
        <f>B110*EXP((PL_r-0.5*Vol_a^2)*dt+Vol_a*SQRT(dt)*bs!A101)</f>
        <v>113.20613445635725</v>
      </c>
      <c r="C111" s="47">
        <f t="shared" si="23"/>
        <v>15.575394889521178</v>
      </c>
      <c r="D111" s="44">
        <f t="shared" si="24"/>
        <v>0.84578401454564511</v>
      </c>
      <c r="E111" s="47">
        <f t="shared" si="29"/>
        <v>-80.172543982170737</v>
      </c>
      <c r="F111" s="47">
        <f t="shared" si="30"/>
        <v>85.325669356059763</v>
      </c>
      <c r="G111" s="47">
        <f>F111+E111</f>
        <v>5.1531253738890257</v>
      </c>
      <c r="I111" s="44"/>
      <c r="J111" s="47">
        <f t="shared" si="31"/>
        <v>-4.7476264421549255</v>
      </c>
      <c r="Q111" s="8">
        <f t="shared" si="26"/>
        <v>100</v>
      </c>
      <c r="R111" s="9">
        <f t="shared" si="36"/>
        <v>1.483410081913953E-2</v>
      </c>
      <c r="S111" s="8">
        <f t="shared" si="38"/>
        <v>1</v>
      </c>
      <c r="T111" s="9">
        <f t="shared" si="39"/>
        <v>5.5374743921449067E-2</v>
      </c>
      <c r="U111" s="9">
        <f t="shared" si="40"/>
        <v>5.4823756013333398E-2</v>
      </c>
      <c r="V111" s="9">
        <f t="shared" si="35"/>
        <v>-2.7974271886292139E-2</v>
      </c>
    </row>
    <row r="112" spans="1:22">
      <c r="A112" s="8">
        <f t="shared" si="37"/>
        <v>0.50500000000000034</v>
      </c>
      <c r="B112" s="47">
        <f>B111*EXP((PL_r-0.5*Vol_a^2)*dt+Vol_a*SQRT(dt)*bs!A102)</f>
        <v>115.68932871392217</v>
      </c>
      <c r="C112" s="47">
        <f t="shared" si="23"/>
        <v>17.693856617820614</v>
      </c>
      <c r="D112" s="44">
        <f t="shared" si="24"/>
        <v>0.88028816526702436</v>
      </c>
      <c r="E112" s="47">
        <f t="shared" si="29"/>
        <v>-84.146090296731614</v>
      </c>
      <c r="F112" s="47">
        <f t="shared" si="30"/>
        <v>89.325964384438294</v>
      </c>
      <c r="G112" s="47">
        <f t="shared" ref="G112:G175" si="41">F112+E112</f>
        <v>5.1798740877066791</v>
      </c>
      <c r="J112" s="47">
        <f t="shared" si="31"/>
        <v>3.9917620348003582</v>
      </c>
      <c r="Q112" s="8">
        <f t="shared" si="26"/>
        <v>100</v>
      </c>
      <c r="R112" s="9">
        <f t="shared" si="36"/>
        <v>1.2267489289887322E-2</v>
      </c>
      <c r="S112" s="8">
        <f t="shared" si="38"/>
        <v>1</v>
      </c>
      <c r="T112" s="9">
        <f t="shared" si="39"/>
        <v>2.3080863658104599E-2</v>
      </c>
      <c r="U112" s="9">
        <f t="shared" si="40"/>
        <v>2.2848920221223142E-2</v>
      </c>
      <c r="V112" s="9">
        <f t="shared" si="35"/>
        <v>2.193515633662263E-2</v>
      </c>
    </row>
    <row r="113" spans="1:22">
      <c r="A113" s="8">
        <f t="shared" si="37"/>
        <v>0.51000000000000034</v>
      </c>
      <c r="B113" s="47">
        <f>B112*EXP((PL_r-0.5*Vol_a^2)*dt+Vol_a*SQRT(dt)*bs!A103)</f>
        <v>112.67899678705678</v>
      </c>
      <c r="C113" s="47">
        <f t="shared" si="23"/>
        <v>15.076581638487852</v>
      </c>
      <c r="D113" s="44">
        <f t="shared" si="24"/>
        <v>0.83956294877502158</v>
      </c>
      <c r="E113" s="47">
        <f t="shared" si="29"/>
        <v>-79.524529169064721</v>
      </c>
      <c r="F113" s="47">
        <f t="shared" si="30"/>
        <v>84.746020889266887</v>
      </c>
      <c r="G113" s="47">
        <f t="shared" si="41"/>
        <v>5.2214917202021667</v>
      </c>
      <c r="J113" s="47">
        <f t="shared" si="31"/>
        <v>-4.5888765382545733</v>
      </c>
      <c r="Q113" s="8">
        <f t="shared" si="26"/>
        <v>100</v>
      </c>
      <c r="R113" s="9">
        <f t="shared" si="36"/>
        <v>1.5451350578913715E-2</v>
      </c>
      <c r="S113" s="8">
        <f t="shared" si="38"/>
        <v>1</v>
      </c>
      <c r="T113" s="9">
        <f t="shared" si="39"/>
        <v>4.6796858634121329E-2</v>
      </c>
      <c r="U113" s="9">
        <f t="shared" si="40"/>
        <v>4.632195679283567E-2</v>
      </c>
      <c r="V113" s="9">
        <f t="shared" si="35"/>
        <v>-2.6020826296860727E-2</v>
      </c>
    </row>
    <row r="114" spans="1:22">
      <c r="A114" s="8">
        <f t="shared" si="37"/>
        <v>0.51500000000000035</v>
      </c>
      <c r="B114" s="47">
        <f>B113*EXP((PL_r-0.5*Vol_a^2)*dt+Vol_a*SQRT(dt)*bs!A104)</f>
        <v>114.38812838363224</v>
      </c>
      <c r="C114" s="47">
        <f t="shared" si="23"/>
        <v>16.50711910206897</v>
      </c>
      <c r="D114" s="44">
        <f t="shared" si="24"/>
        <v>0.8652932313521251</v>
      </c>
      <c r="E114" s="47">
        <f t="shared" si="29"/>
        <v>-82.472154135325908</v>
      </c>
      <c r="F114" s="47">
        <f t="shared" si="30"/>
        <v>87.697734781876903</v>
      </c>
      <c r="G114" s="47">
        <f t="shared" si="41"/>
        <v>5.2255806465509949</v>
      </c>
      <c r="J114" s="47">
        <f t="shared" si="31"/>
        <v>2.9432388667768539</v>
      </c>
      <c r="Q114" s="8">
        <f t="shared" si="26"/>
        <v>100</v>
      </c>
      <c r="R114" s="9">
        <f t="shared" si="36"/>
        <v>1.3607145576116987E-2</v>
      </c>
      <c r="S114" s="8">
        <f t="shared" si="38"/>
        <v>1</v>
      </c>
      <c r="T114" s="9">
        <f t="shared" si="39"/>
        <v>2.6771404927163492E-3</v>
      </c>
      <c r="U114" s="9">
        <f t="shared" si="40"/>
        <v>2.6497074682477525E-3</v>
      </c>
      <c r="V114" s="9">
        <f t="shared" si="35"/>
        <v>1.5168147084282393E-2</v>
      </c>
    </row>
    <row r="115" spans="1:22">
      <c r="A115" s="8">
        <f t="shared" si="37"/>
        <v>0.52000000000000035</v>
      </c>
      <c r="B115" s="47">
        <f>B114*EXP((PL_r-0.5*Vol_a^2)*dt+Vol_a*SQRT(dt)*bs!A105)</f>
        <v>107.85433402434414</v>
      </c>
      <c r="C115" s="47">
        <f t="shared" si="23"/>
        <v>11.164077834306568</v>
      </c>
      <c r="D115" s="44">
        <f t="shared" si="24"/>
        <v>0.75308893158301671</v>
      </c>
      <c r="E115" s="47">
        <f t="shared" si="29"/>
        <v>-70.059827342684571</v>
      </c>
      <c r="F115" s="47">
        <f t="shared" si="30"/>
        <v>75.604784967593332</v>
      </c>
      <c r="G115" s="47">
        <f t="shared" si="41"/>
        <v>5.5449576249087613</v>
      </c>
      <c r="J115" s="47">
        <f t="shared" si="31"/>
        <v>-12.101720026265056</v>
      </c>
      <c r="Q115" s="8">
        <f t="shared" si="26"/>
        <v>100</v>
      </c>
      <c r="R115" s="9">
        <f t="shared" si="36"/>
        <v>2.1123032766086326E-2</v>
      </c>
      <c r="S115" s="8">
        <f t="shared" si="38"/>
        <v>1</v>
      </c>
      <c r="T115" s="9">
        <f t="shared" si="39"/>
        <v>0.37626799556531326</v>
      </c>
      <c r="U115" s="9">
        <f t="shared" si="40"/>
        <v>0.37237508662594138</v>
      </c>
      <c r="V115" s="9">
        <f t="shared" si="35"/>
        <v>-5.7119514512687958E-2</v>
      </c>
    </row>
    <row r="116" spans="1:22">
      <c r="A116" s="8">
        <f t="shared" si="37"/>
        <v>0.52500000000000036</v>
      </c>
      <c r="B116" s="47">
        <f>B115*EXP((PL_r-0.5*Vol_a^2)*dt+Vol_a*SQRT(dt)*bs!A106)</f>
        <v>108.69164248603997</v>
      </c>
      <c r="C116" s="47">
        <f t="shared" si="23"/>
        <v>11.77089678329007</v>
      </c>
      <c r="D116" s="44">
        <f t="shared" si="24"/>
        <v>0.77110379706202847</v>
      </c>
      <c r="E116" s="47">
        <f t="shared" si="29"/>
        <v>-72.041641446603847</v>
      </c>
      <c r="F116" s="47">
        <f t="shared" si="30"/>
        <v>77.570411142205472</v>
      </c>
      <c r="G116" s="47">
        <f t="shared" si="41"/>
        <v>5.5287696956016248</v>
      </c>
      <c r="J116" s="47">
        <f t="shared" si="31"/>
        <v>1.9580653180788499</v>
      </c>
      <c r="Q116" s="8">
        <f t="shared" si="26"/>
        <v>100</v>
      </c>
      <c r="R116" s="9">
        <f t="shared" si="36"/>
        <v>2.0212814831016918E-2</v>
      </c>
      <c r="S116" s="8">
        <f t="shared" si="38"/>
        <v>-1</v>
      </c>
      <c r="T116" s="9">
        <f t="shared" si="39"/>
        <v>-1.6683267294651961E-2</v>
      </c>
      <c r="U116" s="9">
        <f t="shared" si="40"/>
        <v>-1.6509009442771557E-2</v>
      </c>
      <c r="V116" s="9">
        <f t="shared" si="35"/>
        <v>7.7633269842159068E-3</v>
      </c>
    </row>
    <row r="117" spans="1:22">
      <c r="A117" s="8">
        <f t="shared" si="37"/>
        <v>0.53000000000000036</v>
      </c>
      <c r="B117" s="47">
        <f>B116*EXP((PL_r-0.5*Vol_a^2)*dt+Vol_a*SQRT(dt)*bs!A107)</f>
        <v>108.44715778688719</v>
      </c>
      <c r="C117" s="47">
        <f t="shared" si="23"/>
        <v>11.551669775087689</v>
      </c>
      <c r="D117" s="44">
        <f t="shared" si="24"/>
        <v>0.76685957795985749</v>
      </c>
      <c r="E117" s="47">
        <f t="shared" si="29"/>
        <v>-71.612071876310694</v>
      </c>
      <c r="F117" s="47">
        <f t="shared" si="30"/>
        <v>77.117895072529421</v>
      </c>
      <c r="G117" s="47">
        <f t="shared" si="41"/>
        <v>5.5058231962187278</v>
      </c>
      <c r="J117" s="47">
        <f t="shared" si="31"/>
        <v>-0.46027349865525774</v>
      </c>
      <c r="Q117" s="8">
        <f t="shared" si="26"/>
        <v>100</v>
      </c>
      <c r="R117" s="9">
        <f t="shared" si="36"/>
        <v>2.0575790361706876E-2</v>
      </c>
      <c r="S117" s="8">
        <f t="shared" si="38"/>
        <v>-1</v>
      </c>
      <c r="T117" s="9">
        <f t="shared" si="39"/>
        <v>-2.3586574106943328E-2</v>
      </c>
      <c r="U117" s="9">
        <f t="shared" si="40"/>
        <v>-2.3337876845526236E-2</v>
      </c>
      <c r="V117" s="9">
        <f t="shared" si="35"/>
        <v>-2.2493422084791767E-3</v>
      </c>
    </row>
    <row r="118" spans="1:22">
      <c r="A118" s="8">
        <f t="shared" si="37"/>
        <v>0.53500000000000036</v>
      </c>
      <c r="B118" s="47">
        <f>B117*EXP((PL_r-0.5*Vol_a^2)*dt+Vol_a*SQRT(dt)*bs!A108)</f>
        <v>107.90056285283468</v>
      </c>
      <c r="C118" s="47">
        <f t="shared" si="23"/>
        <v>11.103810720448536</v>
      </c>
      <c r="D118" s="44">
        <f t="shared" si="24"/>
        <v>0.7561380943000261</v>
      </c>
      <c r="E118" s="47">
        <f t="shared" si="29"/>
        <v>-70.483915248994066</v>
      </c>
      <c r="F118" s="47">
        <f t="shared" si="30"/>
        <v>75.968753126125733</v>
      </c>
      <c r="G118" s="47">
        <f t="shared" si="41"/>
        <v>5.4848378771316675</v>
      </c>
      <c r="J118" s="47">
        <f t="shared" si="31"/>
        <v>-1.1568541215132766</v>
      </c>
      <c r="Q118" s="8">
        <f t="shared" si="26"/>
        <v>100</v>
      </c>
      <c r="R118" s="9">
        <f t="shared" si="36"/>
        <v>2.1309046669189688E-2</v>
      </c>
      <c r="S118" s="8">
        <f t="shared" si="38"/>
        <v>-1</v>
      </c>
      <c r="T118" s="9">
        <f t="shared" si="39"/>
        <v>-2.1657922214427836E-2</v>
      </c>
      <c r="U118" s="9">
        <f t="shared" si="40"/>
        <v>-2.1427417844313155E-2</v>
      </c>
      <c r="V118" s="9">
        <f t="shared" si="35"/>
        <v>-5.040196029172452E-3</v>
      </c>
    </row>
    <row r="119" spans="1:22">
      <c r="A119" s="8">
        <f t="shared" si="37"/>
        <v>0.54000000000000037</v>
      </c>
      <c r="B119" s="47">
        <f>B118*EXP((PL_r-0.5*Vol_a^2)*dt+Vol_a*SQRT(dt)*bs!A109)</f>
        <v>107.78272173563475</v>
      </c>
      <c r="C119" s="47">
        <f t="shared" si="23"/>
        <v>10.982860846755443</v>
      </c>
      <c r="D119" s="44">
        <f t="shared" si="24"/>
        <v>0.75432548318561854</v>
      </c>
      <c r="E119" s="47">
        <f t="shared" si="29"/>
        <v>-70.320392805538305</v>
      </c>
      <c r="F119" s="47">
        <f t="shared" si="30"/>
        <v>75.780982221935673</v>
      </c>
      <c r="G119" s="47">
        <f t="shared" si="41"/>
        <v>5.4605894163973687</v>
      </c>
      <c r="J119" s="47">
        <f t="shared" si="31"/>
        <v>-0.19536815935910867</v>
      </c>
      <c r="Q119" s="8">
        <f t="shared" si="26"/>
        <v>100</v>
      </c>
      <c r="R119" s="9">
        <f t="shared" si="36"/>
        <v>2.1533642604226525E-2</v>
      </c>
      <c r="S119" s="8">
        <f t="shared" si="38"/>
        <v>-1</v>
      </c>
      <c r="T119" s="9">
        <f t="shared" si="39"/>
        <v>-2.4866693098289611E-2</v>
      </c>
      <c r="U119" s="9">
        <f t="shared" si="40"/>
        <v>-2.4599577831623424E-2</v>
      </c>
      <c r="V119" s="9">
        <f t="shared" si="35"/>
        <v>-1.092126992522303E-3</v>
      </c>
    </row>
    <row r="120" spans="1:22">
      <c r="A120" s="8">
        <f t="shared" si="37"/>
        <v>0.54500000000000037</v>
      </c>
      <c r="B120" s="47">
        <f>B119*EXP((PL_r-0.5*Vol_a^2)*dt+Vol_a*SQRT(dt)*bs!A110)</f>
        <v>103.51952496425864</v>
      </c>
      <c r="C120" s="47">
        <f t="shared" si="23"/>
        <v>7.9436755459231492</v>
      </c>
      <c r="D120" s="44">
        <f t="shared" si="24"/>
        <v>0.65221439046171104</v>
      </c>
      <c r="E120" s="47">
        <f t="shared" si="29"/>
        <v>-59.57324832952667</v>
      </c>
      <c r="F120" s="47">
        <f t="shared" si="30"/>
        <v>65.218068886715145</v>
      </c>
      <c r="G120" s="47">
        <f t="shared" si="41"/>
        <v>5.6448205571884742</v>
      </c>
      <c r="J120" s="47">
        <f t="shared" si="31"/>
        <v>-10.570491812360272</v>
      </c>
      <c r="Q120" s="8">
        <f t="shared" si="26"/>
        <v>100</v>
      </c>
      <c r="R120" s="9">
        <f t="shared" si="36"/>
        <v>2.6460768176756442E-2</v>
      </c>
      <c r="S120" s="8">
        <f t="shared" si="38"/>
        <v>1</v>
      </c>
      <c r="T120" s="9">
        <f t="shared" si="39"/>
        <v>0.19345812531721768</v>
      </c>
      <c r="U120" s="9">
        <f t="shared" si="40"/>
        <v>0.19136088248908389</v>
      </c>
      <c r="V120" s="9">
        <f t="shared" si="35"/>
        <v>-3.9553619566526796E-2</v>
      </c>
    </row>
    <row r="121" spans="1:22">
      <c r="A121" s="8">
        <f t="shared" si="37"/>
        <v>0.55000000000000038</v>
      </c>
      <c r="B121" s="47">
        <f>B120*EXP((PL_r-0.5*Vol_a^2)*dt+Vol_a*SQRT(dt)*bs!A111)</f>
        <v>107.55560946832223</v>
      </c>
      <c r="C121" s="47">
        <f t="shared" si="23"/>
        <v>10.747463699603912</v>
      </c>
      <c r="D121" s="44">
        <f t="shared" si="24"/>
        <v>0.75081776780308318</v>
      </c>
      <c r="E121" s="47">
        <f t="shared" si="29"/>
        <v>-70.007198916101942</v>
      </c>
      <c r="F121" s="47">
        <f t="shared" si="30"/>
        <v>75.829937365291272</v>
      </c>
      <c r="G121" s="47">
        <f t="shared" si="41"/>
        <v>5.8227384491893304</v>
      </c>
      <c r="J121" s="47">
        <f t="shared" si="31"/>
        <v>10.605346345586236</v>
      </c>
      <c r="Q121" s="8">
        <f t="shared" si="26"/>
        <v>100</v>
      </c>
      <c r="R121" s="9">
        <f t="shared" si="36"/>
        <v>2.1983493559045632E-2</v>
      </c>
      <c r="S121" s="8">
        <f t="shared" si="38"/>
        <v>1</v>
      </c>
      <c r="T121" s="9">
        <f t="shared" si="39"/>
        <v>0.16785877684637587</v>
      </c>
      <c r="U121" s="9">
        <f t="shared" si="40"/>
        <v>0.16602244862256893</v>
      </c>
      <c r="V121" s="9">
        <f t="shared" si="35"/>
        <v>3.8988630458428999E-2</v>
      </c>
    </row>
    <row r="122" spans="1:22">
      <c r="A122" s="8">
        <f t="shared" si="37"/>
        <v>0.55500000000000038</v>
      </c>
      <c r="B122" s="47">
        <f>B121*EXP((PL_r-0.5*Vol_a^2)*dt+Vol_a*SQRT(dt)*bs!A112)</f>
        <v>109.27697936135789</v>
      </c>
      <c r="C122" s="47">
        <f t="shared" si="23"/>
        <v>12.040288540423845</v>
      </c>
      <c r="D122" s="44">
        <f t="shared" si="24"/>
        <v>0.78767156149775697</v>
      </c>
      <c r="E122" s="47">
        <f t="shared" si="29"/>
        <v>-74.034080428895081</v>
      </c>
      <c r="F122" s="47">
        <f t="shared" si="30"/>
        <v>79.864791991150739</v>
      </c>
      <c r="G122" s="47">
        <f t="shared" si="41"/>
        <v>5.830711562255658</v>
      </c>
      <c r="J122" s="47">
        <f t="shared" si="31"/>
        <v>4.0272712529606087</v>
      </c>
      <c r="Q122" s="8">
        <f t="shared" si="26"/>
        <v>100</v>
      </c>
      <c r="R122" s="9">
        <f t="shared" si="36"/>
        <v>1.989590097610229E-2</v>
      </c>
      <c r="S122" s="8">
        <f t="shared" si="38"/>
        <v>1</v>
      </c>
      <c r="T122" s="9">
        <f t="shared" si="39"/>
        <v>6.6693821511937222E-3</v>
      </c>
      <c r="U122" s="9">
        <f t="shared" si="40"/>
        <v>6.5957613606031648E-3</v>
      </c>
      <c r="V122" s="9">
        <f t="shared" si="35"/>
        <v>1.6004464123674022E-2</v>
      </c>
    </row>
    <row r="123" spans="1:22">
      <c r="A123" s="8">
        <f t="shared" si="37"/>
        <v>0.56000000000000039</v>
      </c>
      <c r="B123" s="47">
        <f>B122*EXP((PL_r-0.5*Vol_a^2)*dt+Vol_a*SQRT(dt)*bs!A113)</f>
        <v>108.52037597069327</v>
      </c>
      <c r="C123" s="47">
        <f t="shared" si="23"/>
        <v>11.418273620529206</v>
      </c>
      <c r="D123" s="44">
        <f t="shared" si="24"/>
        <v>0.77307530195322571</v>
      </c>
      <c r="E123" s="47">
        <f t="shared" si="29"/>
        <v>-72.476148801092066</v>
      </c>
      <c r="F123" s="47">
        <f t="shared" si="30"/>
        <v>78.288787296148769</v>
      </c>
      <c r="G123" s="47">
        <f t="shared" si="41"/>
        <v>5.8126384950567029</v>
      </c>
      <c r="J123" s="47">
        <f t="shared" si="31"/>
        <v>-1.5839915735383516</v>
      </c>
      <c r="Q123" s="8">
        <f t="shared" si="26"/>
        <v>100</v>
      </c>
      <c r="R123" s="9">
        <f t="shared" si="36"/>
        <v>2.0932374141522693E-2</v>
      </c>
      <c r="S123" s="8">
        <f t="shared" si="38"/>
        <v>-1</v>
      </c>
      <c r="T123" s="9">
        <f t="shared" si="39"/>
        <v>-1.874269309739587E-2</v>
      </c>
      <c r="U123" s="9">
        <f t="shared" si="40"/>
        <v>-1.8533946099987906E-2</v>
      </c>
      <c r="V123" s="9">
        <f t="shared" si="35"/>
        <v>-6.9237216757491171E-3</v>
      </c>
    </row>
    <row r="124" spans="1:22">
      <c r="A124" s="8">
        <f t="shared" si="37"/>
        <v>0.56500000000000039</v>
      </c>
      <c r="B124" s="47">
        <f>B123*EXP((PL_r-0.5*Vol_a^2)*dt+Vol_a*SQRT(dt)*bs!A114)</f>
        <v>105.14006488054898</v>
      </c>
      <c r="C124" s="47">
        <f t="shared" si="23"/>
        <v>8.8985312950876647</v>
      </c>
      <c r="D124" s="44">
        <f t="shared" si="24"/>
        <v>0.69563680220583779</v>
      </c>
      <c r="E124" s="47">
        <f t="shared" si="29"/>
        <v>-64.240767222131737</v>
      </c>
      <c r="F124" s="47">
        <f t="shared" si="30"/>
        <v>70.154727678642629</v>
      </c>
      <c r="G124" s="47">
        <f t="shared" si="41"/>
        <v>5.9139604565108925</v>
      </c>
      <c r="J124" s="47">
        <f t="shared" si="31"/>
        <v>-8.1418888876927422</v>
      </c>
      <c r="Q124" s="8">
        <f t="shared" si="26"/>
        <v>100</v>
      </c>
      <c r="R124" s="9">
        <f t="shared" si="36"/>
        <v>2.5232908509266707E-2</v>
      </c>
      <c r="S124" s="8">
        <f t="shared" si="38"/>
        <v>1</v>
      </c>
      <c r="T124" s="9">
        <f t="shared" si="39"/>
        <v>0.10742725072265627</v>
      </c>
      <c r="U124" s="9">
        <f t="shared" si="40"/>
        <v>0.10622015572072059</v>
      </c>
      <c r="V124" s="9">
        <f t="shared" si="35"/>
        <v>-3.1149091218198206E-2</v>
      </c>
    </row>
    <row r="125" spans="1:22">
      <c r="A125" s="8">
        <f t="shared" si="37"/>
        <v>0.5700000000000004</v>
      </c>
      <c r="B125" s="47">
        <f>B124*EXP((PL_r-0.5*Vol_a^2)*dt+Vol_a*SQRT(dt)*bs!A115)</f>
        <v>107.51949991442628</v>
      </c>
      <c r="C125" s="47">
        <f t="shared" si="23"/>
        <v>10.589612851172134</v>
      </c>
      <c r="D125" s="44">
        <f t="shared" si="24"/>
        <v>0.75300353371517947</v>
      </c>
      <c r="E125" s="47">
        <f t="shared" si="29"/>
        <v>-70.372950527679791</v>
      </c>
      <c r="F125" s="47">
        <f t="shared" si="30"/>
        <v>76.329785785805413</v>
      </c>
      <c r="G125" s="47">
        <f t="shared" si="41"/>
        <v>5.9568352581256221</v>
      </c>
      <c r="J125" s="47">
        <f t="shared" si="31"/>
        <v>6.1680422836095783</v>
      </c>
      <c r="Q125" s="8">
        <f t="shared" si="26"/>
        <v>100</v>
      </c>
      <c r="R125" s="9">
        <f t="shared" si="36"/>
        <v>2.2390995105102861E-2</v>
      </c>
      <c r="S125" s="8">
        <f t="shared" si="38"/>
        <v>1</v>
      </c>
      <c r="T125" s="9">
        <f t="shared" si="39"/>
        <v>4.0402129253208165E-2</v>
      </c>
      <c r="U125" s="9">
        <f t="shared" si="40"/>
        <v>3.9944160362192727E-2</v>
      </c>
      <c r="V125" s="9">
        <f t="shared" si="35"/>
        <v>2.2631097256603443E-2</v>
      </c>
    </row>
    <row r="126" spans="1:22">
      <c r="A126" s="8">
        <f t="shared" si="37"/>
        <v>0.5750000000000004</v>
      </c>
      <c r="B126" s="47">
        <f>B125*EXP((PL_r-0.5*Vol_a^2)*dt+Vol_a*SQRT(dt)*bs!A116)</f>
        <v>110.55869206214015</v>
      </c>
      <c r="C126" s="47">
        <f t="shared" si="23"/>
        <v>12.945172865258698</v>
      </c>
      <c r="D126" s="44">
        <f t="shared" si="24"/>
        <v>0.81600255329289384</v>
      </c>
      <c r="E126" s="47">
        <f t="shared" si="29"/>
        <v>-77.27100214617046</v>
      </c>
      <c r="F126" s="47">
        <f t="shared" si="30"/>
        <v>83.302508351754909</v>
      </c>
      <c r="G126" s="47">
        <f t="shared" si="41"/>
        <v>6.0315062055844493</v>
      </c>
      <c r="J126" s="47">
        <f t="shared" si="31"/>
        <v>6.965089205709261</v>
      </c>
      <c r="Q126" s="8">
        <f t="shared" si="26"/>
        <v>100</v>
      </c>
      <c r="R126" s="9">
        <f t="shared" si="36"/>
        <v>1.8454887637359096E-2</v>
      </c>
      <c r="S126" s="8">
        <f t="shared" si="38"/>
        <v>1</v>
      </c>
      <c r="T126" s="9">
        <f t="shared" si="39"/>
        <v>6.7559656887580713E-2</v>
      </c>
      <c r="U126" s="9">
        <f t="shared" si="40"/>
        <v>6.6787171139840951E-2</v>
      </c>
      <c r="V126" s="9">
        <f t="shared" si="35"/>
        <v>2.8266427486481428E-2</v>
      </c>
    </row>
    <row r="127" spans="1:22">
      <c r="A127" s="8">
        <f t="shared" si="37"/>
        <v>0.5800000000000004</v>
      </c>
      <c r="B127" s="47">
        <f>B126*EXP((PL_r-0.5*Vol_a^2)*dt+Vol_a*SQRT(dt)*bs!A117)</f>
        <v>108.97508906055178</v>
      </c>
      <c r="C127" s="47">
        <f t="shared" si="23"/>
        <v>11.645119543971035</v>
      </c>
      <c r="D127" s="44">
        <f t="shared" si="24"/>
        <v>0.78603154195320002</v>
      </c>
      <c r="E127" s="47">
        <f t="shared" si="29"/>
        <v>-74.012737744781788</v>
      </c>
      <c r="F127" s="47">
        <f t="shared" si="30"/>
        <v>80.044745389138569</v>
      </c>
      <c r="G127" s="47">
        <f t="shared" si="41"/>
        <v>6.0320076443567814</v>
      </c>
      <c r="J127" s="47">
        <f t="shared" si="31"/>
        <v>-3.2660936299779415</v>
      </c>
      <c r="Q127" s="8">
        <f t="shared" si="26"/>
        <v>100</v>
      </c>
      <c r="R127" s="9">
        <f t="shared" si="36"/>
        <v>2.0628586133435382E-2</v>
      </c>
      <c r="S127" s="8">
        <f t="shared" si="38"/>
        <v>1</v>
      </c>
      <c r="T127" s="9">
        <f t="shared" si="39"/>
        <v>6.3285786409746363E-4</v>
      </c>
      <c r="U127" s="9">
        <f t="shared" si="40"/>
        <v>6.2555912738982138E-4</v>
      </c>
      <c r="V127" s="9">
        <f t="shared" si="35"/>
        <v>-1.432364088296467E-2</v>
      </c>
    </row>
    <row r="128" spans="1:22">
      <c r="A128" s="8">
        <f t="shared" si="37"/>
        <v>0.58500000000000041</v>
      </c>
      <c r="B128" s="47">
        <f>B127*EXP((PL_r-0.5*Vol_a^2)*dt+Vol_a*SQRT(dt)*bs!A118)</f>
        <v>107.57276587450562</v>
      </c>
      <c r="C128" s="47">
        <f t="shared" si="23"/>
        <v>10.530574413700947</v>
      </c>
      <c r="D128" s="44">
        <f t="shared" si="24"/>
        <v>0.75660090679826475</v>
      </c>
      <c r="E128" s="47">
        <f t="shared" si="29"/>
        <v>-70.859077793747431</v>
      </c>
      <c r="F128" s="47">
        <f t="shared" si="30"/>
        <v>76.886815438854711</v>
      </c>
      <c r="G128" s="47">
        <f t="shared" si="41"/>
        <v>6.0277376451072797</v>
      </c>
      <c r="J128" s="47">
        <f t="shared" si="31"/>
        <v>-3.1659348250598462</v>
      </c>
      <c r="Q128" s="8">
        <f t="shared" si="26"/>
        <v>100</v>
      </c>
      <c r="R128" s="9">
        <f t="shared" si="36"/>
        <v>2.2601763377976643E-2</v>
      </c>
      <c r="S128" s="8">
        <f t="shared" si="38"/>
        <v>-1</v>
      </c>
      <c r="T128" s="9">
        <f t="shared" si="39"/>
        <v>-4.4995058074455757E-3</v>
      </c>
      <c r="U128" s="9">
        <f t="shared" si="40"/>
        <v>-4.4471683606005681E-3</v>
      </c>
      <c r="V128" s="9">
        <f t="shared" si="35"/>
        <v>-1.2868291259362612E-2</v>
      </c>
    </row>
    <row r="129" spans="1:22">
      <c r="A129" s="8">
        <f t="shared" si="37"/>
        <v>0.59000000000000041</v>
      </c>
      <c r="B129" s="47">
        <f>B128*EXP((PL_r-0.5*Vol_a^2)*dt+Vol_a*SQRT(dt)*bs!A119)</f>
        <v>102.29009509590946</v>
      </c>
      <c r="C129" s="47">
        <f t="shared" si="23"/>
        <v>6.8446689958963489</v>
      </c>
      <c r="D129" s="44">
        <f t="shared" si="24"/>
        <v>0.61976809432248359</v>
      </c>
      <c r="E129" s="47">
        <f t="shared" si="29"/>
        <v>-56.551468309761084</v>
      </c>
      <c r="F129" s="47">
        <f t="shared" si="30"/>
        <v>62.897863104457088</v>
      </c>
      <c r="G129" s="47">
        <f t="shared" si="41"/>
        <v>6.3463947946960033</v>
      </c>
      <c r="J129" s="47">
        <f t="shared" si="31"/>
        <v>-13.996641400388402</v>
      </c>
      <c r="Q129" s="8">
        <f t="shared" si="26"/>
        <v>100</v>
      </c>
      <c r="R129" s="9">
        <f t="shared" si="36"/>
        <v>2.9071764923853039E-2</v>
      </c>
      <c r="S129" s="8">
        <f t="shared" si="38"/>
        <v>1</v>
      </c>
      <c r="T129" s="9">
        <f t="shared" si="39"/>
        <v>0.33636595810174313</v>
      </c>
      <c r="U129" s="9">
        <f t="shared" si="40"/>
        <v>0.33242016575522465</v>
      </c>
      <c r="V129" s="9">
        <f t="shared" si="35"/>
        <v>-4.9107882795901329E-2</v>
      </c>
    </row>
    <row r="130" spans="1:22">
      <c r="A130" s="8">
        <f t="shared" si="37"/>
        <v>0.59500000000000042</v>
      </c>
      <c r="B130" s="47">
        <f>B129*EXP((PL_r-0.5*Vol_a^2)*dt+Vol_a*SQRT(dt)*bs!A120)</f>
        <v>108.50601011921775</v>
      </c>
      <c r="C130" s="47">
        <f t="shared" si="23"/>
        <v>11.181249886819458</v>
      </c>
      <c r="D130" s="44">
        <f t="shared" si="24"/>
        <v>0.77895465582015289</v>
      </c>
      <c r="E130" s="47">
        <f t="shared" si="29"/>
        <v>-73.340011880013833</v>
      </c>
      <c r="F130" s="47">
        <f t="shared" si="30"/>
        <v>80.176851857976914</v>
      </c>
      <c r="G130" s="47">
        <f t="shared" si="41"/>
        <v>6.8368399779630806</v>
      </c>
      <c r="J130" s="47">
        <f t="shared" si="31"/>
        <v>17.272698652709582</v>
      </c>
      <c r="Q130" s="8">
        <f t="shared" si="26"/>
        <v>100</v>
      </c>
      <c r="R130" s="9">
        <f t="shared" si="36"/>
        <v>2.1497969284905681E-2</v>
      </c>
      <c r="S130" s="8">
        <f t="shared" si="38"/>
        <v>1</v>
      </c>
      <c r="T130" s="9">
        <f t="shared" si="39"/>
        <v>0.44201316136184854</v>
      </c>
      <c r="U130" s="9">
        <f t="shared" si="40"/>
        <v>0.43678437770824036</v>
      </c>
      <c r="V130" s="9">
        <f t="shared" si="35"/>
        <v>6.0767516321889273E-2</v>
      </c>
    </row>
    <row r="131" spans="1:22">
      <c r="A131" s="8">
        <f t="shared" si="37"/>
        <v>0.60000000000000042</v>
      </c>
      <c r="B131" s="47">
        <f>B130*EXP((PL_r-0.5*Vol_a^2)*dt+Vol_a*SQRT(dt)*bs!A121)</f>
        <v>112.14545779534049</v>
      </c>
      <c r="C131" s="47">
        <f t="shared" si="23"/>
        <v>14.118550958272849</v>
      </c>
      <c r="D131" s="44">
        <f t="shared" si="24"/>
        <v>0.84912635726004981</v>
      </c>
      <c r="E131" s="47">
        <f t="shared" si="29"/>
        <v>-81.107113102745274</v>
      </c>
      <c r="F131" s="47">
        <f t="shared" si="30"/>
        <v>88.05430752631554</v>
      </c>
      <c r="G131" s="47">
        <f t="shared" si="41"/>
        <v>6.9471944235702665</v>
      </c>
      <c r="J131" s="47">
        <f t="shared" si="31"/>
        <v>7.8694375822551947</v>
      </c>
      <c r="Q131" s="8">
        <f t="shared" si="26"/>
        <v>100</v>
      </c>
      <c r="R131" s="9">
        <f t="shared" si="36"/>
        <v>1.6500242858483637E-2</v>
      </c>
      <c r="S131" s="8">
        <f t="shared" si="38"/>
        <v>1</v>
      </c>
      <c r="T131" s="9">
        <f t="shared" si="39"/>
        <v>9.5979535608042538E-2</v>
      </c>
      <c r="U131" s="9">
        <f t="shared" si="40"/>
        <v>9.4834664147931236E-2</v>
      </c>
      <c r="V131" s="9">
        <f t="shared" si="35"/>
        <v>3.3541438599797448E-2</v>
      </c>
    </row>
    <row r="132" spans="1:22">
      <c r="A132" s="8">
        <f t="shared" si="37"/>
        <v>0.60500000000000043</v>
      </c>
      <c r="B132" s="47">
        <f>B131*EXP((PL_r-0.5*Vol_a^2)*dt+Vol_a*SQRT(dt)*bs!A122)</f>
        <v>112.07890177769497</v>
      </c>
      <c r="C132" s="47">
        <f t="shared" si="23"/>
        <v>14.033113909376766</v>
      </c>
      <c r="D132" s="44">
        <f t="shared" si="24"/>
        <v>0.84917351538740871</v>
      </c>
      <c r="E132" s="47">
        <f t="shared" si="29"/>
        <v>-81.141321113948564</v>
      </c>
      <c r="F132" s="47">
        <f t="shared" si="30"/>
        <v>88.068398828478664</v>
      </c>
      <c r="G132" s="47">
        <f t="shared" si="41"/>
        <v>6.9270777145300997</v>
      </c>
      <c r="J132" s="47">
        <f t="shared" si="31"/>
        <v>5.2854311242773759E-3</v>
      </c>
      <c r="Q132" s="8">
        <f t="shared" si="26"/>
        <v>100</v>
      </c>
      <c r="R132" s="9">
        <f t="shared" si="36"/>
        <v>1.6610749404902741E-2</v>
      </c>
      <c r="S132" s="8">
        <f t="shared" si="38"/>
        <v>-1</v>
      </c>
      <c r="T132" s="9">
        <f t="shared" si="39"/>
        <v>-2.0829145538435744E-2</v>
      </c>
      <c r="U132" s="9">
        <f t="shared" si="40"/>
        <v>-2.0578631543561699E-2</v>
      </c>
      <c r="V132" s="9">
        <f t="shared" si="35"/>
        <v>-5.9347938787664178E-4</v>
      </c>
    </row>
    <row r="133" spans="1:22">
      <c r="A133" s="8">
        <f t="shared" si="37"/>
        <v>0.61000000000000043</v>
      </c>
      <c r="B133" s="47">
        <f>B132*EXP((PL_r-0.5*Vol_a^2)*dt+Vol_a*SQRT(dt)*bs!A123)</f>
        <v>109.07083843557962</v>
      </c>
      <c r="C133" s="47">
        <f t="shared" si="23"/>
        <v>11.527867531772173</v>
      </c>
      <c r="D133" s="44">
        <f t="shared" si="24"/>
        <v>0.79391348305372156</v>
      </c>
      <c r="E133" s="47">
        <f t="shared" si="29"/>
        <v>-75.064941710208572</v>
      </c>
      <c r="F133" s="47">
        <f t="shared" si="30"/>
        <v>82.049948050105684</v>
      </c>
      <c r="G133" s="47">
        <f t="shared" si="41"/>
        <v>6.9850063398971116</v>
      </c>
      <c r="J133" s="47">
        <f t="shared" si="31"/>
        <v>-6.0272580586124969</v>
      </c>
      <c r="Q133" s="8">
        <f t="shared" si="26"/>
        <v>100</v>
      </c>
      <c r="R133" s="9">
        <f t="shared" si="36"/>
        <v>2.0921965279247279E-2</v>
      </c>
      <c r="S133" s="8">
        <f t="shared" si="38"/>
        <v>1</v>
      </c>
      <c r="T133" s="9">
        <f t="shared" si="39"/>
        <v>6.4753215413698578E-2</v>
      </c>
      <c r="U133" s="9">
        <f t="shared" si="40"/>
        <v>6.3968025582568394E-2</v>
      </c>
      <c r="V133" s="9">
        <f t="shared" si="35"/>
        <v>-2.6838801008969109E-2</v>
      </c>
    </row>
    <row r="134" spans="1:22">
      <c r="A134" s="8">
        <f t="shared" si="37"/>
        <v>0.61500000000000044</v>
      </c>
      <c r="B134" s="47">
        <f>B133*EXP((PL_r-0.5*Vol_a^2)*dt+Vol_a*SQRT(dt)*bs!A124)</f>
        <v>105.05228053649364</v>
      </c>
      <c r="C134" s="47">
        <f t="shared" si="23"/>
        <v>8.4860868982837303</v>
      </c>
      <c r="D134" s="44">
        <f t="shared" si="24"/>
        <v>0.6989107913035052</v>
      </c>
      <c r="E134" s="47">
        <f t="shared" si="29"/>
        <v>-64.936085619714859</v>
      </c>
      <c r="F134" s="47">
        <f t="shared" si="30"/>
        <v>72.07790402970835</v>
      </c>
      <c r="G134" s="47">
        <f t="shared" si="41"/>
        <v>7.1418184099934905</v>
      </c>
      <c r="J134" s="47">
        <f t="shared" si="31"/>
        <v>-9.9802494254657592</v>
      </c>
      <c r="Q134" s="8">
        <f t="shared" si="26"/>
        <v>100</v>
      </c>
      <c r="R134" s="9">
        <f t="shared" si="36"/>
        <v>2.6714089167305579E-2</v>
      </c>
      <c r="S134" s="8">
        <f t="shared" si="38"/>
        <v>1</v>
      </c>
      <c r="T134" s="9">
        <f t="shared" si="39"/>
        <v>0.17061718839181084</v>
      </c>
      <c r="U134" s="9">
        <f t="shared" si="40"/>
        <v>0.16853145055814206</v>
      </c>
      <c r="V134" s="9">
        <f t="shared" si="35"/>
        <v>-3.684355925676186E-2</v>
      </c>
    </row>
    <row r="135" spans="1:22">
      <c r="A135" s="8">
        <f t="shared" si="37"/>
        <v>0.62000000000000044</v>
      </c>
      <c r="B135" s="47">
        <f>B134*EXP((PL_r-0.5*Vol_a^2)*dt+Vol_a*SQRT(dt)*bs!A125)</f>
        <v>108.78459055431485</v>
      </c>
      <c r="C135" s="47">
        <f t="shared" si="23"/>
        <v>11.235880501050062</v>
      </c>
      <c r="D135" s="44">
        <f t="shared" si="24"/>
        <v>0.78994680420414298</v>
      </c>
      <c r="E135" s="47">
        <f t="shared" si="29"/>
        <v>-74.698159153987149</v>
      </c>
      <c r="F135" s="47">
        <f t="shared" si="30"/>
        <v>81.98842756960606</v>
      </c>
      <c r="G135" s="47">
        <f t="shared" si="41"/>
        <v>7.290268415618911</v>
      </c>
      <c r="J135" s="47">
        <f t="shared" si="31"/>
        <v>9.9033153890932066</v>
      </c>
      <c r="Q135" s="8">
        <f t="shared" si="26"/>
        <v>100</v>
      </c>
      <c r="R135" s="9">
        <f t="shared" si="36"/>
        <v>2.1491733336044976E-2</v>
      </c>
      <c r="S135" s="8">
        <f t="shared" si="38"/>
        <v>1</v>
      </c>
      <c r="T135" s="9">
        <f t="shared" si="39"/>
        <v>0.13508335788243403</v>
      </c>
      <c r="U135" s="9">
        <f t="shared" si="40"/>
        <v>0.13341866666045696</v>
      </c>
      <c r="V135" s="9">
        <f t="shared" si="35"/>
        <v>3.5528119891929957E-2</v>
      </c>
    </row>
    <row r="136" spans="1:22">
      <c r="A136" s="8">
        <f t="shared" si="37"/>
        <v>0.62500000000000044</v>
      </c>
      <c r="B136" s="47">
        <f>B135*EXP((PL_r-0.5*Vol_a^2)*dt+Vol_a*SQRT(dt)*bs!A126)</f>
        <v>110.6334099231082</v>
      </c>
      <c r="C136" s="47">
        <f t="shared" si="23"/>
        <v>12.70064641709719</v>
      </c>
      <c r="D136" s="44">
        <f t="shared" si="24"/>
        <v>0.82832328851068948</v>
      </c>
      <c r="E136" s="47">
        <f t="shared" si="29"/>
        <v>-78.939583509562937</v>
      </c>
      <c r="F136" s="47">
        <f t="shared" si="30"/>
        <v>86.242348142012716</v>
      </c>
      <c r="G136" s="47">
        <f t="shared" si="41"/>
        <v>7.3027646324497795</v>
      </c>
      <c r="J136" s="47">
        <f t="shared" si="31"/>
        <v>4.2457213196938879</v>
      </c>
      <c r="Q136" s="8">
        <f t="shared" si="26"/>
        <v>100</v>
      </c>
      <c r="R136" s="9">
        <f t="shared" si="36"/>
        <v>1.8793519566798259E-2</v>
      </c>
      <c r="S136" s="8">
        <f t="shared" si="38"/>
        <v>1</v>
      </c>
      <c r="T136" s="9">
        <f t="shared" si="39"/>
        <v>1.0217604301595956E-2</v>
      </c>
      <c r="U136" s="9">
        <f t="shared" si="40"/>
        <v>1.0090679182486956E-2</v>
      </c>
      <c r="V136" s="9">
        <f t="shared" si="35"/>
        <v>1.6995232131431923E-2</v>
      </c>
    </row>
    <row r="137" spans="1:22">
      <c r="A137" s="8">
        <f t="shared" si="37"/>
        <v>0.63000000000000045</v>
      </c>
      <c r="B137" s="47">
        <f>B136*EXP((PL_r-0.5*Vol_a^2)*dt+Vol_a*SQRT(dt)*bs!A127)</f>
        <v>111.1931792449484</v>
      </c>
      <c r="C137" s="47">
        <f t="shared" si="23"/>
        <v>13.136966147948115</v>
      </c>
      <c r="D137" s="44">
        <f t="shared" si="24"/>
        <v>0.83983560585981798</v>
      </c>
      <c r="E137" s="47">
        <f t="shared" si="29"/>
        <v>-80.247024910712454</v>
      </c>
      <c r="F137" s="47">
        <f t="shared" si="30"/>
        <v>87.531063974579411</v>
      </c>
      <c r="G137" s="47">
        <f t="shared" si="41"/>
        <v>7.2840390638669561</v>
      </c>
      <c r="J137" s="47">
        <f t="shared" si="31"/>
        <v>1.2800911665263743</v>
      </c>
      <c r="Q137" s="8">
        <f t="shared" si="26"/>
        <v>100</v>
      </c>
      <c r="R137" s="9">
        <f t="shared" si="36"/>
        <v>1.7998887599173837E-2</v>
      </c>
      <c r="S137" s="8">
        <f t="shared" si="38"/>
        <v>-1</v>
      </c>
      <c r="T137" s="9">
        <f t="shared" si="39"/>
        <v>-1.9405177506373879E-2</v>
      </c>
      <c r="U137" s="9">
        <f t="shared" si="40"/>
        <v>-1.9162206203503482E-2</v>
      </c>
      <c r="V137" s="9">
        <f t="shared" si="35"/>
        <v>5.0596770200723321E-3</v>
      </c>
    </row>
    <row r="138" spans="1:22">
      <c r="A138" s="8">
        <f t="shared" si="37"/>
        <v>0.63500000000000045</v>
      </c>
      <c r="B138" s="47">
        <f>B137*EXP((PL_r-0.5*Vol_a^2)*dt+Vol_a*SQRT(dt)*bs!A128)</f>
        <v>112.49865585863985</v>
      </c>
      <c r="C138" s="47">
        <f t="shared" si="23"/>
        <v>14.219483332900154</v>
      </c>
      <c r="D138" s="44">
        <f t="shared" si="24"/>
        <v>0.86335352689272216</v>
      </c>
      <c r="E138" s="47">
        <f t="shared" si="29"/>
        <v>-82.906627973347156</v>
      </c>
      <c r="F138" s="47">
        <f t="shared" si="30"/>
        <v>90.185552023438134</v>
      </c>
      <c r="G138" s="47">
        <f t="shared" si="41"/>
        <v>7.2789240500909784</v>
      </c>
      <c r="J138" s="47">
        <f t="shared" si="31"/>
        <v>2.645734504791355</v>
      </c>
      <c r="Q138" s="8">
        <f t="shared" si="26"/>
        <v>100</v>
      </c>
      <c r="R138" s="9">
        <f t="shared" si="36"/>
        <v>1.6105652090888638E-2</v>
      </c>
      <c r="S138" s="8">
        <f t="shared" si="38"/>
        <v>-1</v>
      </c>
      <c r="T138" s="9">
        <f t="shared" si="39"/>
        <v>-6.3348929808371129E-3</v>
      </c>
      <c r="U138" s="9">
        <f t="shared" si="40"/>
        <v>-6.2549485615596206E-3</v>
      </c>
      <c r="V138" s="9">
        <f t="shared" si="35"/>
        <v>1.1740617747925062E-2</v>
      </c>
    </row>
    <row r="139" spans="1:22">
      <c r="A139" s="8">
        <f t="shared" si="37"/>
        <v>0.64000000000000046</v>
      </c>
      <c r="B139" s="47">
        <f>B138*EXP((PL_r-0.5*Vol_a^2)*dt+Vol_a*SQRT(dt)*bs!A129)</f>
        <v>117.90725843280906</v>
      </c>
      <c r="C139" s="47">
        <f t="shared" ref="C139:C202" si="42">CallOption(B139,Vol_i,0,PL_r, PL_K,PL_T-A139)</f>
        <v>19.066887140632474</v>
      </c>
      <c r="D139" s="44">
        <f t="shared" ref="D139:D202" si="43">CallDelta(B139,$E$6,0,PL_r, PL_K, PL_T-A139)</f>
        <v>0.93224666854379923</v>
      </c>
      <c r="E139" s="47">
        <f t="shared" si="29"/>
        <v>-90.851761730486544</v>
      </c>
      <c r="F139" s="47">
        <f t="shared" si="30"/>
        <v>98.317572486484934</v>
      </c>
      <c r="G139" s="47">
        <f t="shared" si="41"/>
        <v>7.4658107559983904</v>
      </c>
      <c r="J139" s="47">
        <f t="shared" si="31"/>
        <v>8.1230014569016653</v>
      </c>
      <c r="Q139" s="8">
        <f t="shared" ref="Q139:Q202" si="44">PL_K</f>
        <v>100</v>
      </c>
      <c r="R139" s="9">
        <f t="shared" ref="R139:R170" si="45">CallGamma(B139,$E$6,0,PL_r, PL_K, PL_T-A139)</f>
        <v>9.2539753777060481E-3</v>
      </c>
      <c r="S139" s="8">
        <f t="shared" si="38"/>
        <v>1</v>
      </c>
      <c r="T139" s="9">
        <f t="shared" si="39"/>
        <v>0.13581581481656807</v>
      </c>
      <c r="U139" s="9">
        <f t="shared" si="40"/>
        <v>0.13408845109891718</v>
      </c>
      <c r="V139" s="9">
        <f t="shared" si="35"/>
        <v>4.8077041746751058E-2</v>
      </c>
    </row>
    <row r="140" spans="1:22">
      <c r="A140" s="8">
        <f t="shared" ref="A140:A171" si="46">A139+dt</f>
        <v>0.64500000000000046</v>
      </c>
      <c r="B140" s="47">
        <f>B139*EXP((PL_r-0.5*Vol_a^2)*dt+Vol_a*SQRT(dt)*bs!A130)</f>
        <v>114.34527782991337</v>
      </c>
      <c r="C140" s="47">
        <f t="shared" si="42"/>
        <v>15.78714267750648</v>
      </c>
      <c r="D140" s="44">
        <f t="shared" si="43"/>
        <v>0.89326980868818107</v>
      </c>
      <c r="E140" s="47">
        <f t="shared" ref="E140:E203" si="47">C140-D140*B140</f>
        <v>-86.354041774017148</v>
      </c>
      <c r="F140" s="47">
        <f t="shared" ref="F140:F203" si="48">J140+F139*EXP(PL_r*dt)</f>
        <v>93.870584866209583</v>
      </c>
      <c r="G140" s="47">
        <f t="shared" si="41"/>
        <v>7.5165430921924354</v>
      </c>
      <c r="J140" s="47">
        <f t="shared" ref="J140:J203" si="49">(D140-D139)*B140</f>
        <v>-4.4568198691282559</v>
      </c>
      <c r="Q140" s="8">
        <f t="shared" si="44"/>
        <v>100</v>
      </c>
      <c r="R140" s="9">
        <f t="shared" si="45"/>
        <v>1.3503513294117876E-2</v>
      </c>
      <c r="S140" s="8">
        <f t="shared" ref="S140:S171" si="50">IF(V140^2 &lt; ($E$6^2*dt), -1, 1)</f>
        <v>1</v>
      </c>
      <c r="T140" s="9">
        <f t="shared" ref="T140:T171" si="51">0.5*R140*(B140^2)*(V140^2-$E$6^2*dt)</f>
        <v>6.2911011650885418E-2</v>
      </c>
      <c r="U140" s="9">
        <f t="shared" ref="U140:U171" si="52">T140*EXP(-PL_r*A140)</f>
        <v>6.2104671675319988E-2</v>
      </c>
      <c r="V140" s="9">
        <f t="shared" si="35"/>
        <v>-3.0210019724320254E-2</v>
      </c>
    </row>
    <row r="141" spans="1:22">
      <c r="A141" s="8">
        <f t="shared" si="46"/>
        <v>0.65000000000000047</v>
      </c>
      <c r="B141" s="47">
        <f>B140*EXP((PL_r-0.5*Vol_a^2)*dt+Vol_a*SQRT(dt)*bs!A131)</f>
        <v>115.77054136092423</v>
      </c>
      <c r="C141" s="47">
        <f t="shared" si="42"/>
        <v>17.048921795804176</v>
      </c>
      <c r="D141" s="44">
        <f t="shared" si="43"/>
        <v>0.91244480374425907</v>
      </c>
      <c r="E141" s="47">
        <f t="shared" si="47"/>
        <v>-88.585307095630952</v>
      </c>
      <c r="F141" s="47">
        <f t="shared" si="48"/>
        <v>96.099871952299978</v>
      </c>
      <c r="G141" s="47">
        <f t="shared" si="41"/>
        <v>7.5145648566690255</v>
      </c>
      <c r="J141" s="47">
        <f t="shared" si="49"/>
        <v>2.2198995582351961</v>
      </c>
      <c r="Q141" s="8">
        <f t="shared" si="44"/>
        <v>100</v>
      </c>
      <c r="R141" s="9">
        <f t="shared" si="45"/>
        <v>1.1614274608053733E-2</v>
      </c>
      <c r="S141" s="8">
        <f t="shared" si="50"/>
        <v>-1</v>
      </c>
      <c r="T141" s="9">
        <f t="shared" si="51"/>
        <v>-3.4740124226032092E-3</v>
      </c>
      <c r="U141" s="9">
        <f t="shared" si="52"/>
        <v>-3.4291425472150225E-3</v>
      </c>
      <c r="V141" s="9">
        <f t="shared" ref="V141:V204" si="53">(B141-B140)/B140</f>
        <v>1.2464559604559366E-2</v>
      </c>
    </row>
    <row r="142" spans="1:22">
      <c r="A142" s="8">
        <f t="shared" si="46"/>
        <v>0.65500000000000047</v>
      </c>
      <c r="B142" s="47">
        <f>B141*EXP((PL_r-0.5*Vol_a^2)*dt+Vol_a*SQRT(dt)*bs!A132)</f>
        <v>118.66116777297164</v>
      </c>
      <c r="C142" s="47">
        <f t="shared" si="42"/>
        <v>19.7092755000468</v>
      </c>
      <c r="D142" s="44">
        <f t="shared" si="43"/>
        <v>0.94225507125655961</v>
      </c>
      <c r="E142" s="47">
        <f t="shared" si="47"/>
        <v>-92.099811595261158</v>
      </c>
      <c r="F142" s="47">
        <f t="shared" si="48"/>
        <v>99.646803574644849</v>
      </c>
      <c r="G142" s="47">
        <f t="shared" si="41"/>
        <v>7.5469919793836908</v>
      </c>
      <c r="J142" s="47">
        <f t="shared" si="49"/>
        <v>3.53732115463426</v>
      </c>
      <c r="Q142" s="8">
        <f t="shared" si="44"/>
        <v>100</v>
      </c>
      <c r="R142" s="9">
        <f t="shared" si="45"/>
        <v>8.2926228606272443E-3</v>
      </c>
      <c r="S142" s="8">
        <f t="shared" si="50"/>
        <v>1</v>
      </c>
      <c r="T142" s="9">
        <f t="shared" si="51"/>
        <v>2.4720709904435652E-2</v>
      </c>
      <c r="U142" s="9">
        <f t="shared" si="52"/>
        <v>2.4398980533055045E-2</v>
      </c>
      <c r="V142" s="9">
        <f t="shared" si="53"/>
        <v>2.4968583355204705E-2</v>
      </c>
    </row>
    <row r="143" spans="1:22">
      <c r="A143" s="8">
        <f t="shared" si="46"/>
        <v>0.66000000000000048</v>
      </c>
      <c r="B143" s="47">
        <f>B142*EXP((PL_r-0.5*Vol_a^2)*dt+Vol_a*SQRT(dt)*bs!A133)</f>
        <v>122.92706729089535</v>
      </c>
      <c r="C143" s="47">
        <f t="shared" si="42"/>
        <v>23.775768975711387</v>
      </c>
      <c r="D143" s="44">
        <f t="shared" si="43"/>
        <v>0.97039735930929494</v>
      </c>
      <c r="E143" s="47">
        <f t="shared" si="47"/>
        <v>-95.512332511009461</v>
      </c>
      <c r="F143" s="47">
        <f t="shared" si="48"/>
        <v>103.1162176904313</v>
      </c>
      <c r="G143" s="47">
        <f t="shared" si="41"/>
        <v>7.6038851794218374</v>
      </c>
      <c r="J143" s="47">
        <f t="shared" si="49"/>
        <v>3.4594489371783563</v>
      </c>
      <c r="Q143" s="8">
        <f t="shared" si="44"/>
        <v>100</v>
      </c>
      <c r="R143" s="9">
        <f t="shared" si="45"/>
        <v>4.6941453281743751E-3</v>
      </c>
      <c r="S143" s="8">
        <f t="shared" si="50"/>
        <v>1</v>
      </c>
      <c r="T143" s="9">
        <f t="shared" si="51"/>
        <v>3.8744638928073429E-2</v>
      </c>
      <c r="U143" s="9">
        <f t="shared" si="52"/>
        <v>3.8236570324143501E-2</v>
      </c>
      <c r="V143" s="9">
        <f t="shared" si="53"/>
        <v>3.5950257341857972E-2</v>
      </c>
    </row>
    <row r="144" spans="1:22">
      <c r="A144" s="8">
        <f t="shared" si="46"/>
        <v>0.66500000000000048</v>
      </c>
      <c r="B144" s="47">
        <f>B143*EXP((PL_r-0.5*Vol_a^2)*dt+Vol_a*SQRT(dt)*bs!A134)</f>
        <v>120.03830080016421</v>
      </c>
      <c r="C144" s="47">
        <f t="shared" si="42"/>
        <v>20.975692622162725</v>
      </c>
      <c r="D144" s="44">
        <f t="shared" si="43"/>
        <v>0.95482304973142529</v>
      </c>
      <c r="E144" s="47">
        <f t="shared" si="47"/>
        <v>-93.639643832428249</v>
      </c>
      <c r="F144" s="47">
        <f t="shared" si="48"/>
        <v>101.25701616993543</v>
      </c>
      <c r="G144" s="47">
        <f t="shared" si="41"/>
        <v>7.6173723375071773</v>
      </c>
      <c r="J144" s="47">
        <f t="shared" si="49"/>
        <v>-1.8695136578631955</v>
      </c>
      <c r="Q144" s="8">
        <f t="shared" si="44"/>
        <v>100</v>
      </c>
      <c r="R144" s="9">
        <f t="shared" si="45"/>
        <v>6.8430139347029498E-3</v>
      </c>
      <c r="S144" s="8">
        <f t="shared" si="50"/>
        <v>1</v>
      </c>
      <c r="T144" s="9">
        <f t="shared" si="51"/>
        <v>1.7365963098149258E-2</v>
      </c>
      <c r="U144" s="9">
        <f t="shared" si="52"/>
        <v>1.71365249348297E-2</v>
      </c>
      <c r="V144" s="9">
        <f t="shared" si="53"/>
        <v>-2.3499840632292553E-2</v>
      </c>
    </row>
    <row r="145" spans="1:22">
      <c r="A145" s="8">
        <f t="shared" si="46"/>
        <v>0.67000000000000048</v>
      </c>
      <c r="B145" s="47">
        <f>B144*EXP((PL_r-0.5*Vol_a^2)*dt+Vol_a*SQRT(dt)*bs!A135)</f>
        <v>119.45621277222462</v>
      </c>
      <c r="C145" s="47">
        <f t="shared" si="42"/>
        <v>20.401295589494566</v>
      </c>
      <c r="D145" s="44">
        <f t="shared" si="43"/>
        <v>0.95177018487489906</v>
      </c>
      <c r="E145" s="47">
        <f t="shared" si="47"/>
        <v>-93.293566125180931</v>
      </c>
      <c r="F145" s="47">
        <f t="shared" si="48"/>
        <v>100.90245870398834</v>
      </c>
      <c r="G145" s="47">
        <f t="shared" si="41"/>
        <v>7.6088925788074135</v>
      </c>
      <c r="J145" s="47">
        <f t="shared" si="49"/>
        <v>-0.364683673866044</v>
      </c>
      <c r="Q145" s="8">
        <f t="shared" si="44"/>
        <v>100</v>
      </c>
      <c r="R145" s="9">
        <f t="shared" si="45"/>
        <v>7.3014560256558182E-3</v>
      </c>
      <c r="S145" s="8">
        <f t="shared" si="50"/>
        <v>-1</v>
      </c>
      <c r="T145" s="9">
        <f t="shared" si="51"/>
        <v>-9.194026208837882E-3</v>
      </c>
      <c r="U145" s="9">
        <f t="shared" si="52"/>
        <v>-9.0716480226669116E-3</v>
      </c>
      <c r="V145" s="9">
        <f t="shared" si="53"/>
        <v>-4.8491858353496E-3</v>
      </c>
    </row>
    <row r="146" spans="1:22">
      <c r="A146" s="8">
        <f t="shared" si="46"/>
        <v>0.67500000000000049</v>
      </c>
      <c r="B146" s="47">
        <f>B145*EXP((PL_r-0.5*Vol_a^2)*dt+Vol_a*SQRT(dt)*bs!A136)</f>
        <v>115.75660125612765</v>
      </c>
      <c r="C146" s="47">
        <f t="shared" si="42"/>
        <v>16.914556815769643</v>
      </c>
      <c r="D146" s="44">
        <f t="shared" si="43"/>
        <v>0.91884198069961498</v>
      </c>
      <c r="E146" s="47">
        <f t="shared" si="47"/>
        <v>-89.447467961466231</v>
      </c>
      <c r="F146" s="47">
        <f t="shared" si="48"/>
        <v>97.10089245358914</v>
      </c>
      <c r="G146" s="47">
        <f t="shared" si="41"/>
        <v>7.6534244921229089</v>
      </c>
      <c r="J146" s="47">
        <f t="shared" si="49"/>
        <v>-3.8116570007987169</v>
      </c>
      <c r="Q146" s="8">
        <f t="shared" si="44"/>
        <v>100</v>
      </c>
      <c r="R146" s="9">
        <f t="shared" si="45"/>
        <v>1.1386993076891736E-2</v>
      </c>
      <c r="S146" s="8">
        <f t="shared" si="50"/>
        <v>1</v>
      </c>
      <c r="T146" s="9">
        <f t="shared" si="51"/>
        <v>5.7917337661221771E-2</v>
      </c>
      <c r="U146" s="9">
        <f t="shared" si="52"/>
        <v>5.7140707650400781E-2</v>
      </c>
      <c r="V146" s="9">
        <f t="shared" si="53"/>
        <v>-3.0970440383467281E-2</v>
      </c>
    </row>
    <row r="147" spans="1:22">
      <c r="A147" s="8">
        <f t="shared" si="46"/>
        <v>0.68000000000000049</v>
      </c>
      <c r="B147" s="47">
        <f>B146*EXP((PL_r-0.5*Vol_a^2)*dt+Vol_a*SQRT(dt)*bs!A137)</f>
        <v>109.61038829355296</v>
      </c>
      <c r="C147" s="47">
        <f t="shared" si="42"/>
        <v>11.504908980952379</v>
      </c>
      <c r="D147" s="44">
        <f t="shared" si="43"/>
        <v>0.822310475255566</v>
      </c>
      <c r="E147" s="47">
        <f t="shared" si="47"/>
        <v>-78.62886150966628</v>
      </c>
      <c r="F147" s="47">
        <f t="shared" si="48"/>
        <v>86.529747234071721</v>
      </c>
      <c r="G147" s="47">
        <f t="shared" si="41"/>
        <v>7.9008857244054411</v>
      </c>
      <c r="J147" s="47">
        <f t="shared" si="49"/>
        <v>-10.58085579428343</v>
      </c>
      <c r="Q147" s="8">
        <f t="shared" si="44"/>
        <v>100</v>
      </c>
      <c r="R147" s="9">
        <f t="shared" si="45"/>
        <v>2.0988220054161771E-2</v>
      </c>
      <c r="S147" s="8">
        <f t="shared" si="50"/>
        <v>1</v>
      </c>
      <c r="T147" s="9">
        <f t="shared" si="51"/>
        <v>0.33022908926245587</v>
      </c>
      <c r="U147" s="9">
        <f t="shared" si="52"/>
        <v>0.32576837525797681</v>
      </c>
      <c r="V147" s="9">
        <f t="shared" si="53"/>
        <v>-5.3096003993546241E-2</v>
      </c>
    </row>
    <row r="148" spans="1:22">
      <c r="A148" s="8">
        <f t="shared" si="46"/>
        <v>0.6850000000000005</v>
      </c>
      <c r="B148" s="47">
        <f>B147*EXP((PL_r-0.5*Vol_a^2)*dt+Vol_a*SQRT(dt)*bs!A138)</f>
        <v>111.82032846543648</v>
      </c>
      <c r="C148" s="47">
        <f t="shared" si="42"/>
        <v>13.340434825142225</v>
      </c>
      <c r="D148" s="44">
        <f t="shared" si="43"/>
        <v>0.8659737925330897</v>
      </c>
      <c r="E148" s="47">
        <f t="shared" si="47"/>
        <v>-83.493039098367603</v>
      </c>
      <c r="F148" s="47">
        <f t="shared" si="48"/>
        <v>91.420847121321557</v>
      </c>
      <c r="G148" s="47">
        <f t="shared" si="41"/>
        <v>7.927808022953954</v>
      </c>
      <c r="J148" s="47">
        <f t="shared" si="49"/>
        <v>4.8824464798632681</v>
      </c>
      <c r="Q148" s="8">
        <f t="shared" si="44"/>
        <v>100</v>
      </c>
      <c r="R148" s="9">
        <f t="shared" si="45"/>
        <v>1.7212040496386024E-2</v>
      </c>
      <c r="S148" s="8">
        <f t="shared" si="50"/>
        <v>1</v>
      </c>
      <c r="T148" s="9">
        <f t="shared" si="51"/>
        <v>2.2220720712466963E-2</v>
      </c>
      <c r="U148" s="9">
        <f t="shared" si="52"/>
        <v>2.1918372651882005E-2</v>
      </c>
      <c r="V148" s="9">
        <f t="shared" si="53"/>
        <v>2.0161776691867632E-2</v>
      </c>
    </row>
    <row r="149" spans="1:22">
      <c r="A149" s="8">
        <f t="shared" si="46"/>
        <v>0.6900000000000005</v>
      </c>
      <c r="B149" s="47">
        <f>B148*EXP((PL_r-0.5*Vol_a^2)*dt+Vol_a*SQRT(dt)*bs!A139)</f>
        <v>108.72937444732116</v>
      </c>
      <c r="C149" s="47">
        <f t="shared" si="42"/>
        <v>10.71995132683314</v>
      </c>
      <c r="D149" s="44">
        <f t="shared" si="43"/>
        <v>0.80591203756812912</v>
      </c>
      <c r="E149" s="47">
        <f t="shared" si="47"/>
        <v>-76.906360377515526</v>
      </c>
      <c r="F149" s="47">
        <f t="shared" si="48"/>
        <v>84.899512617604714</v>
      </c>
      <c r="G149" s="47">
        <f t="shared" si="41"/>
        <v>7.9931522400891879</v>
      </c>
      <c r="J149" s="47">
        <f t="shared" si="49"/>
        <v>-6.5304770455484498</v>
      </c>
      <c r="Q149" s="8">
        <f t="shared" si="44"/>
        <v>100</v>
      </c>
      <c r="R149" s="9">
        <f t="shared" si="45"/>
        <v>2.270670303049422E-2</v>
      </c>
      <c r="S149" s="8">
        <f t="shared" si="50"/>
        <v>1</v>
      </c>
      <c r="T149" s="9">
        <f t="shared" si="51"/>
        <v>7.5712044053917793E-2</v>
      </c>
      <c r="U149" s="9">
        <f t="shared" si="52"/>
        <v>7.4674394098121252E-2</v>
      </c>
      <c r="V149" s="9">
        <f t="shared" si="53"/>
        <v>-2.7642147546281998E-2</v>
      </c>
    </row>
    <row r="150" spans="1:22">
      <c r="A150" s="8">
        <f t="shared" si="46"/>
        <v>0.69500000000000051</v>
      </c>
      <c r="B150" s="47">
        <f>B149*EXP((PL_r-0.5*Vol_a^2)*dt+Vol_a*SQRT(dt)*bs!A140)</f>
        <v>103.58366021272981</v>
      </c>
      <c r="C150" s="47">
        <f t="shared" si="42"/>
        <v>6.874291060308785</v>
      </c>
      <c r="D150" s="44">
        <f t="shared" si="43"/>
        <v>0.66612009073359424</v>
      </c>
      <c r="E150" s="47">
        <f t="shared" si="47"/>
        <v>-62.124866079112586</v>
      </c>
      <c r="F150" s="47">
        <f t="shared" si="48"/>
        <v>70.42784147199373</v>
      </c>
      <c r="G150" s="47">
        <f t="shared" si="41"/>
        <v>8.3029753928811445</v>
      </c>
      <c r="J150" s="47">
        <f t="shared" si="49"/>
        <v>-14.480161521384453</v>
      </c>
      <c r="Q150" s="8">
        <f t="shared" si="44"/>
        <v>100</v>
      </c>
      <c r="R150" s="9">
        <f t="shared" si="45"/>
        <v>3.1800433546262233E-2</v>
      </c>
      <c r="S150" s="8">
        <f t="shared" si="50"/>
        <v>1</v>
      </c>
      <c r="T150" s="9">
        <f t="shared" si="51"/>
        <v>0.34798482198221886</v>
      </c>
      <c r="U150" s="9">
        <f t="shared" si="52"/>
        <v>0.34318129481104698</v>
      </c>
      <c r="V150" s="9">
        <f t="shared" si="53"/>
        <v>-4.7325888342017688E-2</v>
      </c>
    </row>
    <row r="151" spans="1:22">
      <c r="A151" s="8">
        <f t="shared" si="46"/>
        <v>0.70000000000000051</v>
      </c>
      <c r="B151" s="47">
        <f>B150*EXP((PL_r-0.5*Vol_a^2)*dt+Vol_a*SQRT(dt)*bs!A141)</f>
        <v>103.57635572567207</v>
      </c>
      <c r="C151" s="47">
        <f t="shared" si="42"/>
        <v>6.8289551428930082</v>
      </c>
      <c r="D151" s="44">
        <f t="shared" si="43"/>
        <v>0.66651752048518842</v>
      </c>
      <c r="E151" s="47">
        <f t="shared" si="47"/>
        <v>-62.206500656273789</v>
      </c>
      <c r="F151" s="47">
        <f t="shared" si="48"/>
        <v>70.476048933618969</v>
      </c>
      <c r="G151" s="47">
        <f t="shared" si="41"/>
        <v>8.2695482773451801</v>
      </c>
      <c r="J151" s="47">
        <f t="shared" si="49"/>
        <v>4.1164325327084327E-2</v>
      </c>
      <c r="Q151" s="8">
        <f t="shared" si="44"/>
        <v>100</v>
      </c>
      <c r="R151" s="9">
        <f t="shared" si="45"/>
        <v>3.2051549570022139E-2</v>
      </c>
      <c r="S151" s="8">
        <f t="shared" si="50"/>
        <v>-1</v>
      </c>
      <c r="T151" s="9">
        <f t="shared" si="51"/>
        <v>-3.4384244441750304E-2</v>
      </c>
      <c r="U151" s="9">
        <f t="shared" si="52"/>
        <v>-3.3906219005343935E-2</v>
      </c>
      <c r="V151" s="9">
        <f t="shared" si="53"/>
        <v>-7.0517753888368551E-5</v>
      </c>
    </row>
    <row r="152" spans="1:22">
      <c r="A152" s="8">
        <f t="shared" si="46"/>
        <v>0.70500000000000052</v>
      </c>
      <c r="B152" s="47">
        <f>B151*EXP((PL_r-0.5*Vol_a^2)*dt+Vol_a*SQRT(dt)*bs!A142)</f>
        <v>103.84333504838177</v>
      </c>
      <c r="C152" s="47">
        <f t="shared" si="42"/>
        <v>6.967480057287581</v>
      </c>
      <c r="D152" s="44">
        <f t="shared" si="43"/>
        <v>0.67573516371112752</v>
      </c>
      <c r="E152" s="47">
        <f t="shared" si="47"/>
        <v>-63.203112951940149</v>
      </c>
      <c r="F152" s="47">
        <f t="shared" si="48"/>
        <v>71.440287704771961</v>
      </c>
      <c r="G152" s="47">
        <f t="shared" si="41"/>
        <v>8.2371747528318124</v>
      </c>
      <c r="J152" s="47">
        <f t="shared" si="49"/>
        <v>0.95719081386764038</v>
      </c>
      <c r="Q152" s="8">
        <f t="shared" si="44"/>
        <v>100</v>
      </c>
      <c r="R152" s="9">
        <f t="shared" si="45"/>
        <v>3.1876905889261238E-2</v>
      </c>
      <c r="S152" s="8">
        <f t="shared" si="50"/>
        <v>-1</v>
      </c>
      <c r="T152" s="9">
        <f t="shared" si="51"/>
        <v>-3.3232339996580637E-2</v>
      </c>
      <c r="U152" s="9">
        <f t="shared" si="52"/>
        <v>-3.2767051991696758E-2</v>
      </c>
      <c r="V152" s="9">
        <f t="shared" si="53"/>
        <v>2.5776087683255797E-3</v>
      </c>
    </row>
    <row r="153" spans="1:22">
      <c r="A153" s="8">
        <f t="shared" si="46"/>
        <v>0.71000000000000052</v>
      </c>
      <c r="B153" s="47">
        <f>B152*EXP((PL_r-0.5*Vol_a^2)*dt+Vol_a*SQRT(dt)*bs!A143)</f>
        <v>105.85374995981108</v>
      </c>
      <c r="C153" s="47">
        <f t="shared" si="42"/>
        <v>8.3492570454449151</v>
      </c>
      <c r="D153" s="44">
        <f t="shared" si="43"/>
        <v>0.73757838930543684</v>
      </c>
      <c r="E153" s="47">
        <f t="shared" si="47"/>
        <v>-69.726181351852986</v>
      </c>
      <c r="F153" s="47">
        <f t="shared" si="48"/>
        <v>77.993769429523994</v>
      </c>
      <c r="G153" s="47">
        <f t="shared" si="41"/>
        <v>8.2675880776710073</v>
      </c>
      <c r="J153" s="47">
        <f t="shared" si="49"/>
        <v>6.5463373387682084</v>
      </c>
      <c r="Q153" s="8">
        <f t="shared" si="44"/>
        <v>100</v>
      </c>
      <c r="R153" s="9">
        <f t="shared" si="45"/>
        <v>2.8586961312890527E-2</v>
      </c>
      <c r="S153" s="8">
        <f t="shared" si="50"/>
        <v>1</v>
      </c>
      <c r="T153" s="9">
        <f t="shared" si="51"/>
        <v>2.7997750098430439E-2</v>
      </c>
      <c r="U153" s="9">
        <f t="shared" si="52"/>
        <v>2.7602991466557609E-2</v>
      </c>
      <c r="V153" s="9">
        <f t="shared" si="53"/>
        <v>1.9360076508450282E-2</v>
      </c>
    </row>
    <row r="154" spans="1:22">
      <c r="A154" s="8">
        <f t="shared" si="46"/>
        <v>0.71500000000000052</v>
      </c>
      <c r="B154" s="47">
        <f>B153*EXP((PL_r-0.5*Vol_a^2)*dt+Vol_a*SQRT(dt)*bs!A144)</f>
        <v>108.77885341085263</v>
      </c>
      <c r="C154" s="47">
        <f t="shared" si="42"/>
        <v>10.586102872317753</v>
      </c>
      <c r="D154" s="44">
        <f t="shared" si="43"/>
        <v>0.81457373778292996</v>
      </c>
      <c r="E154" s="47">
        <f t="shared" si="47"/>
        <v>-78.02229434230189</v>
      </c>
      <c r="F154" s="47">
        <f t="shared" si="48"/>
        <v>86.377034921799535</v>
      </c>
      <c r="G154" s="47">
        <f t="shared" si="41"/>
        <v>8.3547405794976441</v>
      </c>
      <c r="J154" s="47">
        <f t="shared" si="49"/>
        <v>8.3754657253507396</v>
      </c>
      <c r="Q154" s="8">
        <f t="shared" si="44"/>
        <v>100</v>
      </c>
      <c r="R154" s="9">
        <f t="shared" si="45"/>
        <v>2.3015500444237606E-2</v>
      </c>
      <c r="S154" s="8">
        <f t="shared" si="50"/>
        <v>1</v>
      </c>
      <c r="T154" s="9">
        <f t="shared" si="51"/>
        <v>7.6746016954004501E-2</v>
      </c>
      <c r="U154" s="9">
        <f t="shared" si="52"/>
        <v>7.5656358537861831E-2</v>
      </c>
      <c r="V154" s="9">
        <f t="shared" si="53"/>
        <v>2.7633441915398453E-2</v>
      </c>
    </row>
    <row r="155" spans="1:22">
      <c r="A155" s="8">
        <f t="shared" si="46"/>
        <v>0.72000000000000053</v>
      </c>
      <c r="B155" s="47">
        <f>B154*EXP((PL_r-0.5*Vol_a^2)*dt+Vol_a*SQRT(dt)*bs!A145)</f>
        <v>108.39762769322348</v>
      </c>
      <c r="C155" s="47">
        <f t="shared" si="42"/>
        <v>10.241554401117568</v>
      </c>
      <c r="D155" s="44">
        <f t="shared" si="43"/>
        <v>0.80723958822834463</v>
      </c>
      <c r="E155" s="47">
        <f t="shared" si="47"/>
        <v>-77.26130194288956</v>
      </c>
      <c r="F155" s="47">
        <f t="shared" si="48"/>
        <v>85.590668644326925</v>
      </c>
      <c r="G155" s="47">
        <f t="shared" si="41"/>
        <v>8.3293667014373654</v>
      </c>
      <c r="J155" s="47">
        <f t="shared" si="49"/>
        <v>-0.79500441286436185</v>
      </c>
      <c r="Q155" s="8">
        <f t="shared" si="44"/>
        <v>100</v>
      </c>
      <c r="R155" s="9">
        <f t="shared" si="45"/>
        <v>2.3865167094374719E-2</v>
      </c>
      <c r="S155" s="8">
        <f t="shared" si="50"/>
        <v>-1</v>
      </c>
      <c r="T155" s="9">
        <f t="shared" si="51"/>
        <v>-2.6319615665108258E-2</v>
      </c>
      <c r="U155" s="9">
        <f t="shared" si="52"/>
        <v>-2.5943328965976137E-2</v>
      </c>
      <c r="V155" s="9">
        <f t="shared" si="53"/>
        <v>-3.5045940058705889E-3</v>
      </c>
    </row>
    <row r="156" spans="1:22">
      <c r="A156" s="8">
        <f t="shared" si="46"/>
        <v>0.72500000000000053</v>
      </c>
      <c r="B156" s="47">
        <f>B155*EXP((PL_r-0.5*Vol_a^2)*dt+Vol_a*SQRT(dt)*bs!A146)</f>
        <v>103.95340412501467</v>
      </c>
      <c r="C156" s="47">
        <f t="shared" si="42"/>
        <v>6.8773843282886276</v>
      </c>
      <c r="D156" s="44">
        <f t="shared" si="43"/>
        <v>0.68245070782809969</v>
      </c>
      <c r="E156" s="47">
        <f t="shared" si="47"/>
        <v>-64.065689897968127</v>
      </c>
      <c r="F156" s="47">
        <f t="shared" si="48"/>
        <v>72.626999224604177</v>
      </c>
      <c r="G156" s="47">
        <f t="shared" si="41"/>
        <v>8.5613093266360494</v>
      </c>
      <c r="J156" s="47">
        <f t="shared" si="49"/>
        <v>-12.972228914554785</v>
      </c>
      <c r="Q156" s="8">
        <f t="shared" si="44"/>
        <v>100</v>
      </c>
      <c r="R156" s="9">
        <f t="shared" si="45"/>
        <v>3.2694243708639679E-2</v>
      </c>
      <c r="S156" s="8">
        <f t="shared" si="50"/>
        <v>1</v>
      </c>
      <c r="T156" s="9">
        <f t="shared" si="51"/>
        <v>0.26161113660005159</v>
      </c>
      <c r="U156" s="9">
        <f t="shared" si="52"/>
        <v>0.25784514454483903</v>
      </c>
      <c r="V156" s="9">
        <f t="shared" si="53"/>
        <v>-4.0999269659170272E-2</v>
      </c>
    </row>
    <row r="157" spans="1:22">
      <c r="A157" s="8">
        <f t="shared" si="46"/>
        <v>0.73000000000000054</v>
      </c>
      <c r="B157" s="47">
        <f>B156*EXP((PL_r-0.5*Vol_a^2)*dt+Vol_a*SQRT(dt)*bs!A147)</f>
        <v>100.3463794456667</v>
      </c>
      <c r="C157" s="47">
        <f t="shared" si="42"/>
        <v>4.5975585082234502</v>
      </c>
      <c r="D157" s="44">
        <f t="shared" si="43"/>
        <v>0.55456202528783605</v>
      </c>
      <c r="E157" s="47">
        <f t="shared" si="47"/>
        <v>-51.050732907467157</v>
      </c>
      <c r="F157" s="47">
        <f t="shared" si="48"/>
        <v>59.801096022682032</v>
      </c>
      <c r="G157" s="47">
        <f t="shared" si="41"/>
        <v>8.7503631152148742</v>
      </c>
      <c r="J157" s="47">
        <f t="shared" si="49"/>
        <v>-12.833166264991705</v>
      </c>
      <c r="Q157" s="8">
        <f t="shared" si="44"/>
        <v>100</v>
      </c>
      <c r="R157" s="9">
        <f t="shared" si="45"/>
        <v>3.7897380095451273E-2</v>
      </c>
      <c r="S157" s="8">
        <f t="shared" si="50"/>
        <v>1</v>
      </c>
      <c r="T157" s="9">
        <f t="shared" si="51"/>
        <v>0.19156205865528408</v>
      </c>
      <c r="U157" s="9">
        <f t="shared" si="52"/>
        <v>0.18878557028354387</v>
      </c>
      <c r="V157" s="9">
        <f t="shared" si="53"/>
        <v>-3.4698475819129056E-2</v>
      </c>
    </row>
    <row r="158" spans="1:22">
      <c r="A158" s="8">
        <f t="shared" si="46"/>
        <v>0.73500000000000054</v>
      </c>
      <c r="B158" s="47">
        <f>B157*EXP((PL_r-0.5*Vol_a^2)*dt+Vol_a*SQRT(dt)*bs!A148)</f>
        <v>100.01239930434879</v>
      </c>
      <c r="C158" s="47">
        <f t="shared" si="42"/>
        <v>4.3711326503735037</v>
      </c>
      <c r="D158" s="44">
        <f t="shared" si="43"/>
        <v>0.54147908377829845</v>
      </c>
      <c r="E158" s="47">
        <f t="shared" si="47"/>
        <v>-49.783489691414616</v>
      </c>
      <c r="F158" s="47">
        <f t="shared" si="48"/>
        <v>58.498620060972435</v>
      </c>
      <c r="G158" s="47">
        <f t="shared" si="41"/>
        <v>8.7151303695578193</v>
      </c>
      <c r="J158" s="47">
        <f t="shared" si="49"/>
        <v>-1.3084563703273135</v>
      </c>
      <c r="Q158" s="8">
        <f t="shared" si="44"/>
        <v>100</v>
      </c>
      <c r="R158" s="9">
        <f t="shared" si="45"/>
        <v>3.8534290661757273E-2</v>
      </c>
      <c r="S158" s="8">
        <f t="shared" si="50"/>
        <v>-1</v>
      </c>
      <c r="T158" s="9">
        <f t="shared" si="51"/>
        <v>-3.6409018983648178E-2</v>
      </c>
      <c r="U158" s="9">
        <f t="shared" si="52"/>
        <v>-3.5877721011993977E-2</v>
      </c>
      <c r="V158" s="9">
        <f t="shared" si="53"/>
        <v>-3.3282729597508293E-3</v>
      </c>
    </row>
    <row r="159" spans="1:22">
      <c r="A159" s="8">
        <f t="shared" si="46"/>
        <v>0.74000000000000055</v>
      </c>
      <c r="B159" s="47">
        <f>B158*EXP((PL_r-0.5*Vol_a^2)*dt+Vol_a*SQRT(dt)*bs!A149)</f>
        <v>104.40408824914239</v>
      </c>
      <c r="C159" s="47">
        <f t="shared" si="42"/>
        <v>7.0629844904289456</v>
      </c>
      <c r="D159" s="44">
        <f t="shared" si="43"/>
        <v>0.70006847167280373</v>
      </c>
      <c r="E159" s="47">
        <f t="shared" si="47"/>
        <v>-66.027026006540694</v>
      </c>
      <c r="F159" s="47">
        <f t="shared" si="48"/>
        <v>75.06185066459679</v>
      </c>
      <c r="G159" s="47">
        <f t="shared" si="41"/>
        <v>9.0348246580560954</v>
      </c>
      <c r="J159" s="47">
        <f t="shared" si="49"/>
        <v>16.557380449115403</v>
      </c>
      <c r="Q159" s="8">
        <f t="shared" si="44"/>
        <v>100</v>
      </c>
      <c r="R159" s="9">
        <f t="shared" si="45"/>
        <v>3.2652500491994682E-2</v>
      </c>
      <c r="S159" s="8">
        <f t="shared" si="50"/>
        <v>1</v>
      </c>
      <c r="T159" s="9">
        <f t="shared" si="51"/>
        <v>0.30755247340025993</v>
      </c>
      <c r="U159" s="9">
        <f t="shared" si="52"/>
        <v>0.30303421438364586</v>
      </c>
      <c r="V159" s="9">
        <f t="shared" si="53"/>
        <v>4.3911444734259446E-2</v>
      </c>
    </row>
    <row r="160" spans="1:22">
      <c r="A160" s="8">
        <f t="shared" si="46"/>
        <v>0.74500000000000055</v>
      </c>
      <c r="B160" s="47">
        <f>B159*EXP((PL_r-0.5*Vol_a^2)*dt+Vol_a*SQRT(dt)*bs!A150)</f>
        <v>102.25306839854956</v>
      </c>
      <c r="C160" s="47">
        <f t="shared" si="42"/>
        <v>5.5916685754099902</v>
      </c>
      <c r="D160" s="44">
        <f t="shared" si="43"/>
        <v>0.6261243462180377</v>
      </c>
      <c r="E160" s="47">
        <f t="shared" si="47"/>
        <v>-58.431467024420137</v>
      </c>
      <c r="F160" s="47">
        <f t="shared" si="48"/>
        <v>67.508343507187888</v>
      </c>
      <c r="G160" s="47">
        <f t="shared" si="41"/>
        <v>9.0768764827677515</v>
      </c>
      <c r="J160" s="47">
        <f t="shared" si="49"/>
        <v>-7.5610137177971204</v>
      </c>
      <c r="Q160" s="8">
        <f t="shared" si="44"/>
        <v>100</v>
      </c>
      <c r="R160" s="9">
        <f t="shared" si="45"/>
        <v>3.6683773190351175E-2</v>
      </c>
      <c r="S160" s="8">
        <f t="shared" si="50"/>
        <v>1</v>
      </c>
      <c r="T160" s="9">
        <f t="shared" si="51"/>
        <v>4.3049480487950285E-2</v>
      </c>
      <c r="U160" s="9">
        <f t="shared" si="52"/>
        <v>4.2412798290160994E-2</v>
      </c>
      <c r="V160" s="9">
        <f t="shared" si="53"/>
        <v>-2.060283161957981E-2</v>
      </c>
    </row>
    <row r="161" spans="1:22">
      <c r="A161" s="8">
        <f t="shared" si="46"/>
        <v>0.75000000000000056</v>
      </c>
      <c r="B161" s="47">
        <f>B160*EXP((PL_r-0.5*Vol_a^2)*dt+Vol_a*SQRT(dt)*bs!A151)</f>
        <v>102.50465722293058</v>
      </c>
      <c r="C161" s="47">
        <f t="shared" si="42"/>
        <v>5.7060930037908193</v>
      </c>
      <c r="D161" s="44">
        <f t="shared" si="43"/>
        <v>0.63584718715445543</v>
      </c>
      <c r="E161" s="47">
        <f t="shared" si="47"/>
        <v>-59.471204961641213</v>
      </c>
      <c r="F161" s="47">
        <f t="shared" si="48"/>
        <v>68.511731156512155</v>
      </c>
      <c r="G161" s="47">
        <f t="shared" si="41"/>
        <v>9.0405261948709423</v>
      </c>
      <c r="J161" s="47">
        <f t="shared" si="49"/>
        <v>0.99663647742057693</v>
      </c>
      <c r="Q161" s="8">
        <f t="shared" si="44"/>
        <v>100</v>
      </c>
      <c r="R161" s="9">
        <f t="shared" si="45"/>
        <v>3.6640603652760652E-2</v>
      </c>
      <c r="S161" s="8">
        <f t="shared" si="50"/>
        <v>-1</v>
      </c>
      <c r="T161" s="9">
        <f t="shared" si="51"/>
        <v>-3.7333700105599721E-2</v>
      </c>
      <c r="U161" s="9">
        <f t="shared" si="52"/>
        <v>-3.6777873723586409E-2</v>
      </c>
      <c r="V161" s="9">
        <f t="shared" si="53"/>
        <v>2.4604525646155129E-3</v>
      </c>
    </row>
    <row r="162" spans="1:22">
      <c r="A162" s="8">
        <f t="shared" si="46"/>
        <v>0.75500000000000056</v>
      </c>
      <c r="B162" s="47">
        <f>B161*EXP((PL_r-0.5*Vol_a^2)*dt+Vol_a*SQRT(dt)*bs!A152)</f>
        <v>101.08043113794071</v>
      </c>
      <c r="C162" s="47">
        <f t="shared" si="42"/>
        <v>4.7933107528305925</v>
      </c>
      <c r="D162" s="44">
        <f t="shared" si="43"/>
        <v>0.58220963778922363</v>
      </c>
      <c r="E162" s="47">
        <f t="shared" si="47"/>
        <v>-54.056690447568428</v>
      </c>
      <c r="F162" s="47">
        <f t="shared" si="48"/>
        <v>63.096876057177674</v>
      </c>
      <c r="G162" s="47">
        <f t="shared" si="41"/>
        <v>9.0401856096092459</v>
      </c>
      <c r="J162" s="47">
        <f t="shared" si="49"/>
        <v>-5.4217066150202076</v>
      </c>
      <c r="Q162" s="8">
        <f t="shared" si="44"/>
        <v>100</v>
      </c>
      <c r="R162" s="9">
        <f t="shared" si="45"/>
        <v>3.9018981604994903E-2</v>
      </c>
      <c r="S162" s="8">
        <f t="shared" si="50"/>
        <v>-1</v>
      </c>
      <c r="T162" s="9">
        <f t="shared" si="51"/>
        <v>-1.38529013639604E-3</v>
      </c>
      <c r="U162" s="9">
        <f t="shared" si="52"/>
        <v>-1.3645293934158782E-3</v>
      </c>
      <c r="V162" s="9">
        <f t="shared" si="53"/>
        <v>-1.3894257330107584E-2</v>
      </c>
    </row>
    <row r="163" spans="1:22">
      <c r="A163" s="8">
        <f t="shared" si="46"/>
        <v>0.76000000000000056</v>
      </c>
      <c r="B163" s="47">
        <f>B162*EXP((PL_r-0.5*Vol_a^2)*dt+Vol_a*SQRT(dt)*bs!A153)</f>
        <v>99.019261284243058</v>
      </c>
      <c r="C163" s="47">
        <f t="shared" si="42"/>
        <v>3.6329614241146118</v>
      </c>
      <c r="D163" s="44">
        <f t="shared" si="43"/>
        <v>0.49895847559343454</v>
      </c>
      <c r="E163" s="47">
        <f t="shared" si="47"/>
        <v>-45.773538240659292</v>
      </c>
      <c r="F163" s="47">
        <f t="shared" si="48"/>
        <v>54.859717478596551</v>
      </c>
      <c r="G163" s="47">
        <f t="shared" si="41"/>
        <v>9.0861792379372588</v>
      </c>
      <c r="J163" s="47">
        <f t="shared" si="49"/>
        <v>-8.2434685816817392</v>
      </c>
      <c r="Q163" s="8">
        <f t="shared" si="44"/>
        <v>100</v>
      </c>
      <c r="R163" s="9">
        <f t="shared" si="45"/>
        <v>4.1120017511848413E-2</v>
      </c>
      <c r="S163" s="8">
        <f t="shared" si="50"/>
        <v>1</v>
      </c>
      <c r="T163" s="9">
        <f t="shared" si="51"/>
        <v>4.3504207577623438E-2</v>
      </c>
      <c r="U163" s="9">
        <f t="shared" si="52"/>
        <v>4.284794386189849E-2</v>
      </c>
      <c r="V163" s="9">
        <f t="shared" si="53"/>
        <v>-2.0391383678259614E-2</v>
      </c>
    </row>
    <row r="164" spans="1:22">
      <c r="A164" s="8">
        <f t="shared" si="46"/>
        <v>0.76500000000000057</v>
      </c>
      <c r="B164" s="47">
        <f>B163*EXP((PL_r-0.5*Vol_a^2)*dt+Vol_a*SQRT(dt)*bs!A154)</f>
        <v>100.65724617095428</v>
      </c>
      <c r="C164" s="47">
        <f t="shared" si="42"/>
        <v>4.4590886979158526</v>
      </c>
      <c r="D164" s="44">
        <f t="shared" si="43"/>
        <v>0.56533971648149739</v>
      </c>
      <c r="E164" s="47">
        <f t="shared" si="47"/>
        <v>-52.446450314179728</v>
      </c>
      <c r="F164" s="47">
        <f t="shared" si="48"/>
        <v>61.546956629855302</v>
      </c>
      <c r="G164" s="47">
        <f t="shared" si="41"/>
        <v>9.1005063156755739</v>
      </c>
      <c r="J164" s="47">
        <f t="shared" si="49"/>
        <v>6.6817529052031581</v>
      </c>
      <c r="Q164" s="8">
        <f t="shared" si="44"/>
        <v>100</v>
      </c>
      <c r="R164" s="9">
        <f t="shared" si="45"/>
        <v>4.0329561406691819E-2</v>
      </c>
      <c r="S164" s="8">
        <f t="shared" si="50"/>
        <v>1</v>
      </c>
      <c r="T164" s="9">
        <f t="shared" si="51"/>
        <v>1.5045286922686049E-2</v>
      </c>
      <c r="U164" s="9">
        <f t="shared" si="52"/>
        <v>1.4816846061648599E-2</v>
      </c>
      <c r="V164" s="9">
        <f t="shared" si="53"/>
        <v>1.6542083484234957E-2</v>
      </c>
    </row>
    <row r="165" spans="1:22">
      <c r="A165" s="8">
        <f t="shared" si="46"/>
        <v>0.77000000000000057</v>
      </c>
      <c r="B165" s="47">
        <f>B164*EXP((PL_r-0.5*Vol_a^2)*dt+Vol_a*SQRT(dt)*bs!A155)</f>
        <v>101.39941212993089</v>
      </c>
      <c r="C165" s="47">
        <f t="shared" si="42"/>
        <v>4.8433935389890763</v>
      </c>
      <c r="D165" s="44">
        <f t="shared" si="43"/>
        <v>0.59514643213617402</v>
      </c>
      <c r="E165" s="47">
        <f t="shared" si="47"/>
        <v>-55.50410481084478</v>
      </c>
      <c r="F165" s="47">
        <f t="shared" si="48"/>
        <v>64.575495078171556</v>
      </c>
      <c r="G165" s="47">
        <f t="shared" si="41"/>
        <v>9.0713902673267768</v>
      </c>
      <c r="J165" s="47">
        <f t="shared" si="49"/>
        <v>3.0223834449082188</v>
      </c>
      <c r="Q165" s="8">
        <f t="shared" si="44"/>
        <v>100</v>
      </c>
      <c r="R165" s="9">
        <f t="shared" si="45"/>
        <v>3.9846400567554001E-2</v>
      </c>
      <c r="S165" s="8">
        <f t="shared" si="50"/>
        <v>-1</v>
      </c>
      <c r="T165" s="9">
        <f t="shared" si="51"/>
        <v>-2.9833108337116651E-2</v>
      </c>
      <c r="U165" s="9">
        <f t="shared" si="52"/>
        <v>-2.9377197988680586E-2</v>
      </c>
      <c r="V165" s="9">
        <f t="shared" si="53"/>
        <v>7.3731995182555821E-3</v>
      </c>
    </row>
    <row r="166" spans="1:22">
      <c r="A166" s="8">
        <f t="shared" si="46"/>
        <v>0.77500000000000058</v>
      </c>
      <c r="B166" s="47">
        <f>B165*EXP((PL_r-0.5*Vol_a^2)*dt+Vol_a*SQRT(dt)*bs!A156)</f>
        <v>98.74836284098437</v>
      </c>
      <c r="C166" s="47">
        <f t="shared" si="42"/>
        <v>3.3634221676338143</v>
      </c>
      <c r="D166" s="44">
        <f t="shared" si="43"/>
        <v>0.48488427363612063</v>
      </c>
      <c r="E166" s="47">
        <f t="shared" si="47"/>
        <v>-44.518106021272978</v>
      </c>
      <c r="F166" s="47">
        <f t="shared" si="48"/>
        <v>53.693745315374208</v>
      </c>
      <c r="G166" s="47">
        <f t="shared" si="41"/>
        <v>9.1756392941012308</v>
      </c>
      <c r="J166" s="47">
        <f t="shared" si="49"/>
        <v>-10.888207635193401</v>
      </c>
      <c r="Q166" s="8">
        <f t="shared" si="44"/>
        <v>100</v>
      </c>
      <c r="R166" s="9">
        <f t="shared" si="45"/>
        <v>4.2554650102264668E-2</v>
      </c>
      <c r="S166" s="8">
        <f t="shared" si="50"/>
        <v>1</v>
      </c>
      <c r="T166" s="9">
        <f t="shared" si="51"/>
        <v>0.10032527719229885</v>
      </c>
      <c r="U166" s="9">
        <f t="shared" si="52"/>
        <v>9.8782224943812169E-2</v>
      </c>
      <c r="V166" s="9">
        <f t="shared" si="53"/>
        <v>-2.6144621879558138E-2</v>
      </c>
    </row>
    <row r="167" spans="1:22">
      <c r="A167" s="8">
        <f t="shared" si="46"/>
        <v>0.78000000000000058</v>
      </c>
      <c r="B167" s="47">
        <f>B166*EXP((PL_r-0.5*Vol_a^2)*dt+Vol_a*SQRT(dt)*bs!A157)</f>
        <v>102.46494702748319</v>
      </c>
      <c r="C167" s="47">
        <f t="shared" si="42"/>
        <v>5.4068827894146949</v>
      </c>
      <c r="D167" s="44">
        <f t="shared" si="43"/>
        <v>0.63810051122530864</v>
      </c>
      <c r="E167" s="47">
        <f t="shared" si="47"/>
        <v>-59.976052291496501</v>
      </c>
      <c r="F167" s="47">
        <f t="shared" si="48"/>
        <v>69.398408626709852</v>
      </c>
      <c r="G167" s="47">
        <f t="shared" si="41"/>
        <v>9.422356335213351</v>
      </c>
      <c r="J167" s="47">
        <f t="shared" si="49"/>
        <v>15.699293668326428</v>
      </c>
      <c r="Q167" s="8">
        <f t="shared" si="44"/>
        <v>100</v>
      </c>
      <c r="R167" s="9">
        <f t="shared" si="45"/>
        <v>3.8992013102663849E-2</v>
      </c>
      <c r="S167" s="8">
        <f t="shared" si="50"/>
        <v>1</v>
      </c>
      <c r="T167" s="9">
        <f t="shared" si="51"/>
        <v>0.2490129184344442</v>
      </c>
      <c r="U167" s="9">
        <f t="shared" si="52"/>
        <v>0.24515845985191362</v>
      </c>
      <c r="V167" s="9">
        <f t="shared" si="53"/>
        <v>3.7636919535402116E-2</v>
      </c>
    </row>
    <row r="168" spans="1:22">
      <c r="A168" s="8">
        <f t="shared" si="46"/>
        <v>0.78500000000000059</v>
      </c>
      <c r="B168" s="47">
        <f>B167*EXP((PL_r-0.5*Vol_a^2)*dt+Vol_a*SQRT(dt)*bs!A158)</f>
        <v>98.802682583055358</v>
      </c>
      <c r="C168" s="47">
        <f t="shared" si="42"/>
        <v>3.2968938201964519</v>
      </c>
      <c r="D168" s="44">
        <f t="shared" si="43"/>
        <v>0.48518143956668969</v>
      </c>
      <c r="E168" s="47">
        <f t="shared" si="47"/>
        <v>-44.640333948501045</v>
      </c>
      <c r="F168" s="47">
        <f t="shared" si="48"/>
        <v>54.296534316594105</v>
      </c>
      <c r="G168" s="47">
        <f t="shared" si="41"/>
        <v>9.6562003680930601</v>
      </c>
      <c r="J168" s="47">
        <f t="shared" si="49"/>
        <v>-15.108814497982026</v>
      </c>
      <c r="Q168" s="8">
        <f t="shared" si="44"/>
        <v>100</v>
      </c>
      <c r="R168" s="9">
        <f t="shared" si="45"/>
        <v>4.3510329185048123E-2</v>
      </c>
      <c r="S168" s="8">
        <f t="shared" si="50"/>
        <v>1</v>
      </c>
      <c r="T168" s="9">
        <f t="shared" si="51"/>
        <v>0.22882460563470761</v>
      </c>
      <c r="U168" s="9">
        <f t="shared" si="52"/>
        <v>0.22526011380444208</v>
      </c>
      <c r="V168" s="9">
        <f t="shared" si="53"/>
        <v>-3.5741632145142664E-2</v>
      </c>
    </row>
    <row r="169" spans="1:22">
      <c r="A169" s="8">
        <f t="shared" si="46"/>
        <v>0.79000000000000059</v>
      </c>
      <c r="B169" s="47">
        <f>B168*EXP((PL_r-0.5*Vol_a^2)*dt+Vol_a*SQRT(dt)*bs!A159)</f>
        <v>95.227008457818542</v>
      </c>
      <c r="C169" s="47">
        <f t="shared" si="42"/>
        <v>1.7982412834086077</v>
      </c>
      <c r="D169" s="44">
        <f t="shared" si="43"/>
        <v>0.32925800154312934</v>
      </c>
      <c r="E169" s="47">
        <f t="shared" si="47"/>
        <v>-29.556013214343402</v>
      </c>
      <c r="F169" s="47">
        <f t="shared" si="48"/>
        <v>39.453841690075762</v>
      </c>
      <c r="G169" s="47">
        <f t="shared" si="41"/>
        <v>9.8978284757323607</v>
      </c>
      <c r="J169" s="47">
        <f t="shared" si="49"/>
        <v>-14.848122551441726</v>
      </c>
      <c r="Q169" s="8">
        <f t="shared" si="44"/>
        <v>100</v>
      </c>
      <c r="R169" s="9">
        <f t="shared" si="45"/>
        <v>4.1456690113087891E-2</v>
      </c>
      <c r="S169" s="8">
        <f t="shared" si="50"/>
        <v>1</v>
      </c>
      <c r="T169" s="9">
        <f t="shared" si="51"/>
        <v>0.20859228649036241</v>
      </c>
      <c r="U169" s="9">
        <f t="shared" si="52"/>
        <v>0.20532242826744329</v>
      </c>
      <c r="V169" s="9">
        <f t="shared" si="53"/>
        <v>-3.6190051036630894E-2</v>
      </c>
    </row>
    <row r="170" spans="1:22">
      <c r="A170" s="8">
        <f t="shared" si="46"/>
        <v>0.7950000000000006</v>
      </c>
      <c r="B170" s="47">
        <f>B169*EXP((PL_r-0.5*Vol_a^2)*dt+Vol_a*SQRT(dt)*bs!A160)</f>
        <v>93.846150173475792</v>
      </c>
      <c r="C170" s="47">
        <f t="shared" si="42"/>
        <v>1.3456822271259483</v>
      </c>
      <c r="D170" s="44">
        <f t="shared" si="43"/>
        <v>0.27065441735862927</v>
      </c>
      <c r="E170" s="47">
        <f t="shared" si="47"/>
        <v>-24.054192869426569</v>
      </c>
      <c r="F170" s="47">
        <f t="shared" si="48"/>
        <v>33.958066509438034</v>
      </c>
      <c r="G170" s="47">
        <f t="shared" si="41"/>
        <v>9.9038736400114651</v>
      </c>
      <c r="J170" s="47">
        <f t="shared" si="49"/>
        <v>-5.4997207620825241</v>
      </c>
      <c r="Q170" s="8">
        <f t="shared" si="44"/>
        <v>100</v>
      </c>
      <c r="R170" s="9">
        <f t="shared" si="45"/>
        <v>3.8955150268463572E-2</v>
      </c>
      <c r="S170" s="8">
        <f t="shared" si="50"/>
        <v>1</v>
      </c>
      <c r="T170" s="9">
        <f t="shared" si="51"/>
        <v>1.7617772496900965E-3</v>
      </c>
      <c r="U170" s="9">
        <f t="shared" si="52"/>
        <v>1.7339865132535673E-3</v>
      </c>
      <c r="V170" s="9">
        <f t="shared" si="53"/>
        <v>-1.450070002938726E-2</v>
      </c>
    </row>
    <row r="171" spans="1:22">
      <c r="A171" s="8">
        <f t="shared" si="46"/>
        <v>0.8000000000000006</v>
      </c>
      <c r="B171" s="47">
        <f>B170*EXP((PL_r-0.5*Vol_a^2)*dt+Vol_a*SQRT(dt)*bs!A161)</f>
        <v>93.678043081293325</v>
      </c>
      <c r="C171" s="47">
        <f t="shared" si="42"/>
        <v>1.2644709984276723</v>
      </c>
      <c r="D171" s="44">
        <f t="shared" si="43"/>
        <v>0.26085726838757806</v>
      </c>
      <c r="E171" s="47">
        <f t="shared" si="47"/>
        <v>-23.172127427652359</v>
      </c>
      <c r="F171" s="47">
        <f t="shared" si="48"/>
        <v>33.043684742500986</v>
      </c>
      <c r="G171" s="47">
        <f t="shared" si="41"/>
        <v>9.8715573148486264</v>
      </c>
      <c r="J171" s="47">
        <f t="shared" si="49"/>
        <v>-0.91777774338398455</v>
      </c>
      <c r="Q171" s="8">
        <f t="shared" si="44"/>
        <v>100</v>
      </c>
      <c r="R171" s="9">
        <f t="shared" ref="R171:R202" si="54">CallGamma(B171,$E$6,0,PL_r, PL_K, PL_T-A171)</f>
        <v>3.8778215728508793E-2</v>
      </c>
      <c r="S171" s="8">
        <f t="shared" si="50"/>
        <v>-1</v>
      </c>
      <c r="T171" s="9">
        <f t="shared" si="51"/>
        <v>-3.3484142181786011E-2</v>
      </c>
      <c r="U171" s="9">
        <f t="shared" si="52"/>
        <v>-3.2952659109711194E-2</v>
      </c>
      <c r="V171" s="9">
        <f t="shared" si="53"/>
        <v>-1.7913051507357405E-3</v>
      </c>
    </row>
    <row r="172" spans="1:22">
      <c r="A172" s="8">
        <f t="shared" ref="A172:A203" si="55">A171+dt</f>
        <v>0.8050000000000006</v>
      </c>
      <c r="B172" s="47">
        <f>B171*EXP((PL_r-0.5*Vol_a^2)*dt+Vol_a*SQRT(dt)*bs!A162)</f>
        <v>96.078566805285689</v>
      </c>
      <c r="C172" s="47">
        <f t="shared" si="42"/>
        <v>1.9640060326122821</v>
      </c>
      <c r="D172" s="44">
        <f t="shared" si="43"/>
        <v>0.35769101450530261</v>
      </c>
      <c r="E172" s="47">
        <f t="shared" si="47"/>
        <v>-32.402434000185849</v>
      </c>
      <c r="F172" s="47">
        <f t="shared" si="48"/>
        <v>42.350636821577041</v>
      </c>
      <c r="G172" s="47">
        <f t="shared" si="41"/>
        <v>9.9482028213911917</v>
      </c>
      <c r="J172" s="47">
        <f t="shared" si="49"/>
        <v>9.3036475453778724</v>
      </c>
      <c r="Q172" s="8">
        <f t="shared" si="44"/>
        <v>100</v>
      </c>
      <c r="R172" s="9">
        <f t="shared" si="54"/>
        <v>4.3991039223996567E-2</v>
      </c>
      <c r="S172" s="8">
        <f t="shared" ref="S172:S203" si="56">IF(V172^2 &lt; ($E$6^2*dt), -1, 1)</f>
        <v>1</v>
      </c>
      <c r="T172" s="9">
        <f t="shared" ref="T172:T203" si="57">0.5*R172*(B172^2)*(V172^2-$E$6^2*dt)</f>
        <v>9.2720170996428208E-2</v>
      </c>
      <c r="U172" s="9">
        <f t="shared" ref="U172:U203" si="58">T172*EXP(-PL_r*A172)</f>
        <v>9.1239329008669948E-2</v>
      </c>
      <c r="V172" s="9">
        <f t="shared" si="53"/>
        <v>2.5625254809274807E-2</v>
      </c>
    </row>
    <row r="173" spans="1:22">
      <c r="A173" s="8">
        <f t="shared" si="55"/>
        <v>0.81000000000000061</v>
      </c>
      <c r="B173" s="47">
        <f>B172*EXP((PL_r-0.5*Vol_a^2)*dt+Vol_a*SQRT(dt)*bs!A163)</f>
        <v>95.809358834419783</v>
      </c>
      <c r="C173" s="47">
        <f t="shared" si="42"/>
        <v>1.8259783904661688</v>
      </c>
      <c r="D173" s="44">
        <f t="shared" si="43"/>
        <v>0.34314895763896902</v>
      </c>
      <c r="E173" s="47">
        <f t="shared" si="47"/>
        <v>-31.050903225622925</v>
      </c>
      <c r="F173" s="47">
        <f t="shared" si="48"/>
        <v>40.961606952522352</v>
      </c>
      <c r="G173" s="47">
        <f t="shared" si="41"/>
        <v>9.9107037268994276</v>
      </c>
      <c r="J173" s="47">
        <f t="shared" si="49"/>
        <v>-1.3932651444970927</v>
      </c>
      <c r="Q173" s="8">
        <f t="shared" si="44"/>
        <v>100</v>
      </c>
      <c r="R173" s="9">
        <f t="shared" si="54"/>
        <v>4.4022402258254809E-2</v>
      </c>
      <c r="S173" s="8">
        <f t="shared" si="56"/>
        <v>-1</v>
      </c>
      <c r="T173" s="9">
        <f t="shared" si="57"/>
        <v>-3.8823780916623009E-2</v>
      </c>
      <c r="U173" s="9">
        <f t="shared" si="58"/>
        <v>-3.819990272329607E-2</v>
      </c>
      <c r="V173" s="9">
        <f t="shared" si="53"/>
        <v>-2.8019565634392484E-3</v>
      </c>
    </row>
    <row r="174" spans="1:22">
      <c r="A174" s="8">
        <f t="shared" si="55"/>
        <v>0.81500000000000061</v>
      </c>
      <c r="B174" s="47">
        <f>B173*EXP((PL_r-0.5*Vol_a^2)*dt+Vol_a*SQRT(dt)*bs!A164)</f>
        <v>98.171088642736692</v>
      </c>
      <c r="C174" s="47">
        <f t="shared" si="42"/>
        <v>2.713042577261831</v>
      </c>
      <c r="D174" s="44">
        <f t="shared" si="43"/>
        <v>0.44885619776559493</v>
      </c>
      <c r="E174" s="47">
        <f t="shared" si="47"/>
        <v>-41.351659001426142</v>
      </c>
      <c r="F174" s="47">
        <f t="shared" si="48"/>
        <v>51.343098158682508</v>
      </c>
      <c r="G174" s="47">
        <f t="shared" si="41"/>
        <v>9.9914391572563659</v>
      </c>
      <c r="J174" s="47">
        <f t="shared" si="49"/>
        <v>10.377394840650044</v>
      </c>
      <c r="Q174" s="8">
        <f t="shared" si="44"/>
        <v>100</v>
      </c>
      <c r="R174" s="9">
        <f t="shared" si="54"/>
        <v>4.6851352520493682E-2</v>
      </c>
      <c r="S174" s="8">
        <f t="shared" si="56"/>
        <v>1</v>
      </c>
      <c r="T174" s="9">
        <f t="shared" si="57"/>
        <v>9.2030855659450642E-2</v>
      </c>
      <c r="U174" s="9">
        <f t="shared" si="58"/>
        <v>9.0542912393973204E-2</v>
      </c>
      <c r="V174" s="9">
        <f t="shared" si="53"/>
        <v>2.4650303864349115E-2</v>
      </c>
    </row>
    <row r="175" spans="1:22">
      <c r="A175" s="8">
        <f t="shared" si="55"/>
        <v>0.82000000000000062</v>
      </c>
      <c r="B175" s="47">
        <f>B174*EXP((PL_r-0.5*Vol_a^2)*dt+Vol_a*SQRT(dt)*bs!A165)</f>
        <v>97.683118246248611</v>
      </c>
      <c r="C175" s="47">
        <f t="shared" si="42"/>
        <v>2.4508785484678768</v>
      </c>
      <c r="D175" s="44">
        <f t="shared" si="43"/>
        <v>0.42410333564112845</v>
      </c>
      <c r="E175" s="47">
        <f t="shared" si="47"/>
        <v>-38.976857735592937</v>
      </c>
      <c r="F175" s="47">
        <f t="shared" si="48"/>
        <v>48.930295967385078</v>
      </c>
      <c r="G175" s="47">
        <f t="shared" si="41"/>
        <v>9.9534382317921413</v>
      </c>
      <c r="J175" s="47">
        <f t="shared" si="49"/>
        <v>-2.4179367578373476</v>
      </c>
      <c r="Q175" s="8">
        <f t="shared" si="44"/>
        <v>100</v>
      </c>
      <c r="R175" s="9">
        <f t="shared" si="54"/>
        <v>4.7257283185750718E-2</v>
      </c>
      <c r="S175" s="8">
        <f t="shared" si="56"/>
        <v>-1</v>
      </c>
      <c r="T175" s="9">
        <f t="shared" si="57"/>
        <v>-3.9522316995376096E-2</v>
      </c>
      <c r="U175" s="9">
        <f t="shared" si="58"/>
        <v>-3.8879437021456624E-2</v>
      </c>
      <c r="V175" s="9">
        <f t="shared" si="53"/>
        <v>-4.9706120532481586E-3</v>
      </c>
    </row>
    <row r="176" spans="1:22">
      <c r="A176" s="8">
        <f t="shared" si="55"/>
        <v>0.82500000000000062</v>
      </c>
      <c r="B176" s="47">
        <f>B175*EXP((PL_r-0.5*Vol_a^2)*dt+Vol_a*SQRT(dt)*bs!A166)</f>
        <v>97.072563679170358</v>
      </c>
      <c r="C176" s="47">
        <f t="shared" si="42"/>
        <v>2.1527816005802336</v>
      </c>
      <c r="D176" s="44">
        <f t="shared" si="43"/>
        <v>0.39302128954639148</v>
      </c>
      <c r="E176" s="47">
        <f t="shared" si="47"/>
        <v>-35.998802556181502</v>
      </c>
      <c r="F176" s="47">
        <f t="shared" si="48"/>
        <v>45.917975342831191</v>
      </c>
      <c r="G176" s="47">
        <f t="shared" ref="G176:G211" si="59">F176+E176</f>
        <v>9.919172786649689</v>
      </c>
      <c r="J176" s="47">
        <f t="shared" si="49"/>
        <v>-3.017213898810263</v>
      </c>
      <c r="Q176" s="8">
        <f t="shared" si="44"/>
        <v>100</v>
      </c>
      <c r="R176" s="9">
        <f t="shared" si="54"/>
        <v>4.7343858596248449E-2</v>
      </c>
      <c r="S176" s="8">
        <f t="shared" si="56"/>
        <v>-1</v>
      </c>
      <c r="T176" s="9">
        <f t="shared" si="57"/>
        <v>-3.5898127120084312E-2</v>
      </c>
      <c r="U176" s="9">
        <f t="shared" si="58"/>
        <v>-3.5310667889178721E-2</v>
      </c>
      <c r="V176" s="9">
        <f t="shared" si="53"/>
        <v>-6.2503591003218286E-3</v>
      </c>
    </row>
    <row r="177" spans="1:22">
      <c r="A177" s="8">
        <f t="shared" si="55"/>
        <v>0.83000000000000063</v>
      </c>
      <c r="B177" s="47">
        <f>B176*EXP((PL_r-0.5*Vol_a^2)*dt+Vol_a*SQRT(dt)*bs!A167)</f>
        <v>100.01687111261467</v>
      </c>
      <c r="C177" s="47">
        <f t="shared" si="42"/>
        <v>3.464751999754931</v>
      </c>
      <c r="D177" s="44">
        <f t="shared" si="43"/>
        <v>0.53367373700345355</v>
      </c>
      <c r="E177" s="47">
        <f t="shared" si="47"/>
        <v>-49.911625370306901</v>
      </c>
      <c r="F177" s="47">
        <f t="shared" si="48"/>
        <v>59.990185078949793</v>
      </c>
      <c r="G177" s="47">
        <f t="shared" si="59"/>
        <v>10.078559708642892</v>
      </c>
      <c r="J177" s="47">
        <f t="shared" si="49"/>
        <v>14.067617708986784</v>
      </c>
      <c r="Q177" s="8">
        <f t="shared" si="44"/>
        <v>100</v>
      </c>
      <c r="R177" s="9">
        <f t="shared" si="54"/>
        <v>4.8198283836903479E-2</v>
      </c>
      <c r="S177" s="8">
        <f t="shared" si="56"/>
        <v>1</v>
      </c>
      <c r="T177" s="9">
        <f t="shared" si="57"/>
        <v>0.17356496151479514</v>
      </c>
      <c r="U177" s="9">
        <f t="shared" si="58"/>
        <v>0.17070756515845084</v>
      </c>
      <c r="V177" s="9">
        <f t="shared" si="53"/>
        <v>3.0330994895482421E-2</v>
      </c>
    </row>
    <row r="178" spans="1:22">
      <c r="A178" s="8">
        <f t="shared" si="55"/>
        <v>0.83500000000000063</v>
      </c>
      <c r="B178" s="47">
        <f>B177*EXP((PL_r-0.5*Vol_a^2)*dt+Vol_a*SQRT(dt)*bs!A168)</f>
        <v>104.24435085596147</v>
      </c>
      <c r="C178" s="47">
        <f t="shared" si="42"/>
        <v>6.0814791643207684</v>
      </c>
      <c r="D178" s="44">
        <f t="shared" si="43"/>
        <v>0.72337626083568196</v>
      </c>
      <c r="E178" s="47">
        <f t="shared" si="47"/>
        <v>-69.326409571107561</v>
      </c>
      <c r="F178" s="47">
        <f t="shared" si="48"/>
        <v>79.771600850046823</v>
      </c>
      <c r="G178" s="47">
        <f t="shared" si="59"/>
        <v>10.445191278939262</v>
      </c>
      <c r="J178" s="47">
        <f t="shared" si="49"/>
        <v>19.77541645262821</v>
      </c>
      <c r="Q178" s="8">
        <f t="shared" si="44"/>
        <v>100</v>
      </c>
      <c r="R178" s="9">
        <f t="shared" si="54"/>
        <v>3.9514047739840713E-2</v>
      </c>
      <c r="S178" s="8">
        <f t="shared" si="56"/>
        <v>1</v>
      </c>
      <c r="T178" s="9">
        <f t="shared" si="57"/>
        <v>0.34062920887118669</v>
      </c>
      <c r="U178" s="9">
        <f t="shared" si="58"/>
        <v>0.33498793681198652</v>
      </c>
      <c r="V178" s="9">
        <f t="shared" si="53"/>
        <v>4.226766640786879E-2</v>
      </c>
    </row>
    <row r="179" spans="1:22">
      <c r="A179" s="8">
        <f t="shared" si="55"/>
        <v>0.84000000000000064</v>
      </c>
      <c r="B179" s="47">
        <f>B178*EXP((PL_r-0.5*Vol_a^2)*dt+Vol_a*SQRT(dt)*bs!A169)</f>
        <v>103.23269485094198</v>
      </c>
      <c r="C179" s="47">
        <f t="shared" si="42"/>
        <v>5.318279796296963</v>
      </c>
      <c r="D179" s="44">
        <f t="shared" si="43"/>
        <v>0.6835655722601397</v>
      </c>
      <c r="E179" s="47">
        <f t="shared" si="47"/>
        <v>-65.248036335443572</v>
      </c>
      <c r="F179" s="47">
        <f t="shared" si="48"/>
        <v>75.669813743478301</v>
      </c>
      <c r="G179" s="47">
        <f t="shared" si="59"/>
        <v>10.421777408034728</v>
      </c>
      <c r="J179" s="47">
        <f t="shared" si="49"/>
        <v>-4.1097646655248363</v>
      </c>
      <c r="Q179" s="8">
        <f t="shared" si="44"/>
        <v>100</v>
      </c>
      <c r="R179" s="9">
        <f t="shared" si="54"/>
        <v>4.3097481388649841E-2</v>
      </c>
      <c r="S179" s="8">
        <f t="shared" si="56"/>
        <v>-1</v>
      </c>
      <c r="T179" s="9">
        <f t="shared" si="57"/>
        <v>-2.4300903268980045E-2</v>
      </c>
      <c r="U179" s="9">
        <f t="shared" si="58"/>
        <v>-2.3896058313594974E-2</v>
      </c>
      <c r="V179" s="9">
        <f t="shared" si="53"/>
        <v>-9.7046602210352304E-3</v>
      </c>
    </row>
    <row r="180" spans="1:22">
      <c r="A180" s="8">
        <f t="shared" si="55"/>
        <v>0.84500000000000064</v>
      </c>
      <c r="B180" s="47">
        <f>B179*EXP((PL_r-0.5*Vol_a^2)*dt+Vol_a*SQRT(dt)*bs!A170)</f>
        <v>102.19049006412736</v>
      </c>
      <c r="C180" s="47">
        <f t="shared" si="42"/>
        <v>4.5754650360571674</v>
      </c>
      <c r="D180" s="44">
        <f t="shared" si="43"/>
        <v>0.6383040709615847</v>
      </c>
      <c r="E180" s="47">
        <f t="shared" si="47"/>
        <v>-60.653140785434701</v>
      </c>
      <c r="F180" s="47">
        <f t="shared" si="48"/>
        <v>71.052086104476857</v>
      </c>
      <c r="G180" s="47">
        <f t="shared" si="59"/>
        <v>10.398945319042156</v>
      </c>
      <c r="J180" s="47">
        <f t="shared" si="49"/>
        <v>-4.6252949987374716</v>
      </c>
      <c r="Q180" s="8">
        <f t="shared" si="44"/>
        <v>100</v>
      </c>
      <c r="R180" s="9">
        <f t="shared" si="54"/>
        <v>4.6569605582196319E-2</v>
      </c>
      <c r="S180" s="8">
        <f t="shared" si="56"/>
        <v>-1</v>
      </c>
      <c r="T180" s="9">
        <f t="shared" si="57"/>
        <v>-2.3848514073752675E-2</v>
      </c>
      <c r="U180" s="9">
        <f t="shared" si="58"/>
        <v>-2.3448860768373145E-2</v>
      </c>
      <c r="V180" s="9">
        <f t="shared" si="53"/>
        <v>-1.0095685173379084E-2</v>
      </c>
    </row>
    <row r="181" spans="1:22">
      <c r="A181" s="8">
        <f t="shared" si="55"/>
        <v>0.85000000000000064</v>
      </c>
      <c r="B181" s="47">
        <f>B180*EXP((PL_r-0.5*Vol_a^2)*dt+Vol_a*SQRT(dt)*bs!A171)</f>
        <v>101.12016214412783</v>
      </c>
      <c r="C181" s="47">
        <f t="shared" si="42"/>
        <v>3.8634588478478591</v>
      </c>
      <c r="D181" s="44">
        <f t="shared" si="43"/>
        <v>0.587558089535136</v>
      </c>
      <c r="E181" s="47">
        <f t="shared" si="47"/>
        <v>-55.550510435039072</v>
      </c>
      <c r="F181" s="47">
        <f t="shared" si="48"/>
        <v>65.927749798354185</v>
      </c>
      <c r="G181" s="47">
        <f t="shared" si="59"/>
        <v>10.377239363315113</v>
      </c>
      <c r="J181" s="47">
        <f t="shared" si="49"/>
        <v>-5.1314418700053928</v>
      </c>
      <c r="Q181" s="8">
        <f t="shared" si="44"/>
        <v>100</v>
      </c>
      <c r="R181" s="9">
        <f t="shared" si="54"/>
        <v>4.9701014968329911E-2</v>
      </c>
      <c r="S181" s="8">
        <f t="shared" si="56"/>
        <v>-1</v>
      </c>
      <c r="T181" s="9">
        <f t="shared" si="57"/>
        <v>-2.2945160255195697E-2</v>
      </c>
      <c r="U181" s="9">
        <f t="shared" si="58"/>
        <v>-2.2558389397831582E-2</v>
      </c>
      <c r="V181" s="9">
        <f t="shared" si="53"/>
        <v>-1.0473850544486747E-2</v>
      </c>
    </row>
    <row r="182" spans="1:22">
      <c r="A182" s="8">
        <f t="shared" si="55"/>
        <v>0.85500000000000065</v>
      </c>
      <c r="B182" s="47">
        <f>B181*EXP((PL_r-0.5*Vol_a^2)*dt+Vol_a*SQRT(dt)*bs!A172)</f>
        <v>101.29262200941562</v>
      </c>
      <c r="C182" s="47">
        <f t="shared" si="42"/>
        <v>3.9088123097810268</v>
      </c>
      <c r="D182" s="44">
        <f t="shared" si="43"/>
        <v>0.59669418355253634</v>
      </c>
      <c r="E182" s="47">
        <f t="shared" si="47"/>
        <v>-56.5319060800229</v>
      </c>
      <c r="F182" s="47">
        <f t="shared" si="48"/>
        <v>66.859761820930771</v>
      </c>
      <c r="G182" s="47">
        <f t="shared" si="59"/>
        <v>10.327855740907872</v>
      </c>
      <c r="J182" s="47">
        <f t="shared" si="49"/>
        <v>0.92541891794701636</v>
      </c>
      <c r="Q182" s="8">
        <f t="shared" si="44"/>
        <v>100</v>
      </c>
      <c r="R182" s="9">
        <f t="shared" si="54"/>
        <v>5.0188625306651309E-2</v>
      </c>
      <c r="S182" s="8">
        <f t="shared" si="56"/>
        <v>-1</v>
      </c>
      <c r="T182" s="9">
        <f t="shared" si="57"/>
        <v>-5.0745596387896254E-2</v>
      </c>
      <c r="U182" s="9">
        <f t="shared" si="58"/>
        <v>-4.9885223839973854E-2</v>
      </c>
      <c r="V182" s="9">
        <f t="shared" si="53"/>
        <v>1.7054943507901258E-3</v>
      </c>
    </row>
    <row r="183" spans="1:22">
      <c r="A183" s="8">
        <f t="shared" si="55"/>
        <v>0.86000000000000065</v>
      </c>
      <c r="B183" s="47">
        <f>B182*EXP((PL_r-0.5*Vol_a^2)*dt+Vol_a*SQRT(dt)*bs!A173)</f>
        <v>104.15611242822314</v>
      </c>
      <c r="C183" s="47">
        <f t="shared" si="42"/>
        <v>5.7606038864793732</v>
      </c>
      <c r="D183" s="44">
        <f t="shared" si="43"/>
        <v>0.73203725711350542</v>
      </c>
      <c r="E183" s="47">
        <f t="shared" si="47"/>
        <v>-70.485550967082986</v>
      </c>
      <c r="F183" s="47">
        <f t="shared" si="48"/>
        <v>80.96325651762038</v>
      </c>
      <c r="G183" s="47">
        <f t="shared" si="59"/>
        <v>10.477705550537394</v>
      </c>
      <c r="J183" s="47">
        <f t="shared" si="49"/>
        <v>14.096808386197571</v>
      </c>
      <c r="Q183" s="8">
        <f t="shared" si="44"/>
        <v>100</v>
      </c>
      <c r="R183" s="9">
        <f t="shared" si="54"/>
        <v>4.2260313198977474E-2</v>
      </c>
      <c r="S183" s="8">
        <f t="shared" si="56"/>
        <v>1</v>
      </c>
      <c r="T183" s="9">
        <f t="shared" si="57"/>
        <v>0.13734658246800929</v>
      </c>
      <c r="U183" s="9">
        <f t="shared" si="58"/>
        <v>0.13500442157502768</v>
      </c>
      <c r="V183" s="9">
        <f t="shared" si="53"/>
        <v>2.8269486582560184E-2</v>
      </c>
    </row>
    <row r="184" spans="1:22">
      <c r="A184" s="8">
        <f t="shared" si="55"/>
        <v>0.86500000000000066</v>
      </c>
      <c r="B184" s="47">
        <f>B183*EXP((PL_r-0.5*Vol_a^2)*dt+Vol_a*SQRT(dt)*bs!A174)</f>
        <v>101.02890571700759</v>
      </c>
      <c r="C184" s="47">
        <f t="shared" si="42"/>
        <v>3.6367980712902508</v>
      </c>
      <c r="D184" s="44">
        <f t="shared" si="43"/>
        <v>0.58425287189388875</v>
      </c>
      <c r="E184" s="47">
        <f t="shared" si="47"/>
        <v>-55.389630238168351</v>
      </c>
      <c r="F184" s="47">
        <f t="shared" si="48"/>
        <v>66.040858527303342</v>
      </c>
      <c r="G184" s="47">
        <f t="shared" si="59"/>
        <v>10.651228289134991</v>
      </c>
      <c r="J184" s="47">
        <f t="shared" si="49"/>
        <v>-14.930494720798583</v>
      </c>
      <c r="Q184" s="8">
        <f t="shared" si="44"/>
        <v>100</v>
      </c>
      <c r="R184" s="9">
        <f t="shared" si="54"/>
        <v>5.2533412085173405E-2</v>
      </c>
      <c r="S184" s="8">
        <f t="shared" si="56"/>
        <v>1</v>
      </c>
      <c r="T184" s="9">
        <f t="shared" si="57"/>
        <v>0.18805990724736235</v>
      </c>
      <c r="U184" s="9">
        <f t="shared" si="58"/>
        <v>0.18483445148944219</v>
      </c>
      <c r="V184" s="9">
        <f t="shared" si="53"/>
        <v>-3.002422650298699E-2</v>
      </c>
    </row>
    <row r="185" spans="1:22">
      <c r="A185" s="8">
        <f t="shared" si="55"/>
        <v>0.87000000000000066</v>
      </c>
      <c r="B185" s="47">
        <f>B184*EXP((PL_r-0.5*Vol_a^2)*dt+Vol_a*SQRT(dt)*bs!A175)</f>
        <v>97.395723096582259</v>
      </c>
      <c r="C185" s="47">
        <f t="shared" si="42"/>
        <v>1.8154910760917247</v>
      </c>
      <c r="D185" s="44">
        <f t="shared" si="43"/>
        <v>0.38444659770804912</v>
      </c>
      <c r="E185" s="47">
        <f t="shared" si="47"/>
        <v>-35.627963299704582</v>
      </c>
      <c r="F185" s="47">
        <f t="shared" si="48"/>
        <v>46.587186389807542</v>
      </c>
      <c r="G185" s="47">
        <f t="shared" si="59"/>
        <v>10.959223090102959</v>
      </c>
      <c r="J185" s="47">
        <f t="shared" si="49"/>
        <v>-19.46027655356383</v>
      </c>
      <c r="Q185" s="8">
        <f t="shared" si="44"/>
        <v>100</v>
      </c>
      <c r="R185" s="9">
        <f t="shared" si="54"/>
        <v>5.4402862230609514E-2</v>
      </c>
      <c r="S185" s="8">
        <f t="shared" si="56"/>
        <v>1</v>
      </c>
      <c r="T185" s="9">
        <f t="shared" si="57"/>
        <v>0.28209267294221874</v>
      </c>
      <c r="U185" s="9">
        <f t="shared" si="58"/>
        <v>0.27722671701702184</v>
      </c>
      <c r="V185" s="9">
        <f t="shared" si="53"/>
        <v>-3.5961813053803145E-2</v>
      </c>
    </row>
    <row r="186" spans="1:22">
      <c r="A186" s="8">
        <f t="shared" si="55"/>
        <v>0.87500000000000067</v>
      </c>
      <c r="B186" s="47">
        <f>B185*EXP((PL_r-0.5*Vol_a^2)*dt+Vol_a*SQRT(dt)*bs!A176)</f>
        <v>96.514033615554141</v>
      </c>
      <c r="C186" s="47">
        <f t="shared" si="42"/>
        <v>1.4451141610810758</v>
      </c>
      <c r="D186" s="44">
        <f t="shared" si="43"/>
        <v>0.33320614692276929</v>
      </c>
      <c r="E186" s="47">
        <f t="shared" si="47"/>
        <v>-30.713955103932353</v>
      </c>
      <c r="F186" s="47">
        <f t="shared" si="48"/>
        <v>41.646422751823572</v>
      </c>
      <c r="G186" s="47">
        <f t="shared" si="59"/>
        <v>10.932467647891219</v>
      </c>
      <c r="J186" s="47">
        <f t="shared" si="49"/>
        <v>-4.945422589566645</v>
      </c>
      <c r="Q186" s="8">
        <f t="shared" si="44"/>
        <v>100</v>
      </c>
      <c r="R186" s="9">
        <f t="shared" si="54"/>
        <v>5.3269995229346501E-2</v>
      </c>
      <c r="S186" s="8">
        <f t="shared" si="56"/>
        <v>-1</v>
      </c>
      <c r="T186" s="9">
        <f t="shared" si="57"/>
        <v>-2.9288544487432077E-2</v>
      </c>
      <c r="U186" s="9">
        <f t="shared" si="58"/>
        <v>-2.8780453719951082E-2</v>
      </c>
      <c r="V186" s="9">
        <f t="shared" si="53"/>
        <v>-9.0526509069992003E-3</v>
      </c>
    </row>
    <row r="187" spans="1:22">
      <c r="A187" s="8">
        <f t="shared" si="55"/>
        <v>0.88000000000000067</v>
      </c>
      <c r="B187" s="47">
        <f>B186*EXP((PL_r-0.5*Vol_a^2)*dt+Vol_a*SQRT(dt)*bs!A177)</f>
        <v>97.039970354604264</v>
      </c>
      <c r="C187" s="47">
        <f t="shared" si="42"/>
        <v>1.5726099381412624</v>
      </c>
      <c r="D187" s="44">
        <f t="shared" si="43"/>
        <v>0.35777512481900797</v>
      </c>
      <c r="E187" s="47">
        <f t="shared" si="47"/>
        <v>-33.145877567910112</v>
      </c>
      <c r="F187" s="47">
        <f t="shared" si="48"/>
        <v>44.03476048903174</v>
      </c>
      <c r="G187" s="47">
        <f t="shared" si="59"/>
        <v>10.888882921121628</v>
      </c>
      <c r="J187" s="47">
        <f t="shared" si="49"/>
        <v>2.3841728866939293</v>
      </c>
      <c r="Q187" s="8">
        <f t="shared" si="44"/>
        <v>100</v>
      </c>
      <c r="R187" s="9">
        <f t="shared" si="54"/>
        <v>5.5526773087762181E-2</v>
      </c>
      <c r="S187" s="8">
        <f t="shared" si="56"/>
        <v>-1</v>
      </c>
      <c r="T187" s="9">
        <f t="shared" si="57"/>
        <v>-4.4524665782292583E-2</v>
      </c>
      <c r="U187" s="9">
        <f t="shared" si="58"/>
        <v>-4.3747887365726691E-2</v>
      </c>
      <c r="V187" s="9">
        <f t="shared" si="53"/>
        <v>5.449329173673292E-3</v>
      </c>
    </row>
    <row r="188" spans="1:22">
      <c r="A188" s="8">
        <f t="shared" si="55"/>
        <v>0.88500000000000068</v>
      </c>
      <c r="B188" s="47">
        <f>B187*EXP((PL_r-0.5*Vol_a^2)*dt+Vol_a*SQRT(dt)*bs!A178)</f>
        <v>95.663823580610483</v>
      </c>
      <c r="C188" s="47">
        <f t="shared" si="42"/>
        <v>1.08192516135178</v>
      </c>
      <c r="D188" s="44">
        <f t="shared" si="43"/>
        <v>0.27900943031461645</v>
      </c>
      <c r="E188" s="47">
        <f t="shared" si="47"/>
        <v>-25.609183757592323</v>
      </c>
      <c r="F188" s="47">
        <f t="shared" si="48"/>
        <v>36.504136681989415</v>
      </c>
      <c r="G188" s="47">
        <f t="shared" si="59"/>
        <v>10.894952924397092</v>
      </c>
      <c r="J188" s="47">
        <f t="shared" si="49"/>
        <v>-7.5350275032723717</v>
      </c>
      <c r="Q188" s="8">
        <f t="shared" si="44"/>
        <v>100</v>
      </c>
      <c r="R188" s="9">
        <f t="shared" si="54"/>
        <v>5.1792900439065037E-2</v>
      </c>
      <c r="S188" s="8">
        <f t="shared" si="56"/>
        <v>1</v>
      </c>
      <c r="T188" s="9">
        <f t="shared" si="57"/>
        <v>2.6246274393892135E-4</v>
      </c>
      <c r="U188" s="9">
        <f t="shared" si="58"/>
        <v>2.578580253477968E-4</v>
      </c>
      <c r="V188" s="9">
        <f t="shared" si="53"/>
        <v>-1.4181236545776492E-2</v>
      </c>
    </row>
    <row r="189" spans="1:22">
      <c r="A189" s="8">
        <f t="shared" si="55"/>
        <v>0.89000000000000068</v>
      </c>
      <c r="B189" s="47">
        <f>B188*EXP((PL_r-0.5*Vol_a^2)*dt+Vol_a*SQRT(dt)*bs!A179)</f>
        <v>93.649437384565772</v>
      </c>
      <c r="C189" s="47">
        <f t="shared" si="42"/>
        <v>0.5803463505447084</v>
      </c>
      <c r="D189" s="44">
        <f t="shared" si="43"/>
        <v>0.17805515615396161</v>
      </c>
      <c r="E189" s="47">
        <f t="shared" si="47"/>
        <v>-16.094418846694801</v>
      </c>
      <c r="F189" s="47">
        <f t="shared" si="48"/>
        <v>27.05347630147185</v>
      </c>
      <c r="G189" s="47">
        <f t="shared" si="59"/>
        <v>10.959057454777049</v>
      </c>
      <c r="J189" s="47">
        <f t="shared" si="49"/>
        <v>-9.4543109767125308</v>
      </c>
      <c r="Q189" s="8">
        <f t="shared" si="44"/>
        <v>100</v>
      </c>
      <c r="R189" s="9">
        <f t="shared" si="54"/>
        <v>4.1953080694145557E-2</v>
      </c>
      <c r="S189" s="8">
        <f t="shared" si="56"/>
        <v>1</v>
      </c>
      <c r="T189" s="9">
        <f t="shared" si="57"/>
        <v>4.4776941241045899E-2</v>
      </c>
      <c r="U189" s="9">
        <f t="shared" si="58"/>
        <v>4.3986963348141617E-2</v>
      </c>
      <c r="V189" s="9">
        <f t="shared" si="53"/>
        <v>-2.1056927484686017E-2</v>
      </c>
    </row>
    <row r="190" spans="1:22">
      <c r="A190" s="8">
        <f t="shared" si="55"/>
        <v>0.89500000000000068</v>
      </c>
      <c r="B190" s="47">
        <f>B189*EXP((PL_r-0.5*Vol_a^2)*dt+Vol_a*SQRT(dt)*bs!A180)</f>
        <v>92.712885396263218</v>
      </c>
      <c r="C190" s="47">
        <f t="shared" si="42"/>
        <v>0.39875018636426951</v>
      </c>
      <c r="D190" s="44">
        <f t="shared" si="43"/>
        <v>0.13508013526014062</v>
      </c>
      <c r="E190" s="47">
        <f t="shared" si="47"/>
        <v>-12.124918913320881</v>
      </c>
      <c r="F190" s="47">
        <f t="shared" si="48"/>
        <v>23.071843597343044</v>
      </c>
      <c r="G190" s="47">
        <f t="shared" si="59"/>
        <v>10.946924684022163</v>
      </c>
      <c r="J190" s="47">
        <f t="shared" si="49"/>
        <v>-3.984338187030843</v>
      </c>
      <c r="Q190" s="8">
        <f t="shared" si="44"/>
        <v>100</v>
      </c>
      <c r="R190" s="9">
        <f t="shared" si="54"/>
        <v>3.6150035268638178E-2</v>
      </c>
      <c r="S190" s="8">
        <f t="shared" si="56"/>
        <v>-1</v>
      </c>
      <c r="T190" s="9">
        <f t="shared" si="57"/>
        <v>-1.5534793425678197E-2</v>
      </c>
      <c r="U190" s="9">
        <f t="shared" si="58"/>
        <v>-1.5259194591602772E-2</v>
      </c>
      <c r="V190" s="9">
        <f t="shared" si="53"/>
        <v>-1.000061521412734E-2</v>
      </c>
    </row>
    <row r="191" spans="1:22">
      <c r="A191" s="8">
        <f t="shared" si="55"/>
        <v>0.90000000000000069</v>
      </c>
      <c r="B191" s="47">
        <f>B190*EXP((PL_r-0.5*Vol_a^2)*dt+Vol_a*SQRT(dt)*bs!A181)</f>
        <v>91.6129887474127</v>
      </c>
      <c r="C191" s="47">
        <f t="shared" si="42"/>
        <v>0.24542206937524647</v>
      </c>
      <c r="D191" s="44">
        <f t="shared" si="43"/>
        <v>9.3119672069165604E-2</v>
      </c>
      <c r="E191" s="47">
        <f t="shared" si="47"/>
        <v>-8.285549400059983</v>
      </c>
      <c r="F191" s="47">
        <f t="shared" si="48"/>
        <v>19.230027454914822</v>
      </c>
      <c r="G191" s="47">
        <f t="shared" si="59"/>
        <v>10.944478054854839</v>
      </c>
      <c r="J191" s="47">
        <f t="shared" si="49"/>
        <v>-3.8441234421510191</v>
      </c>
      <c r="Q191" s="8">
        <f t="shared" si="44"/>
        <v>100</v>
      </c>
      <c r="R191" s="9">
        <f t="shared" si="54"/>
        <v>2.8743573810925044E-2</v>
      </c>
      <c r="S191" s="8">
        <f t="shared" si="56"/>
        <v>-1</v>
      </c>
      <c r="T191" s="9">
        <f t="shared" si="57"/>
        <v>-7.1477973425496484E-3</v>
      </c>
      <c r="U191" s="9">
        <f t="shared" si="58"/>
        <v>-7.0202880170464809E-3</v>
      </c>
      <c r="V191" s="9">
        <f t="shared" si="53"/>
        <v>-1.1863471233253719E-2</v>
      </c>
    </row>
    <row r="192" spans="1:22">
      <c r="A192" s="8">
        <f t="shared" si="55"/>
        <v>0.90500000000000069</v>
      </c>
      <c r="B192" s="47">
        <f>B191*EXP((PL_r-0.5*Vol_a^2)*dt+Vol_a*SQRT(dt)*bs!A182)</f>
        <v>92.730690164652088</v>
      </c>
      <c r="C192" s="47">
        <f t="shared" si="42"/>
        <v>0.33708422896163093</v>
      </c>
      <c r="D192" s="44">
        <f t="shared" si="43"/>
        <v>0.12248536652387887</v>
      </c>
      <c r="E192" s="47">
        <f t="shared" si="47"/>
        <v>-11.021068343868029</v>
      </c>
      <c r="F192" s="47">
        <f t="shared" si="48"/>
        <v>21.955051667763517</v>
      </c>
      <c r="G192" s="47">
        <f t="shared" si="59"/>
        <v>10.933983323895488</v>
      </c>
      <c r="J192" s="47">
        <f t="shared" si="49"/>
        <v>2.7231011139498578</v>
      </c>
      <c r="Q192" s="8">
        <f t="shared" si="44"/>
        <v>100</v>
      </c>
      <c r="R192" s="9">
        <f t="shared" si="54"/>
        <v>3.550289487045747E-2</v>
      </c>
      <c r="S192" s="8">
        <f t="shared" si="56"/>
        <v>-1</v>
      </c>
      <c r="T192" s="9">
        <f t="shared" si="57"/>
        <v>-7.8083521006403686E-3</v>
      </c>
      <c r="U192" s="9">
        <f t="shared" si="58"/>
        <v>-7.6682922926100492E-3</v>
      </c>
      <c r="V192" s="9">
        <f t="shared" si="53"/>
        <v>1.2200250559677914E-2</v>
      </c>
    </row>
    <row r="193" spans="1:22">
      <c r="A193" s="8">
        <f t="shared" si="55"/>
        <v>0.9100000000000007</v>
      </c>
      <c r="B193" s="47">
        <f>B192*EXP((PL_r-0.5*Vol_a^2)*dt+Vol_a*SQRT(dt)*bs!A183)</f>
        <v>92.343693915470183</v>
      </c>
      <c r="C193" s="47">
        <f t="shared" si="42"/>
        <v>0.26355530668163141</v>
      </c>
      <c r="D193" s="44">
        <f t="shared" si="43"/>
        <v>0.10248011099294607</v>
      </c>
      <c r="E193" s="47">
        <f t="shared" si="47"/>
        <v>-9.1998366952743922</v>
      </c>
      <c r="F193" s="47">
        <f t="shared" si="48"/>
        <v>20.109888089259986</v>
      </c>
      <c r="G193" s="47">
        <f t="shared" si="59"/>
        <v>10.910051393985594</v>
      </c>
      <c r="J193" s="47">
        <f t="shared" si="49"/>
        <v>-1.8473591934492253</v>
      </c>
      <c r="Q193" s="8">
        <f t="shared" si="44"/>
        <v>100</v>
      </c>
      <c r="R193" s="9">
        <f t="shared" si="54"/>
        <v>3.2245338410064155E-2</v>
      </c>
      <c r="S193" s="8">
        <f t="shared" si="56"/>
        <v>-1</v>
      </c>
      <c r="T193" s="9">
        <f t="shared" si="57"/>
        <v>-2.5102236640763598E-2</v>
      </c>
      <c r="U193" s="9">
        <f t="shared" si="58"/>
        <v>-2.4649508258919921E-2</v>
      </c>
      <c r="V193" s="9">
        <f t="shared" si="53"/>
        <v>-4.1733351546802558E-3</v>
      </c>
    </row>
    <row r="194" spans="1:22">
      <c r="A194" s="8">
        <f t="shared" si="55"/>
        <v>0.9150000000000007</v>
      </c>
      <c r="B194" s="47">
        <f>B193*EXP((PL_r-0.5*Vol_a^2)*dt+Vol_a*SQRT(dt)*bs!A184)</f>
        <v>90.388051244875498</v>
      </c>
      <c r="C194" s="47">
        <f t="shared" si="42"/>
        <v>0.10028679825228082</v>
      </c>
      <c r="D194" s="44">
        <f t="shared" si="43"/>
        <v>4.6984491642228954E-2</v>
      </c>
      <c r="E194" s="47">
        <f t="shared" si="47"/>
        <v>-4.1465498400199348</v>
      </c>
      <c r="F194" s="47">
        <f t="shared" si="48"/>
        <v>15.095758292882982</v>
      </c>
      <c r="G194" s="47">
        <f t="shared" si="59"/>
        <v>10.949208452863047</v>
      </c>
      <c r="J194" s="47">
        <f t="shared" si="49"/>
        <v>-5.0161408857387233</v>
      </c>
      <c r="Q194" s="8">
        <f t="shared" si="44"/>
        <v>100</v>
      </c>
      <c r="R194" s="9">
        <f t="shared" si="54"/>
        <v>1.8618935845732019E-2</v>
      </c>
      <c r="S194" s="8">
        <f t="shared" si="56"/>
        <v>1</v>
      </c>
      <c r="T194" s="9">
        <f t="shared" si="57"/>
        <v>1.8900663295749943E-2</v>
      </c>
      <c r="U194" s="9">
        <f t="shared" si="58"/>
        <v>1.8557926761591709E-2</v>
      </c>
      <c r="V194" s="9">
        <f t="shared" si="53"/>
        <v>-2.11778691935894E-2</v>
      </c>
    </row>
    <row r="195" spans="1:22">
      <c r="A195" s="8">
        <f t="shared" si="55"/>
        <v>0.92000000000000071</v>
      </c>
      <c r="B195" s="47">
        <f>B194*EXP((PL_r-0.5*Vol_a^2)*dt+Vol_a*SQRT(dt)*bs!A185)</f>
        <v>93.361504788369729</v>
      </c>
      <c r="C195" s="47">
        <f t="shared" si="42"/>
        <v>0.31521125916122017</v>
      </c>
      <c r="D195" s="44">
        <f t="shared" si="43"/>
        <v>0.12348724168662606</v>
      </c>
      <c r="E195" s="47">
        <f t="shared" si="47"/>
        <v>-11.213743446867289</v>
      </c>
      <c r="F195" s="47">
        <f t="shared" si="48"/>
        <v>22.23967980878701</v>
      </c>
      <c r="G195" s="47">
        <f t="shared" si="59"/>
        <v>11.025936361919721</v>
      </c>
      <c r="J195" s="47">
        <f t="shared" si="49"/>
        <v>7.1424118645934325</v>
      </c>
      <c r="Q195" s="8">
        <f t="shared" si="44"/>
        <v>100</v>
      </c>
      <c r="R195" s="9">
        <f t="shared" si="54"/>
        <v>3.8647067115487273E-2</v>
      </c>
      <c r="S195" s="8">
        <f t="shared" si="56"/>
        <v>1</v>
      </c>
      <c r="T195" s="9">
        <f t="shared" si="57"/>
        <v>0.14858685082813144</v>
      </c>
      <c r="U195" s="9">
        <f t="shared" si="58"/>
        <v>0.14587785199164541</v>
      </c>
      <c r="V195" s="9">
        <f t="shared" si="53"/>
        <v>3.2896533364113308E-2</v>
      </c>
    </row>
    <row r="196" spans="1:22">
      <c r="A196" s="8">
        <f t="shared" si="55"/>
        <v>0.92500000000000071</v>
      </c>
      <c r="B196" s="47">
        <f>B195*EXP((PL_r-0.5*Vol_a^2)*dt+Vol_a*SQRT(dt)*bs!A186)</f>
        <v>93.805986281954617</v>
      </c>
      <c r="C196" s="47">
        <f t="shared" si="42"/>
        <v>0.33579085149051124</v>
      </c>
      <c r="D196" s="44">
        <f t="shared" si="43"/>
        <v>0.13293272050204319</v>
      </c>
      <c r="E196" s="47">
        <f t="shared" si="47"/>
        <v>-12.13409410434706</v>
      </c>
      <c r="F196" s="47">
        <f t="shared" si="48"/>
        <v>23.127946344155504</v>
      </c>
      <c r="G196" s="47">
        <f t="shared" si="59"/>
        <v>10.993852239808444</v>
      </c>
      <c r="J196" s="47">
        <f t="shared" si="49"/>
        <v>0.88604245618551225</v>
      </c>
      <c r="Q196" s="8">
        <f t="shared" si="44"/>
        <v>100</v>
      </c>
      <c r="R196" s="9">
        <f t="shared" si="54"/>
        <v>4.1811925062496799E-2</v>
      </c>
      <c r="S196" s="8">
        <f t="shared" si="56"/>
        <v>-1</v>
      </c>
      <c r="T196" s="9">
        <f t="shared" si="57"/>
        <v>-3.2622984926106685E-2</v>
      </c>
      <c r="U196" s="9">
        <f t="shared" si="58"/>
        <v>-3.2025008045818038E-2</v>
      </c>
      <c r="V196" s="9">
        <f t="shared" si="53"/>
        <v>4.7608647117720658E-3</v>
      </c>
    </row>
    <row r="197" spans="1:22">
      <c r="A197" s="8">
        <f t="shared" si="55"/>
        <v>0.93000000000000071</v>
      </c>
      <c r="B197" s="47">
        <f>B196*EXP((PL_r-0.5*Vol_a^2)*dt+Vol_a*SQRT(dt)*bs!A187)</f>
        <v>93.689530904044958</v>
      </c>
      <c r="C197" s="47">
        <f t="shared" si="42"/>
        <v>0.28391226796791713</v>
      </c>
      <c r="D197" s="44">
        <f t="shared" si="43"/>
        <v>0.1192107477067974</v>
      </c>
      <c r="E197" s="47">
        <f t="shared" si="47"/>
        <v>-10.884886763402385</v>
      </c>
      <c r="F197" s="47">
        <f t="shared" si="48"/>
        <v>21.844654060168864</v>
      </c>
      <c r="G197" s="47">
        <f t="shared" si="59"/>
        <v>10.959767296766479</v>
      </c>
      <c r="J197" s="47">
        <f t="shared" si="49"/>
        <v>-1.285605194264644</v>
      </c>
      <c r="Q197" s="8">
        <f t="shared" si="44"/>
        <v>100</v>
      </c>
      <c r="R197" s="9">
        <f t="shared" si="54"/>
        <v>4.0163009985398943E-2</v>
      </c>
      <c r="S197" s="8">
        <f t="shared" si="56"/>
        <v>-1</v>
      </c>
      <c r="T197" s="9">
        <f t="shared" si="57"/>
        <v>-3.4982331857880355E-2</v>
      </c>
      <c r="U197" s="9">
        <f t="shared" si="58"/>
        <v>-3.4337674385187596E-2</v>
      </c>
      <c r="V197" s="9">
        <f t="shared" si="53"/>
        <v>-1.2414493202984611E-3</v>
      </c>
    </row>
    <row r="198" spans="1:22">
      <c r="A198" s="8">
        <f t="shared" si="55"/>
        <v>0.93500000000000072</v>
      </c>
      <c r="B198" s="47">
        <f>B197*EXP((PL_r-0.5*Vol_a^2)*dt+Vol_a*SQRT(dt)*bs!A188)</f>
        <v>93.280722211733803</v>
      </c>
      <c r="C198" s="47">
        <f t="shared" si="42"/>
        <v>0.20623840790301351</v>
      </c>
      <c r="D198" s="44">
        <f t="shared" si="43"/>
        <v>9.4569750088354554E-2</v>
      </c>
      <c r="E198" s="47">
        <f t="shared" si="47"/>
        <v>-8.6152961797218754</v>
      </c>
      <c r="F198" s="47">
        <f t="shared" si="48"/>
        <v>19.548308580935831</v>
      </c>
      <c r="G198" s="47">
        <f t="shared" si="59"/>
        <v>10.933012401213956</v>
      </c>
      <c r="J198" s="47">
        <f t="shared" si="49"/>
        <v>-2.2985300538659619</v>
      </c>
      <c r="Q198" s="8">
        <f t="shared" si="44"/>
        <v>100</v>
      </c>
      <c r="R198" s="9">
        <f t="shared" si="54"/>
        <v>3.5416254507783622E-2</v>
      </c>
      <c r="S198" s="8">
        <f t="shared" si="56"/>
        <v>-1</v>
      </c>
      <c r="T198" s="9">
        <f t="shared" si="57"/>
        <v>-2.7883029014523272E-2</v>
      </c>
      <c r="U198" s="9">
        <f t="shared" si="58"/>
        <v>-2.7366461332899848E-2</v>
      </c>
      <c r="V198" s="9">
        <f t="shared" si="53"/>
        <v>-4.3634404865347098E-3</v>
      </c>
    </row>
    <row r="199" spans="1:22">
      <c r="A199" s="8">
        <f t="shared" si="55"/>
        <v>0.94000000000000072</v>
      </c>
      <c r="B199" s="47">
        <f>B198*EXP((PL_r-0.5*Vol_a^2)*dt+Vol_a*SQRT(dt)*bs!A189)</f>
        <v>95.530674872125857</v>
      </c>
      <c r="C199" s="47">
        <f t="shared" si="42"/>
        <v>0.47279510708474604</v>
      </c>
      <c r="D199" s="44">
        <f t="shared" si="43"/>
        <v>0.18826098321947249</v>
      </c>
      <c r="E199" s="47">
        <f t="shared" si="47"/>
        <v>-17.511903671961424</v>
      </c>
      <c r="F199" s="47">
        <f t="shared" si="48"/>
        <v>28.500650240156101</v>
      </c>
      <c r="G199" s="47">
        <f t="shared" si="59"/>
        <v>10.988746568194678</v>
      </c>
      <c r="J199" s="47">
        <f t="shared" si="49"/>
        <v>8.9503867306173746</v>
      </c>
      <c r="Q199" s="8">
        <f t="shared" si="44"/>
        <v>100</v>
      </c>
      <c r="R199" s="9">
        <f t="shared" si="54"/>
        <v>5.7656288146953519E-2</v>
      </c>
      <c r="S199" s="8">
        <f t="shared" si="56"/>
        <v>1</v>
      </c>
      <c r="T199" s="9">
        <f t="shared" si="57"/>
        <v>0.10044351668746489</v>
      </c>
      <c r="U199" s="9">
        <f t="shared" si="58"/>
        <v>9.8572818237153928E-2</v>
      </c>
      <c r="V199" s="9">
        <f t="shared" si="53"/>
        <v>2.4120231994827247E-2</v>
      </c>
    </row>
    <row r="200" spans="1:22">
      <c r="A200" s="8">
        <f t="shared" si="55"/>
        <v>0.94500000000000073</v>
      </c>
      <c r="B200" s="47">
        <f>B199*EXP((PL_r-0.5*Vol_a^2)*dt+Vol_a*SQRT(dt)*bs!A190)</f>
        <v>96.860967284483053</v>
      </c>
      <c r="C200" s="47">
        <f t="shared" si="42"/>
        <v>0.70900479168162889</v>
      </c>
      <c r="D200" s="44">
        <f t="shared" si="43"/>
        <v>0.26334426960840052</v>
      </c>
      <c r="E200" s="47">
        <f t="shared" si="47"/>
        <v>-24.798775891413737</v>
      </c>
      <c r="F200" s="47">
        <f t="shared" si="48"/>
        <v>35.776140194217547</v>
      </c>
      <c r="G200" s="47">
        <f t="shared" si="59"/>
        <v>10.97736430280381</v>
      </c>
      <c r="J200" s="47">
        <f t="shared" si="49"/>
        <v>7.2726397465294292</v>
      </c>
      <c r="Q200" s="8">
        <f t="shared" si="44"/>
        <v>100</v>
      </c>
      <c r="R200" s="9">
        <f t="shared" si="54"/>
        <v>7.1865835518112667E-2</v>
      </c>
      <c r="S200" s="8">
        <f t="shared" si="56"/>
        <v>-1</v>
      </c>
      <c r="T200" s="9">
        <f t="shared" si="57"/>
        <v>-2.0518332487324278E-3</v>
      </c>
      <c r="U200" s="9">
        <f t="shared" si="58"/>
        <v>-2.0134177701301281E-3</v>
      </c>
      <c r="V200" s="9">
        <f t="shared" si="53"/>
        <v>1.3925290637147494E-2</v>
      </c>
    </row>
    <row r="201" spans="1:22">
      <c r="A201" s="8">
        <f t="shared" si="55"/>
        <v>0.95000000000000073</v>
      </c>
      <c r="B201" s="47">
        <f>B200*EXP((PL_r-0.5*Vol_a^2)*dt+Vol_a*SQRT(dt)*bs!A191)</f>
        <v>99.058453770870557</v>
      </c>
      <c r="C201" s="47">
        <f t="shared" si="42"/>
        <v>1.3855387490230484</v>
      </c>
      <c r="D201" s="44">
        <f t="shared" si="43"/>
        <v>0.43375891161201385</v>
      </c>
      <c r="E201" s="47">
        <f t="shared" si="47"/>
        <v>-41.581948344598757</v>
      </c>
      <c r="F201" s="47">
        <f t="shared" si="48"/>
        <v>52.660728923918015</v>
      </c>
      <c r="G201" s="47">
        <f t="shared" si="59"/>
        <v>11.078780579319258</v>
      </c>
      <c r="J201" s="47">
        <f t="shared" si="49"/>
        <v>16.881010936794386</v>
      </c>
      <c r="Q201" s="8">
        <f t="shared" si="44"/>
        <v>100</v>
      </c>
      <c r="R201" s="9">
        <f t="shared" si="54"/>
        <v>8.8809846866041209E-2</v>
      </c>
      <c r="S201" s="8">
        <f t="shared" si="56"/>
        <v>1</v>
      </c>
      <c r="T201" s="9">
        <f t="shared" si="57"/>
        <v>0.13712354362385304</v>
      </c>
      <c r="U201" s="9">
        <f t="shared" si="58"/>
        <v>0.13454279108132572</v>
      </c>
      <c r="V201" s="9">
        <f t="shared" si="53"/>
        <v>2.268701777397527E-2</v>
      </c>
    </row>
    <row r="202" spans="1:22">
      <c r="A202" s="8">
        <f t="shared" si="55"/>
        <v>0.95500000000000074</v>
      </c>
      <c r="B202" s="47">
        <f>B201*EXP((PL_r-0.5*Vol_a^2)*dt+Vol_a*SQRT(dt)*bs!A192)</f>
        <v>99.611881642721471</v>
      </c>
      <c r="C202" s="47">
        <f t="shared" si="42"/>
        <v>1.5435033850053728</v>
      </c>
      <c r="D202" s="44">
        <f t="shared" si="43"/>
        <v>0.48036715947005415</v>
      </c>
      <c r="E202" s="47">
        <f t="shared" si="47"/>
        <v>-46.306773249175968</v>
      </c>
      <c r="F202" s="47">
        <f t="shared" si="48"/>
        <v>57.308730529332564</v>
      </c>
      <c r="G202" s="47">
        <f t="shared" si="59"/>
        <v>11.001957280156596</v>
      </c>
      <c r="J202" s="47">
        <f t="shared" si="49"/>
        <v>4.6427352692097363</v>
      </c>
      <c r="Q202" s="8">
        <f t="shared" si="44"/>
        <v>100</v>
      </c>
      <c r="R202" s="9">
        <f t="shared" si="54"/>
        <v>9.4283643007606388E-2</v>
      </c>
      <c r="S202" s="8">
        <f t="shared" si="56"/>
        <v>-1</v>
      </c>
      <c r="T202" s="9">
        <f t="shared" si="57"/>
        <v>-7.8952702914995218E-2</v>
      </c>
      <c r="U202" s="9">
        <f t="shared" si="58"/>
        <v>-7.7459016404532288E-2</v>
      </c>
      <c r="V202" s="9">
        <f t="shared" si="53"/>
        <v>5.5868817933604469E-3</v>
      </c>
    </row>
    <row r="203" spans="1:22">
      <c r="A203" s="8">
        <f t="shared" si="55"/>
        <v>0.96000000000000074</v>
      </c>
      <c r="B203" s="47">
        <f>B202*EXP((PL_r-0.5*Vol_a^2)*dt+Vol_a*SQRT(dt)*bs!A193)</f>
        <v>99.229806732813003</v>
      </c>
      <c r="C203" s="47">
        <f t="shared" ref="C203:C210" si="60">CallOption(B203,Vol_i,0,PL_r, PL_K,PL_T-A203)</f>
        <v>1.2675586958629665</v>
      </c>
      <c r="D203" s="44">
        <f t="shared" ref="D203:D210" si="61">CallDelta(B203,$E$6,0,PL_r, PL_K, PL_T-A203)</f>
        <v>0.43908334350936251</v>
      </c>
      <c r="E203" s="47">
        <f t="shared" si="47"/>
        <v>-42.302596620168416</v>
      </c>
      <c r="F203" s="47">
        <f t="shared" si="48"/>
        <v>53.217876609966254</v>
      </c>
      <c r="G203" s="47">
        <f t="shared" si="59"/>
        <v>10.915279989797838</v>
      </c>
      <c r="J203" s="47">
        <f t="shared" si="49"/>
        <v>-4.0965850789724518</v>
      </c>
      <c r="Q203" s="8">
        <f t="shared" ref="Q203:Q211" si="62">PL_K</f>
        <v>100</v>
      </c>
      <c r="R203" s="9">
        <f t="shared" ref="R203:R210" si="63">CallGamma(B203,$E$6,0,PL_r, PL_K, PL_T-A203)</f>
        <v>9.9335664767778442E-2</v>
      </c>
      <c r="S203" s="8">
        <f t="shared" si="56"/>
        <v>-1</v>
      </c>
      <c r="T203" s="9">
        <f t="shared" si="57"/>
        <v>-9.0616346967063083E-2</v>
      </c>
      <c r="U203" s="9">
        <f t="shared" si="58"/>
        <v>-8.8893109126109843E-2</v>
      </c>
      <c r="V203" s="9">
        <f t="shared" si="53"/>
        <v>-3.835635906154833E-3</v>
      </c>
    </row>
    <row r="204" spans="1:22">
      <c r="A204" s="8">
        <f t="shared" ref="A204:A211" si="64">A203+dt</f>
        <v>0.96500000000000075</v>
      </c>
      <c r="B204" s="47">
        <f>B203*EXP((PL_r-0.5*Vol_a^2)*dt+Vol_a*SQRT(dt)*bs!A194)</f>
        <v>99.58952595393464</v>
      </c>
      <c r="C204" s="47">
        <f t="shared" si="60"/>
        <v>1.3249719477807744</v>
      </c>
      <c r="D204" s="44">
        <f t="shared" si="61"/>
        <v>0.47109676379091203</v>
      </c>
      <c r="E204" s="47">
        <f t="shared" ref="E204:E211" si="65">C204-D204*B204</f>
        <v>-45.591331436588874</v>
      </c>
      <c r="F204" s="47">
        <f t="shared" ref="F204:F211" si="66">J204+F203*EXP(PL_r*dt)</f>
        <v>56.4114000137291</v>
      </c>
      <c r="G204" s="47">
        <f t="shared" si="59"/>
        <v>10.820068577140226</v>
      </c>
      <c r="J204" s="47">
        <f t="shared" ref="J204:J211" si="67">(D204-D203)*B204</f>
        <v>3.1882013500035935</v>
      </c>
      <c r="Q204" s="8">
        <f t="shared" si="62"/>
        <v>100</v>
      </c>
      <c r="R204" s="9">
        <f t="shared" si="63"/>
        <v>0.10678016730863203</v>
      </c>
      <c r="S204" s="8">
        <f t="shared" ref="S204:S211" si="68">IF(V204^2 &lt; ($E$6^2*dt), -1, 1)</f>
        <v>-1</v>
      </c>
      <c r="T204" s="9">
        <f t="shared" ref="T204:T211" si="69">0.5*R204*(B204^2)*(V204^2-$E$6^2*dt)</f>
        <v>-9.8946611575799884E-2</v>
      </c>
      <c r="U204" s="9">
        <f t="shared" ref="U204:U211" si="70">T204*EXP(-PL_r*A204)</f>
        <v>-9.7055252298417313E-2</v>
      </c>
      <c r="V204" s="9">
        <f t="shared" si="53"/>
        <v>3.6251125842683501E-3</v>
      </c>
    </row>
    <row r="205" spans="1:22">
      <c r="A205" s="8">
        <f t="shared" si="64"/>
        <v>0.97000000000000075</v>
      </c>
      <c r="B205" s="47">
        <f>B204*EXP((PL_r-0.5*Vol_a^2)*dt+Vol_a*SQRT(dt)*bs!A195)</f>
        <v>96.37297664964872</v>
      </c>
      <c r="C205" s="47">
        <f t="shared" si="60"/>
        <v>0.25767615985750147</v>
      </c>
      <c r="D205" s="44">
        <f t="shared" si="61"/>
        <v>0.15107110437991522</v>
      </c>
      <c r="E205" s="47">
        <f t="shared" si="65"/>
        <v>-14.301495854984713</v>
      </c>
      <c r="F205" s="47">
        <f t="shared" si="66"/>
        <v>25.575216034092445</v>
      </c>
      <c r="G205" s="47">
        <f t="shared" si="59"/>
        <v>11.273720179107732</v>
      </c>
      <c r="J205" s="47">
        <f t="shared" si="67"/>
        <v>-30.84182540170443</v>
      </c>
      <c r="Q205" s="8">
        <f t="shared" si="62"/>
        <v>100</v>
      </c>
      <c r="R205" s="9">
        <f t="shared" si="63"/>
        <v>7.0172049717058108E-2</v>
      </c>
      <c r="S205" s="8">
        <f t="shared" si="68"/>
        <v>1</v>
      </c>
      <c r="T205" s="9">
        <f t="shared" si="69"/>
        <v>0.27476245774876101</v>
      </c>
      <c r="U205" s="9">
        <f t="shared" si="70"/>
        <v>0.26948343812539527</v>
      </c>
      <c r="V205" s="9">
        <f t="shared" ref="V205:V211" si="71">(B205-B204)/B204</f>
        <v>-3.2298068230325161E-2</v>
      </c>
    </row>
    <row r="206" spans="1:22">
      <c r="A206" s="8">
        <f t="shared" si="64"/>
        <v>0.97500000000000075</v>
      </c>
      <c r="B206" s="47">
        <f>B205*EXP((PL_r-0.5*Vol_a^2)*dt+Vol_a*SQRT(dt)*bs!A196)</f>
        <v>97.800182958894865</v>
      </c>
      <c r="C206" s="47">
        <f t="shared" si="60"/>
        <v>0.45614162849063788</v>
      </c>
      <c r="D206" s="44">
        <f t="shared" si="61"/>
        <v>0.25085990617067977</v>
      </c>
      <c r="E206" s="47">
        <f t="shared" si="65"/>
        <v>-24.078003092053041</v>
      </c>
      <c r="F206" s="47">
        <f t="shared" si="66"/>
        <v>35.337136755961865</v>
      </c>
      <c r="G206" s="47">
        <f t="shared" si="59"/>
        <v>11.259133663908823</v>
      </c>
      <c r="J206" s="47">
        <f t="shared" si="67"/>
        <v>9.7593630723856677</v>
      </c>
      <c r="Q206" s="8">
        <f t="shared" si="62"/>
        <v>100</v>
      </c>
      <c r="R206" s="9">
        <f t="shared" si="63"/>
        <v>0.1029372665010837</v>
      </c>
      <c r="S206" s="8">
        <f t="shared" si="68"/>
        <v>1</v>
      </c>
      <c r="T206" s="9">
        <f t="shared" si="69"/>
        <v>9.5072676428585266E-3</v>
      </c>
      <c r="U206" s="9">
        <f t="shared" si="70"/>
        <v>9.3236718009378824E-3</v>
      </c>
      <c r="V206" s="9">
        <f t="shared" si="71"/>
        <v>1.4809196092744607E-2</v>
      </c>
    </row>
    <row r="207" spans="1:22">
      <c r="A207" s="8">
        <f t="shared" si="64"/>
        <v>0.98000000000000076</v>
      </c>
      <c r="B207" s="47">
        <f>B206*EXP((PL_r-0.5*Vol_a^2)*dt+Vol_a*SQRT(dt)*bs!A197)</f>
        <v>97.951677872890585</v>
      </c>
      <c r="C207" s="47">
        <f t="shared" si="60"/>
        <v>0.38809844203101918</v>
      </c>
      <c r="D207" s="44">
        <f t="shared" si="61"/>
        <v>0.2408948609262479</v>
      </c>
      <c r="E207" s="47">
        <f t="shared" si="65"/>
        <v>-23.207957376651592</v>
      </c>
      <c r="F207" s="47">
        <f t="shared" si="66"/>
        <v>34.364577744557664</v>
      </c>
      <c r="G207" s="47">
        <f t="shared" si="59"/>
        <v>11.156620367906072</v>
      </c>
      <c r="J207" s="47">
        <f t="shared" si="67"/>
        <v>-0.97609290177137065</v>
      </c>
      <c r="Q207" s="8">
        <f t="shared" si="62"/>
        <v>100</v>
      </c>
      <c r="R207" s="9">
        <f t="shared" si="63"/>
        <v>0.11243635492323391</v>
      </c>
      <c r="S207" s="8">
        <f t="shared" si="68"/>
        <v>-1</v>
      </c>
      <c r="T207" s="9">
        <f t="shared" si="69"/>
        <v>-0.10658316413642295</v>
      </c>
      <c r="U207" s="9">
        <f t="shared" si="70"/>
        <v>-0.10451447351271984</v>
      </c>
      <c r="V207" s="9">
        <f t="shared" si="71"/>
        <v>1.549024852636446E-3</v>
      </c>
    </row>
    <row r="208" spans="1:22">
      <c r="A208" s="8">
        <f t="shared" si="64"/>
        <v>0.98500000000000076</v>
      </c>
      <c r="B208" s="47">
        <f>B207*EXP((PL_r-0.5*Vol_a^2)*dt+Vol_a*SQRT(dt)*bs!A198)</f>
        <v>99.159919443643091</v>
      </c>
      <c r="C208" s="47">
        <f t="shared" si="60"/>
        <v>0.62106872733055241</v>
      </c>
      <c r="D208" s="44">
        <f t="shared" si="61"/>
        <v>0.37451635673251682</v>
      </c>
      <c r="E208" s="47">
        <f t="shared" si="65"/>
        <v>-36.515943036592518</v>
      </c>
      <c r="F208" s="47">
        <f t="shared" si="66"/>
        <v>47.617911134249454</v>
      </c>
      <c r="G208" s="47">
        <f t="shared" si="59"/>
        <v>11.101968097656936</v>
      </c>
      <c r="J208" s="47">
        <f t="shared" si="67"/>
        <v>13.249896760088719</v>
      </c>
      <c r="Q208" s="8">
        <f t="shared" si="62"/>
        <v>100</v>
      </c>
      <c r="R208" s="9">
        <f t="shared" si="63"/>
        <v>0.15605373883485699</v>
      </c>
      <c r="S208" s="8">
        <f t="shared" si="68"/>
        <v>-1</v>
      </c>
      <c r="T208" s="9">
        <f t="shared" si="69"/>
        <v>-3.6708009113462919E-2</v>
      </c>
      <c r="U208" s="9">
        <f t="shared" si="70"/>
        <v>-3.5991937794611767E-2</v>
      </c>
      <c r="V208" s="9">
        <f t="shared" si="71"/>
        <v>1.2335077836240951E-2</v>
      </c>
    </row>
    <row r="209" spans="1:22">
      <c r="A209" s="8">
        <f t="shared" si="64"/>
        <v>0.99000000000000077</v>
      </c>
      <c r="B209" s="47">
        <f>B208*EXP((PL_r-0.5*Vol_a^2)*dt+Vol_a*SQRT(dt)*bs!A199)</f>
        <v>104.02907523655625</v>
      </c>
      <c r="C209" s="47">
        <f t="shared" si="60"/>
        <v>4.0670991678166644</v>
      </c>
      <c r="D209" s="44">
        <f t="shared" si="61"/>
        <v>0.97697929427539576</v>
      </c>
      <c r="E209" s="47">
        <f t="shared" si="65"/>
        <v>-97.567153340916107</v>
      </c>
      <c r="F209" s="47">
        <f t="shared" si="66"/>
        <v>110.29633542034522</v>
      </c>
      <c r="G209" s="47">
        <f t="shared" si="59"/>
        <v>12.729182079429108</v>
      </c>
      <c r="J209" s="47">
        <f t="shared" si="67"/>
        <v>62.673662256884846</v>
      </c>
      <c r="Q209" s="8">
        <f t="shared" si="62"/>
        <v>100</v>
      </c>
      <c r="R209" s="9">
        <f t="shared" si="63"/>
        <v>2.6209777406323659E-2</v>
      </c>
      <c r="S209" s="8">
        <f t="shared" si="68"/>
        <v>1</v>
      </c>
      <c r="T209" s="9">
        <f t="shared" si="69"/>
        <v>0.31359763167540222</v>
      </c>
      <c r="U209" s="9">
        <f t="shared" si="70"/>
        <v>0.30744946626504333</v>
      </c>
      <c r="V209" s="9">
        <f t="shared" si="71"/>
        <v>4.9104071687760049E-2</v>
      </c>
    </row>
    <row r="210" spans="1:22">
      <c r="A210" s="8">
        <f t="shared" si="64"/>
        <v>0.99500000000000077</v>
      </c>
      <c r="B210" s="47">
        <f>B209*EXP((PL_r-0.5*Vol_a^2)*dt+Vol_a*SQRT(dt)*bs!A200)</f>
        <v>103.19895639310297</v>
      </c>
      <c r="C210" s="47">
        <f t="shared" si="60"/>
        <v>3.2153323006654091</v>
      </c>
      <c r="D210" s="44">
        <f t="shared" si="61"/>
        <v>0.98747790550721781</v>
      </c>
      <c r="E210" s="47">
        <f t="shared" si="65"/>
        <v>-98.691357008926616</v>
      </c>
      <c r="F210" s="47">
        <f t="shared" si="66"/>
        <v>111.39081132808826</v>
      </c>
      <c r="G210" s="47">
        <f t="shared" si="59"/>
        <v>12.699454319161646</v>
      </c>
      <c r="J210" s="47">
        <f t="shared" si="67"/>
        <v>1.0834457227009451</v>
      </c>
      <c r="Q210" s="8">
        <f t="shared" si="62"/>
        <v>100</v>
      </c>
      <c r="R210" s="9">
        <f t="shared" si="63"/>
        <v>2.2205575093092834E-2</v>
      </c>
      <c r="S210" s="8">
        <f t="shared" si="68"/>
        <v>-1</v>
      </c>
      <c r="T210" s="9">
        <f t="shared" si="69"/>
        <v>-1.6119707568366358E-2</v>
      </c>
      <c r="U210" s="9">
        <f t="shared" si="70"/>
        <v>-1.5802096103208041E-2</v>
      </c>
      <c r="V210" s="9">
        <f t="shared" si="71"/>
        <v>-7.9796810801752698E-3</v>
      </c>
    </row>
    <row r="211" spans="1:22">
      <c r="A211" s="8">
        <f t="shared" si="64"/>
        <v>1.0000000000000007</v>
      </c>
      <c r="B211" s="47">
        <f>B210*EXP((PL_r-0.5*Vol_a^2)*dt+Vol_a*SQRT(dt)*bs!A201)</f>
        <v>101.97805872984775</v>
      </c>
      <c r="C211" s="58">
        <f>MAX(B211-PL_K,0)</f>
        <v>1.9780587298477457</v>
      </c>
      <c r="D211" s="45">
        <f>IF(B211&gt;PL_K,1,0)</f>
        <v>1</v>
      </c>
      <c r="E211" s="47">
        <f t="shared" si="65"/>
        <v>-100</v>
      </c>
      <c r="F211" s="47">
        <f t="shared" si="66"/>
        <v>112.67892985379935</v>
      </c>
      <c r="G211" s="47">
        <f t="shared" si="59"/>
        <v>12.678929853799346</v>
      </c>
      <c r="J211" s="47">
        <f t="shared" si="67"/>
        <v>1.2769788876056449</v>
      </c>
      <c r="Q211" s="8">
        <f t="shared" si="62"/>
        <v>100</v>
      </c>
      <c r="R211" s="9">
        <v>0</v>
      </c>
      <c r="S211" s="8">
        <f t="shared" si="68"/>
        <v>-1</v>
      </c>
      <c r="T211" s="9">
        <f t="shared" si="69"/>
        <v>0</v>
      </c>
      <c r="U211" s="9">
        <f t="shared" si="70"/>
        <v>0</v>
      </c>
      <c r="V211" s="9">
        <f t="shared" si="71"/>
        <v>-1.183052334952512E-2</v>
      </c>
    </row>
  </sheetData>
  <phoneticPr fontId="4" type="noConversion"/>
  <conditionalFormatting sqref="D11:D210">
    <cfRule type="dataBar" priority="4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{D37C8063-4E24-ED40-812A-AD9B4592E30D}</x14:id>
        </ext>
      </extLst>
    </cfRule>
  </conditionalFormatting>
  <conditionalFormatting sqref="D211">
    <cfRule type="dataBar" priority="3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{29D72B28-E7E8-C44A-A4DC-FBD0CF8A327C}</x14:id>
        </ext>
      </extLst>
    </cfRule>
  </conditionalFormatting>
  <conditionalFormatting sqref="R11:R21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{EDB03965-2FBA-8347-8239-D5A3C6E9F9F5}</x14:id>
        </ext>
      </extLst>
    </cfRule>
  </conditionalFormatting>
  <conditionalFormatting sqref="S12:S211">
    <cfRule type="iconSet" priority="1">
      <iconSet iconSet="3Arrows">
        <cfvo type="percent" val="0"/>
        <cfvo type="percent" val="33"/>
        <cfvo type="percent" val="67"/>
      </iconSet>
    </cfRule>
  </conditionalFormatting>
  <dataValidations disablePrompts="1" count="1">
    <dataValidation type="list" allowBlank="1" showInputMessage="1" showErrorMessage="1" sqref="E6" xr:uid="{00000000-0002-0000-0200-000000000000}">
      <formula1>$E$1:$E$2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Recalculate">
                <anchor moveWithCells="1" sizeWithCells="1">
                  <from>
                    <xdr:col>7</xdr:col>
                    <xdr:colOff>28575</xdr:colOff>
                    <xdr:row>6</xdr:row>
                    <xdr:rowOff>66675</xdr:rowOff>
                  </from>
                  <to>
                    <xdr:col>8</xdr:col>
                    <xdr:colOff>352425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7C8063-4E24-ED40-812A-AD9B4592E30D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D11:D210</xm:sqref>
        </x14:conditionalFormatting>
        <x14:conditionalFormatting xmlns:xm="http://schemas.microsoft.com/office/excel/2006/main">
          <x14:cfRule type="dataBar" id="{29D72B28-E7E8-C44A-A4DC-FBD0CF8A327C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D211</xm:sqref>
        </x14:conditionalFormatting>
        <x14:conditionalFormatting xmlns:xm="http://schemas.microsoft.com/office/excel/2006/main">
          <x14:cfRule type="dataBar" id="{EDB03965-2FBA-8347-8239-D5A3C6E9F9F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R11:R211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E516-5F70-4239-9CE5-11BC845F098C}">
  <sheetPr codeName="Sheet6"/>
  <dimension ref="A1:A201"/>
  <sheetViews>
    <sheetView workbookViewId="0"/>
  </sheetViews>
  <sheetFormatPr defaultRowHeight="12.75"/>
  <cols>
    <col min="1" max="1" width="12.5703125" bestFit="1" customWidth="1"/>
  </cols>
  <sheetData>
    <row r="1" spans="1:1">
      <c r="A1" t="s">
        <v>101</v>
      </c>
    </row>
    <row r="2" spans="1:1">
      <c r="A2">
        <v>-1.1006148878441893</v>
      </c>
    </row>
    <row r="3" spans="1:1">
      <c r="A3">
        <v>-1.2820132255621106</v>
      </c>
    </row>
    <row r="4" spans="1:1">
      <c r="A4">
        <v>1.4744776056884779</v>
      </c>
    </row>
    <row r="5" spans="1:1">
      <c r="A5">
        <v>0.62605817803522534</v>
      </c>
    </row>
    <row r="6" spans="1:1">
      <c r="A6">
        <v>2.2856427297747089E-2</v>
      </c>
    </row>
    <row r="7" spans="1:1">
      <c r="A7">
        <v>-1.5773749296425539</v>
      </c>
    </row>
    <row r="8" spans="1:1">
      <c r="A8">
        <v>-1.0305084278892549</v>
      </c>
    </row>
    <row r="9" spans="1:1">
      <c r="A9">
        <v>-2.6015300788633096</v>
      </c>
    </row>
    <row r="10" spans="1:1">
      <c r="A10">
        <v>0.10715700766197855</v>
      </c>
    </row>
    <row r="11" spans="1:1">
      <c r="A11">
        <v>0.37703750790249591</v>
      </c>
    </row>
    <row r="12" spans="1:1">
      <c r="A12">
        <v>0.54606525996776178</v>
      </c>
    </row>
    <row r="13" spans="1:1">
      <c r="A13">
        <v>-1.2598817995627667</v>
      </c>
    </row>
    <row r="14" spans="1:1">
      <c r="A14">
        <v>0.28941671461316115</v>
      </c>
    </row>
    <row r="15" spans="1:1">
      <c r="A15">
        <v>1.411841858581895</v>
      </c>
    </row>
    <row r="16" spans="1:1">
      <c r="A16">
        <v>-0.4217482027954621</v>
      </c>
    </row>
    <row r="17" spans="1:1">
      <c r="A17">
        <v>0.32492191429272943</v>
      </c>
    </row>
    <row r="18" spans="1:1">
      <c r="A18">
        <v>-8.237727559940429E-2</v>
      </c>
    </row>
    <row r="19" spans="1:1">
      <c r="A19">
        <v>0.68275792919155565</v>
      </c>
    </row>
    <row r="20" spans="1:1">
      <c r="A20">
        <v>-1.3099206311622988</v>
      </c>
    </row>
    <row r="21" spans="1:1">
      <c r="A21">
        <v>-0.16712076741147036</v>
      </c>
    </row>
    <row r="22" spans="1:1">
      <c r="A22">
        <v>-2.5719103722229231</v>
      </c>
    </row>
    <row r="23" spans="1:1">
      <c r="A23">
        <v>1.9734927214497806</v>
      </c>
    </row>
    <row r="24" spans="1:1">
      <c r="A24">
        <v>-3.275099835022497E-3</v>
      </c>
    </row>
    <row r="25" spans="1:1">
      <c r="A25">
        <v>0.33148525341599244</v>
      </c>
    </row>
    <row r="26" spans="1:1">
      <c r="A26">
        <v>1.9182392394195686</v>
      </c>
    </row>
    <row r="27" spans="1:1">
      <c r="A27">
        <v>0.20324448643243817</v>
      </c>
    </row>
    <row r="28" spans="1:1">
      <c r="A28">
        <v>2.0023613086863472</v>
      </c>
    </row>
    <row r="29" spans="1:1">
      <c r="A29">
        <v>-0.20723352469593662</v>
      </c>
    </row>
    <row r="30" spans="1:1">
      <c r="A30">
        <v>-0.2704153844919569</v>
      </c>
    </row>
    <row r="31" spans="1:1">
      <c r="A31">
        <v>0.74534929772802117</v>
      </c>
    </row>
    <row r="32" spans="1:1">
      <c r="A32">
        <v>-0.69969886355283839</v>
      </c>
    </row>
    <row r="33" spans="1:1">
      <c r="A33">
        <v>0.81811974254498177</v>
      </c>
    </row>
    <row r="34" spans="1:1">
      <c r="A34">
        <v>-0.97173225638763705</v>
      </c>
    </row>
    <row r="35" spans="1:1">
      <c r="A35">
        <v>-1.3836325668236049</v>
      </c>
    </row>
    <row r="36" spans="1:1">
      <c r="A36">
        <v>-0.72023671435083925</v>
      </c>
    </row>
    <row r="37" spans="1:1">
      <c r="A37">
        <v>-0.12004963432482342</v>
      </c>
    </row>
    <row r="38" spans="1:1">
      <c r="A38">
        <v>-0.86938841414587487</v>
      </c>
    </row>
    <row r="39" spans="1:1">
      <c r="A39">
        <v>0.77225458951196357</v>
      </c>
    </row>
    <row r="40" spans="1:1">
      <c r="A40">
        <v>-0.18615827559321935</v>
      </c>
    </row>
    <row r="41" spans="1:1">
      <c r="A41">
        <v>1.7250085726656941</v>
      </c>
    </row>
    <row r="42" spans="1:1">
      <c r="A42">
        <v>2.8556922457340312</v>
      </c>
    </row>
    <row r="43" spans="1:1">
      <c r="A43">
        <v>-0.98251414335553988</v>
      </c>
    </row>
    <row r="44" spans="1:1">
      <c r="A44">
        <v>0.40368218459294436</v>
      </c>
    </row>
    <row r="45" spans="1:1">
      <c r="A45">
        <v>-0.98341399086835357</v>
      </c>
    </row>
    <row r="46" spans="1:1">
      <c r="A46">
        <v>-0.72673862841350012</v>
      </c>
    </row>
    <row r="47" spans="1:1">
      <c r="A47">
        <v>1.4926848153071879</v>
      </c>
    </row>
    <row r="48" spans="1:1">
      <c r="A48">
        <v>-5.6866332494912804E-2</v>
      </c>
    </row>
    <row r="49" spans="1:1">
      <c r="A49">
        <v>-2.3143639134574872</v>
      </c>
    </row>
    <row r="50" spans="1:1">
      <c r="A50">
        <v>-2.0193163437269366</v>
      </c>
    </row>
    <row r="51" spans="1:1">
      <c r="A51">
        <v>-0.40934438018312458</v>
      </c>
    </row>
    <row r="52" spans="1:1">
      <c r="A52">
        <v>6.5760466898218142E-2</v>
      </c>
    </row>
    <row r="53" spans="1:1">
      <c r="A53">
        <v>1.8160834867020259</v>
      </c>
    </row>
    <row r="54" spans="1:1">
      <c r="A54">
        <v>0.66562161771281203</v>
      </c>
    </row>
    <row r="55" spans="1:1">
      <c r="A55">
        <v>-0.27232901887587446</v>
      </c>
    </row>
    <row r="56" spans="1:1">
      <c r="A56">
        <v>7.9184403659179781E-2</v>
      </c>
    </row>
    <row r="57" spans="1:1">
      <c r="A57">
        <v>-3.3720303272791893E-2</v>
      </c>
    </row>
    <row r="58" spans="1:1">
      <c r="A58">
        <v>-0.49188790632563312</v>
      </c>
    </row>
    <row r="59" spans="1:1">
      <c r="A59">
        <v>-0.91137257393474158</v>
      </c>
    </row>
    <row r="60" spans="1:1">
      <c r="A60">
        <v>0.52598876031639741</v>
      </c>
    </row>
    <row r="61" spans="1:1">
      <c r="A61">
        <v>0.63817621622933496</v>
      </c>
    </row>
    <row r="62" spans="1:1">
      <c r="A62">
        <v>-1.1643889413126909</v>
      </c>
    </row>
    <row r="63" spans="1:1">
      <c r="A63">
        <v>-0.30071724382170584</v>
      </c>
    </row>
    <row r="64" spans="1:1">
      <c r="A64">
        <v>0.82702487280849624</v>
      </c>
    </row>
    <row r="65" spans="1:1">
      <c r="A65">
        <v>0.48221346216198069</v>
      </c>
    </row>
    <row r="66" spans="1:1">
      <c r="A66">
        <v>4.6619021331596296E-2</v>
      </c>
    </row>
    <row r="67" spans="1:1">
      <c r="A67">
        <v>1.5780074149572321</v>
      </c>
    </row>
    <row r="68" spans="1:1">
      <c r="A68">
        <v>-0.64571354402635994</v>
      </c>
    </row>
    <row r="69" spans="1:1">
      <c r="A69">
        <v>5.2573672482445127E-2</v>
      </c>
    </row>
    <row r="70" spans="1:1">
      <c r="A70">
        <v>-0.78779173073055875</v>
      </c>
    </row>
    <row r="71" spans="1:1">
      <c r="A71">
        <v>0.73204339452906719</v>
      </c>
    </row>
    <row r="72" spans="1:1">
      <c r="A72">
        <v>-0.55455125140289352</v>
      </c>
    </row>
    <row r="73" spans="1:1">
      <c r="A73">
        <v>1.5181054037842374</v>
      </c>
    </row>
    <row r="74" spans="1:1">
      <c r="A74">
        <v>0.94112833342791935</v>
      </c>
    </row>
    <row r="75" spans="1:1">
      <c r="A75">
        <v>1.6530716892816804</v>
      </c>
    </row>
    <row r="76" spans="1:1">
      <c r="A76">
        <v>1.2496820135768667</v>
      </c>
    </row>
    <row r="77" spans="1:1">
      <c r="A77">
        <v>0.41113349975488184</v>
      </c>
    </row>
    <row r="78" spans="1:1">
      <c r="A78">
        <v>-1.4911033123284811</v>
      </c>
    </row>
    <row r="79" spans="1:1">
      <c r="A79">
        <v>-0.72588397819218187</v>
      </c>
    </row>
    <row r="80" spans="1:1">
      <c r="A80">
        <v>-0.26617134495110684</v>
      </c>
    </row>
    <row r="81" spans="1:1">
      <c r="A81">
        <v>0.6717442507223903</v>
      </c>
    </row>
    <row r="82" spans="1:1">
      <c r="A82">
        <v>0.63956293896808847</v>
      </c>
    </row>
    <row r="83" spans="1:1">
      <c r="A83">
        <v>-0.75024363370586566</v>
      </c>
    </row>
    <row r="84" spans="1:1">
      <c r="A84">
        <v>9.0920516894043221E-2</v>
      </c>
    </row>
    <row r="85" spans="1:1">
      <c r="A85">
        <v>0.2997329873297096</v>
      </c>
    </row>
    <row r="86" spans="1:1">
      <c r="A86">
        <v>0.10203255312172625</v>
      </c>
    </row>
    <row r="87" spans="1:1">
      <c r="A87">
        <v>1.7988709303025812</v>
      </c>
    </row>
    <row r="88" spans="1:1">
      <c r="A88">
        <v>-0.11747379221828977</v>
      </c>
    </row>
    <row r="89" spans="1:1">
      <c r="A89">
        <v>-1.3084537006580543</v>
      </c>
    </row>
    <row r="90" spans="1:1">
      <c r="A90">
        <v>0.47614007956089827</v>
      </c>
    </row>
    <row r="91" spans="1:1">
      <c r="A91">
        <v>0.70299266909174829</v>
      </c>
    </row>
    <row r="92" spans="1:1">
      <c r="A92">
        <v>-0.13252228850325323</v>
      </c>
    </row>
    <row r="93" spans="1:1">
      <c r="A93">
        <v>0.30816356156523877</v>
      </c>
    </row>
    <row r="94" spans="1:1">
      <c r="A94">
        <v>-1.2705510984601007</v>
      </c>
    </row>
    <row r="95" spans="1:1">
      <c r="A95">
        <v>0.30465777923623694</v>
      </c>
    </row>
    <row r="96" spans="1:1">
      <c r="A96">
        <v>2.5491779096738787</v>
      </c>
    </row>
    <row r="97" spans="1:1">
      <c r="A97">
        <v>1.6062975564209019</v>
      </c>
    </row>
    <row r="98" spans="1:1">
      <c r="A98">
        <v>0.39158195147449593</v>
      </c>
    </row>
    <row r="99" spans="1:1">
      <c r="A99">
        <v>-0.44886825617467097</v>
      </c>
    </row>
    <row r="100" spans="1:1">
      <c r="A100">
        <v>0.65808907199656996</v>
      </c>
    </row>
    <row r="101" spans="1:1">
      <c r="A101">
        <v>-1.1381087944212736</v>
      </c>
    </row>
    <row r="102" spans="1:1">
      <c r="A102">
        <v>0.88506705028281041</v>
      </c>
    </row>
    <row r="103" spans="1:1">
      <c r="A103">
        <v>-1.0569875724237199</v>
      </c>
    </row>
    <row r="104" spans="1:1">
      <c r="A104">
        <v>0.61661775769410432</v>
      </c>
    </row>
    <row r="105" spans="1:1">
      <c r="A105">
        <v>-2.3681811393268419</v>
      </c>
    </row>
    <row r="106" spans="1:1">
      <c r="A106">
        <v>0.3208081815453539</v>
      </c>
    </row>
    <row r="107" spans="1:1">
      <c r="A107">
        <v>-8.26557634190552E-2</v>
      </c>
    </row>
    <row r="108" spans="1:1">
      <c r="A108">
        <v>-0.19583587606718691</v>
      </c>
    </row>
    <row r="109" spans="1:1">
      <c r="A109">
        <v>-3.5818950499872777E-2</v>
      </c>
    </row>
    <row r="110" spans="1:1">
      <c r="A110">
        <v>-1.6223402599292758</v>
      </c>
    </row>
    <row r="111" spans="1:1">
      <c r="A111">
        <v>1.5537770171120073</v>
      </c>
    </row>
    <row r="112" spans="1:1">
      <c r="A112">
        <v>0.64989145697391659</v>
      </c>
    </row>
    <row r="113" spans="1:1">
      <c r="A113">
        <v>-0.2723998302469412</v>
      </c>
    </row>
    <row r="114" spans="1:1">
      <c r="A114">
        <v>-1.2702987389466993</v>
      </c>
    </row>
    <row r="115" spans="1:1">
      <c r="A115">
        <v>0.91257436209887355</v>
      </c>
    </row>
    <row r="116" spans="1:1">
      <c r="A116">
        <v>1.1346257295163644</v>
      </c>
    </row>
    <row r="117" spans="1:1">
      <c r="A117">
        <v>-0.57461373702272356</v>
      </c>
    </row>
    <row r="118" spans="1:1">
      <c r="A118">
        <v>-0.51499819038616301</v>
      </c>
    </row>
    <row r="119" spans="1:1">
      <c r="A119">
        <v>-2.0263019323141411</v>
      </c>
    </row>
    <row r="120" spans="1:1">
      <c r="A120">
        <v>2.3919995309319795</v>
      </c>
    </row>
    <row r="121" spans="1:1">
      <c r="A121">
        <v>1.3413793310558648</v>
      </c>
    </row>
    <row r="122" spans="1:1">
      <c r="A122">
        <v>-1.5653548750040623E-2</v>
      </c>
    </row>
    <row r="123" spans="1:1">
      <c r="A123">
        <v>-1.0909359943047101</v>
      </c>
    </row>
    <row r="124" spans="1:1">
      <c r="A124">
        <v>-1.508488227736936</v>
      </c>
    </row>
    <row r="125" spans="1:1">
      <c r="A125">
        <v>1.418973697894353</v>
      </c>
    </row>
    <row r="126" spans="1:1">
      <c r="A126">
        <v>0.68927471532557183</v>
      </c>
    </row>
    <row r="127" spans="1:1">
      <c r="A127">
        <v>0.21226011634822015</v>
      </c>
    </row>
    <row r="128" spans="1:1">
      <c r="A128">
        <v>0.47996313007862229</v>
      </c>
    </row>
    <row r="129" spans="1:1">
      <c r="A129">
        <v>1.9056869715482774</v>
      </c>
    </row>
    <row r="130" spans="1:1">
      <c r="A130">
        <v>-1.2311535609571003</v>
      </c>
    </row>
    <row r="131" spans="1:1">
      <c r="A131">
        <v>0.5088650120794509</v>
      </c>
    </row>
    <row r="132" spans="1:1">
      <c r="A132">
        <v>1.0048274945220312</v>
      </c>
    </row>
    <row r="133" spans="1:1">
      <c r="A133">
        <v>1.4354420609643295</v>
      </c>
    </row>
    <row r="134" spans="1:1">
      <c r="A134">
        <v>-0.95253810879802958</v>
      </c>
    </row>
    <row r="135" spans="1:1">
      <c r="A135">
        <v>-0.18807954605579144</v>
      </c>
    </row>
    <row r="136" spans="1:1">
      <c r="A136">
        <v>-1.2628487605298073</v>
      </c>
    </row>
    <row r="137" spans="1:1">
      <c r="A137">
        <v>-2.196124883388292</v>
      </c>
    </row>
    <row r="138" spans="1:1">
      <c r="A138">
        <v>0.81488881801773527</v>
      </c>
    </row>
    <row r="139" spans="1:1">
      <c r="A139">
        <v>-1.1243050880421528</v>
      </c>
    </row>
    <row r="140" spans="1:1">
      <c r="A140">
        <v>-1.9506508000126828</v>
      </c>
    </row>
    <row r="141" spans="1:1">
      <c r="A141">
        <v>5.4843104819798571E-3</v>
      </c>
    </row>
    <row r="142" spans="1:1">
      <c r="A142">
        <v>0.11235088053429733</v>
      </c>
    </row>
    <row r="143" spans="1:1">
      <c r="A143">
        <v>0.7831229599295112</v>
      </c>
    </row>
    <row r="144" spans="1:1">
      <c r="A144">
        <v>1.1097446731958691</v>
      </c>
    </row>
    <row r="145" spans="1:1">
      <c r="A145">
        <v>-0.13352194237944529</v>
      </c>
    </row>
    <row r="146" spans="1:1">
      <c r="A146">
        <v>-1.6832047614846273</v>
      </c>
    </row>
    <row r="147" spans="1:1">
      <c r="A147">
        <v>-1.418598277283845</v>
      </c>
    </row>
    <row r="148" spans="1:1">
      <c r="A148">
        <v>-0.12637307258689895</v>
      </c>
    </row>
    <row r="149" spans="1:1">
      <c r="A149">
        <v>1.7447723580965888</v>
      </c>
    </row>
    <row r="150" spans="1:1">
      <c r="A150">
        <v>-0.83284171679157826</v>
      </c>
    </row>
    <row r="151" spans="1:1">
      <c r="A151">
        <v>0.10762894972591064</v>
      </c>
    </row>
    <row r="152" spans="1:1">
      <c r="A152">
        <v>-0.55701573184879938</v>
      </c>
    </row>
    <row r="153" spans="1:1">
      <c r="A153">
        <v>-0.82411914216878002</v>
      </c>
    </row>
    <row r="154" spans="1:1">
      <c r="A154">
        <v>0.6712667146623672</v>
      </c>
    </row>
    <row r="155" spans="1:1">
      <c r="A155">
        <v>0.30516305766694113</v>
      </c>
    </row>
    <row r="156" spans="1:1">
      <c r="A156">
        <v>-1.0621236317637637</v>
      </c>
    </row>
    <row r="157" spans="1:1">
      <c r="A157">
        <v>1.5011749706336504</v>
      </c>
    </row>
    <row r="158" spans="1:1">
      <c r="A158">
        <v>-1.4622868769110193</v>
      </c>
    </row>
    <row r="159" spans="1:1">
      <c r="A159">
        <v>-1.4810817085454806</v>
      </c>
    </row>
    <row r="160" spans="1:1">
      <c r="A160">
        <v>-0.58187262323924005</v>
      </c>
    </row>
    <row r="161" spans="1:1">
      <c r="A161">
        <v>-6.4110804298975199E-2</v>
      </c>
    </row>
    <row r="162" spans="1:1">
      <c r="A162">
        <v>1.0307063731412254</v>
      </c>
    </row>
    <row r="163" spans="1:1">
      <c r="A163">
        <v>-0.10504129386416206</v>
      </c>
    </row>
    <row r="164" spans="1:1">
      <c r="A164">
        <v>0.99227839704228105</v>
      </c>
    </row>
    <row r="165" spans="1:1">
      <c r="A165">
        <v>-0.19301011477545385</v>
      </c>
    </row>
    <row r="166" spans="1:1">
      <c r="A166">
        <v>-0.2450114641727574</v>
      </c>
    </row>
    <row r="167" spans="1:1">
      <c r="A167">
        <v>1.2156723177668494</v>
      </c>
    </row>
    <row r="168" spans="1:1">
      <c r="A168">
        <v>1.6810973958137791</v>
      </c>
    </row>
    <row r="169" spans="1:1">
      <c r="A169">
        <v>-0.38570886272605442</v>
      </c>
    </row>
    <row r="170" spans="1:1">
      <c r="A170">
        <v>-0.40166664172309591</v>
      </c>
    </row>
    <row r="171" spans="1:1">
      <c r="A171">
        <v>-0.4171056166576213</v>
      </c>
    </row>
    <row r="172" spans="1:1">
      <c r="A172">
        <v>7.7187438713443593E-2</v>
      </c>
    </row>
    <row r="173" spans="1:1">
      <c r="A173">
        <v>1.1347459376262008</v>
      </c>
    </row>
    <row r="174" spans="1:1">
      <c r="A174">
        <v>-1.2234132656972494</v>
      </c>
    </row>
    <row r="175" spans="1:1">
      <c r="A175">
        <v>-1.4715143499595154</v>
      </c>
    </row>
    <row r="176" spans="1:1">
      <c r="A176">
        <v>-0.35911428569129733</v>
      </c>
    </row>
    <row r="177" spans="1:1">
      <c r="A177">
        <v>0.22792214494559015</v>
      </c>
    </row>
    <row r="178" spans="1:1">
      <c r="A178">
        <v>-0.56877653855668153</v>
      </c>
    </row>
    <row r="179" spans="1:1">
      <c r="A179">
        <v>-0.85158028294058885</v>
      </c>
    </row>
    <row r="180" spans="1:1">
      <c r="A180">
        <v>-0.39778624445563987</v>
      </c>
    </row>
    <row r="181" spans="1:1">
      <c r="A181">
        <v>-0.47388897496025989</v>
      </c>
    </row>
    <row r="182" spans="1:1">
      <c r="A182">
        <v>0.49831541574482763</v>
      </c>
    </row>
    <row r="183" spans="1:1">
      <c r="A183">
        <v>-0.16064729960453528</v>
      </c>
    </row>
    <row r="184" spans="1:1">
      <c r="A184">
        <v>-0.8565724883363911</v>
      </c>
    </row>
    <row r="185" spans="1:1">
      <c r="A185">
        <v>1.3161590168800823</v>
      </c>
    </row>
    <row r="186" spans="1:1">
      <c r="A186">
        <v>0.20024527185720031</v>
      </c>
    </row>
    <row r="187" spans="1:1">
      <c r="A187">
        <v>-4.1859531764248073E-2</v>
      </c>
    </row>
    <row r="188" spans="1:1">
      <c r="A188">
        <v>-0.16836164282474372</v>
      </c>
    </row>
    <row r="189" spans="1:1">
      <c r="A189">
        <v>0.97137011276665863</v>
      </c>
    </row>
    <row r="190" spans="1:1">
      <c r="A190">
        <v>0.56711881452053137</v>
      </c>
    </row>
    <row r="191" spans="1:1">
      <c r="A191">
        <v>0.91478382780554834</v>
      </c>
    </row>
    <row r="192" spans="1:1">
      <c r="A192">
        <v>0.233449608976146</v>
      </c>
    </row>
    <row r="193" spans="1:1">
      <c r="A193">
        <v>-0.14694732792781423</v>
      </c>
    </row>
    <row r="194" spans="1:1">
      <c r="A194">
        <v>0.15454556923641777</v>
      </c>
    </row>
    <row r="195" spans="1:1">
      <c r="A195">
        <v>-1.3182454683854017</v>
      </c>
    </row>
    <row r="196" spans="1:1">
      <c r="A196">
        <v>0.60232812978394346</v>
      </c>
    </row>
    <row r="197" spans="1:1">
      <c r="A197">
        <v>7.0875387578205037E-2</v>
      </c>
    </row>
    <row r="198" spans="1:1">
      <c r="A198">
        <v>0.50369723802419075</v>
      </c>
    </row>
    <row r="199" spans="1:1">
      <c r="A199">
        <v>1.9452622656239935</v>
      </c>
    </row>
    <row r="200" spans="1:1">
      <c r="A200">
        <v>-0.31538736773671366</v>
      </c>
    </row>
    <row r="201" spans="1:1">
      <c r="A201">
        <v>-0.47254171847273346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3"/>
  <sheetViews>
    <sheetView workbookViewId="0">
      <selection activeCell="K7" sqref="K7"/>
    </sheetView>
  </sheetViews>
  <sheetFormatPr defaultColWidth="8.85546875" defaultRowHeight="12.75"/>
  <cols>
    <col min="1" max="1" width="15.42578125" style="1" bestFit="1" customWidth="1"/>
    <col min="2" max="2" width="12.42578125" style="1" customWidth="1"/>
    <col min="3" max="3" width="9.85546875" style="1" bestFit="1" customWidth="1"/>
    <col min="4" max="9" width="8.85546875" style="1"/>
    <col min="10" max="10" width="11.85546875" style="1" bestFit="1" customWidth="1"/>
    <col min="11" max="11" width="10.7109375" style="1" bestFit="1" customWidth="1"/>
    <col min="12" max="12" width="10.140625" style="1" customWidth="1"/>
    <col min="13" max="13" width="11.7109375" style="1" bestFit="1" customWidth="1"/>
    <col min="14" max="14" width="11.7109375" style="1" customWidth="1"/>
    <col min="15" max="15" width="10.85546875" style="1" customWidth="1"/>
    <col min="16" max="16" width="8.85546875" style="1"/>
    <col min="17" max="17" width="10.28515625" style="1" customWidth="1"/>
    <col min="18" max="18" width="8.85546875" style="1"/>
    <col min="19" max="19" width="10.28515625" style="1" customWidth="1"/>
    <col min="20" max="16384" width="8.85546875" style="1"/>
  </cols>
  <sheetData>
    <row r="1" spans="1:22" ht="12.75" customHeight="1">
      <c r="A1" s="2" t="s">
        <v>0</v>
      </c>
      <c r="B1" s="3">
        <v>0.05</v>
      </c>
      <c r="K1" s="2" t="s">
        <v>3</v>
      </c>
      <c r="L1" s="2" t="s">
        <v>12</v>
      </c>
      <c r="M1" s="17" t="s">
        <v>36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62" t="s">
        <v>35</v>
      </c>
      <c r="T1" s="62"/>
      <c r="U1" s="62"/>
      <c r="V1" s="18"/>
    </row>
    <row r="2" spans="1:22">
      <c r="A2" s="2" t="s">
        <v>2</v>
      </c>
      <c r="B2" s="3">
        <v>0.2</v>
      </c>
      <c r="C2" s="21" t="s">
        <v>37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62"/>
      <c r="T2" s="62"/>
      <c r="U2" s="62"/>
      <c r="V2" s="18"/>
    </row>
    <row r="3" spans="1:2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62"/>
      <c r="T3" s="62"/>
      <c r="U3" s="62"/>
      <c r="V3" s="18"/>
    </row>
    <row r="4" spans="1:2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62"/>
      <c r="T4" s="62"/>
      <c r="U4" s="62"/>
    </row>
    <row r="5" spans="1:2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62"/>
      <c r="T5" s="62"/>
      <c r="U5" s="62"/>
    </row>
    <row r="6" spans="1:2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 xr:uid="{00000000-0002-0000-0300-000000000000}">
      <formula1>"Digital Call,Digital Put,Call,Put"</formula1>
    </dataValidation>
  </dataValidations>
  <pageMargins left="0.75" right="0.75" top="1" bottom="1" header="0.5" footer="0.5"/>
  <pageSetup paperSize="9" orientation="portrait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1B79A7-8395-4EF8-8995-803FBB0C53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Greeks</vt:lpstr>
      <vt:lpstr>Delta Hedge</vt:lpstr>
      <vt:lpstr>P&amp;L Study</vt:lpstr>
      <vt:lpstr>bs</vt:lpstr>
      <vt:lpstr>Uncertain Vol.</vt:lpstr>
      <vt:lpstr>UVM Binary</vt:lpstr>
      <vt:lpstr>BS_IVHigh</vt:lpstr>
      <vt:lpstr>BS_IVLow</vt:lpstr>
      <vt:lpstr>BS_K</vt:lpstr>
      <vt:lpstr>BS_r</vt:lpstr>
      <vt:lpstr>BS_T</vt:lpstr>
      <vt:lpstr>Delta_0</vt:lpstr>
      <vt:lpstr>DH_dt</vt:lpstr>
      <vt:lpstr>DH_PriceT</vt:lpstr>
      <vt:lpstr>DH_Rate</vt:lpstr>
      <vt:lpstr>DH_Strike</vt:lpstr>
      <vt:lpstr>DH_Term</vt:lpstr>
      <vt:lpstr>dt</vt:lpstr>
      <vt:lpstr>PL_K</vt:lpstr>
      <vt:lpstr>PL_r</vt:lpstr>
      <vt:lpstr>PL_T</vt:lpstr>
      <vt:lpstr>PL_Vol_a</vt:lpstr>
      <vt:lpstr>PL_Vol_i</vt:lpstr>
      <vt:lpstr>PL_Vol_sim</vt:lpstr>
      <vt:lpstr>S_0</vt:lpstr>
      <vt:lpstr>V_0</vt:lpstr>
      <vt:lpstr>Vol_a</vt:lpstr>
      <vt:lpstr>Vol_i</vt:lpstr>
      <vt:lpstr>Vol_sim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Fernando Bristotti</cp:lastModifiedBy>
  <cp:lastPrinted>2009-11-06T16:10:01Z</cp:lastPrinted>
  <dcterms:created xsi:type="dcterms:W3CDTF">2007-05-28T17:38:06Z</dcterms:created>
  <dcterms:modified xsi:type="dcterms:W3CDTF">2023-08-15T02:36:07Z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-895191373</vt:i4>
  </property>
  <property fmtid="{D5CDD505-2E9C-101B-9397-08002B2CF9AE}" pid="3" name="_NewReviewCycle">
    <vt:lpwstr/>
  </property>
  <property fmtid="{D5CDD505-2E9C-101B-9397-08002B2CF9AE}" pid="4" name="_EmailSubject">
    <vt:lpwstr>LECTURE NOTES CQF Lecture Thursday 1st September - Understanding Volatility 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563546608</vt:i4>
  </property>
  <property fmtid="{D5CDD505-2E9C-101B-9397-08002B2CF9AE}" pid="8" name="_ReviewingToolsShownOnce">
    <vt:lpwstr/>
  </property>
</Properties>
</file>