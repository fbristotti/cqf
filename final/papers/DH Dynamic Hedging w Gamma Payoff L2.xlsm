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bris\src\cqf\final\papers\"/>
    </mc:Choice>
  </mc:AlternateContent>
  <xr:revisionPtr revIDLastSave="0" documentId="13_ncr:1_{F236E00C-8B9F-48BF-AAA6-8E0CD43EB637}" xr6:coauthVersionLast="47" xr6:coauthVersionMax="47" xr10:uidLastSave="{00000000-0000-0000-0000-000000000000}"/>
  <bookViews>
    <workbookView xWindow="240" yWindow="-15045" windowWidth="26700" windowHeight="12390" activeTab="3" xr2:uid="{00000000-000D-0000-FFFF-FFFF00000000}"/>
  </bookViews>
  <sheets>
    <sheet name="Greeks" sheetId="10" r:id="rId1"/>
    <sheet name="Delta Hedge" sheetId="7" r:id="rId2"/>
    <sheet name="P&amp;L Study" sheetId="9" r:id="rId3"/>
    <sheet name="data" sheetId="14" r:id="rId4"/>
    <sheet name="bs" sheetId="12" r:id="rId5"/>
    <sheet name="final" sheetId="13" r:id="rId6"/>
    <sheet name="Uncertain Vol." sheetId="1" state="hidden" r:id="rId7"/>
    <sheet name="UVM Binary" sheetId="6" state="hidden" r:id="rId8"/>
  </sheets>
  <functionGroups builtInGroupCount="19"/>
  <definedNames>
    <definedName name="BS_IVHigh">Greeks!$D$12</definedName>
    <definedName name="BS_IVLow">Greeks!$C$12</definedName>
    <definedName name="BS_K">Greeks!$C$2</definedName>
    <definedName name="BS_r">Greeks!$C$3</definedName>
    <definedName name="BS_T">Greeks!$C$4</definedName>
    <definedName name="Delta_0">'P&amp;L Study'!$D$11</definedName>
    <definedName name="DH_dt">'Delta Hedge'!$D$5</definedName>
    <definedName name="DH_PriceT">'Delta Hedge'!$B$112</definedName>
    <definedName name="DH_Rate">'Delta Hedge'!$B$3</definedName>
    <definedName name="DH_Strike">'Delta Hedge'!$B$2</definedName>
    <definedName name="DH_Term">'Delta Hedge'!$B$5</definedName>
    <definedName name="dt">'P&amp;L Study'!$B$6</definedName>
    <definedName name="ExternalData_1" localSheetId="4" hidden="1">bs!$A$1:$A$201</definedName>
    <definedName name="ExternalData_2" localSheetId="5" hidden="1">final!$A$1:$U$75</definedName>
    <definedName name="ExternalData_3" localSheetId="3" hidden="1">data!$A$1:$J$75</definedName>
    <definedName name="PL_K">'P&amp;L Study'!$B$3</definedName>
    <definedName name="PL_r">'P&amp;L Study'!$B$2</definedName>
    <definedName name="PL_T">'P&amp;L Study'!$B$4</definedName>
    <definedName name="PL_Vol_a">'P&amp;L Study'!$E$1</definedName>
    <definedName name="PL_Vol_i">'P&amp;L Study'!$E$2</definedName>
    <definedName name="PL_Vol_sim">'P&amp;L Study'!$E$6</definedName>
    <definedName name="S_0">'P&amp;L Study'!$B$11</definedName>
    <definedName name="V_0">'P&amp;L Study'!$C$11</definedName>
    <definedName name="Vol_a">'P&amp;L Study'!$E$1</definedName>
    <definedName name="Vol_i">'P&amp;L Study'!$E$2</definedName>
    <definedName name="Vol_sim">'P&amp;L Study'!$E$6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3" i="14" l="1"/>
  <c r="AF4" i="14"/>
  <c r="AF5" i="14"/>
  <c r="AF6" i="14"/>
  <c r="AF7" i="14"/>
  <c r="AF8" i="14"/>
  <c r="AF9" i="14"/>
  <c r="AF10" i="14"/>
  <c r="AF11" i="14"/>
  <c r="AF12" i="14"/>
  <c r="AF13" i="14"/>
  <c r="AF14" i="14"/>
  <c r="AF15" i="14"/>
  <c r="AF16" i="14"/>
  <c r="AF17" i="14"/>
  <c r="AF18" i="14"/>
  <c r="AF19" i="14"/>
  <c r="AF20" i="14"/>
  <c r="AF21" i="14"/>
  <c r="AF22" i="14"/>
  <c r="AF23" i="14"/>
  <c r="AF24" i="14"/>
  <c r="AF25" i="14"/>
  <c r="AF26" i="14"/>
  <c r="AF27" i="14"/>
  <c r="AF28" i="14"/>
  <c r="AF29" i="14"/>
  <c r="AF30" i="14"/>
  <c r="AF31" i="14"/>
  <c r="AF32" i="14"/>
  <c r="AF33" i="14"/>
  <c r="AF34" i="14"/>
  <c r="AF35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56" i="14"/>
  <c r="AF57" i="14"/>
  <c r="AF58" i="14"/>
  <c r="AF59" i="14"/>
  <c r="AF60" i="14"/>
  <c r="AF61" i="14"/>
  <c r="AF62" i="14"/>
  <c r="AF63" i="14"/>
  <c r="AF64" i="14"/>
  <c r="AF65" i="14"/>
  <c r="AF66" i="14"/>
  <c r="AF67" i="14"/>
  <c r="AF68" i="14"/>
  <c r="AF69" i="14"/>
  <c r="AF70" i="14"/>
  <c r="AF71" i="14"/>
  <c r="AF72" i="14"/>
  <c r="AF73" i="14"/>
  <c r="AF74" i="14"/>
  <c r="AF75" i="14"/>
  <c r="AF2" i="14"/>
  <c r="W3" i="14"/>
  <c r="W4" i="14" s="1"/>
  <c r="W5" i="14" s="1"/>
  <c r="W6" i="14" s="1"/>
  <c r="W7" i="14" s="1"/>
  <c r="W8" i="14" s="1"/>
  <c r="W9" i="14" s="1"/>
  <c r="W10" i="14" s="1"/>
  <c r="W11" i="14" s="1"/>
  <c r="W12" i="14" s="1"/>
  <c r="W13" i="14" s="1"/>
  <c r="W14" i="14" s="1"/>
  <c r="W15" i="14" s="1"/>
  <c r="W16" i="14" s="1"/>
  <c r="W17" i="14" s="1"/>
  <c r="W18" i="14" s="1"/>
  <c r="W19" i="14" s="1"/>
  <c r="W20" i="14" s="1"/>
  <c r="W21" i="14" s="1"/>
  <c r="W22" i="14" s="1"/>
  <c r="W23" i="14" s="1"/>
  <c r="W24" i="14" s="1"/>
  <c r="W25" i="14" s="1"/>
  <c r="W26" i="14" s="1"/>
  <c r="W27" i="14" s="1"/>
  <c r="W28" i="14" s="1"/>
  <c r="W29" i="14" s="1"/>
  <c r="W30" i="14" s="1"/>
  <c r="W31" i="14" s="1"/>
  <c r="W32" i="14" s="1"/>
  <c r="W33" i="14" s="1"/>
  <c r="W34" i="14" s="1"/>
  <c r="W35" i="14" s="1"/>
  <c r="W36" i="14" s="1"/>
  <c r="W37" i="14" s="1"/>
  <c r="W38" i="14" s="1"/>
  <c r="W39" i="14" s="1"/>
  <c r="W40" i="14" s="1"/>
  <c r="W41" i="14" s="1"/>
  <c r="W42" i="14" s="1"/>
  <c r="W43" i="14" s="1"/>
  <c r="W44" i="14" s="1"/>
  <c r="W45" i="14" s="1"/>
  <c r="W46" i="14" s="1"/>
  <c r="W47" i="14" s="1"/>
  <c r="W48" i="14" s="1"/>
  <c r="W49" i="14" s="1"/>
  <c r="W50" i="14" s="1"/>
  <c r="W51" i="14" s="1"/>
  <c r="W52" i="14" s="1"/>
  <c r="W53" i="14" s="1"/>
  <c r="W54" i="14" s="1"/>
  <c r="W55" i="14" s="1"/>
  <c r="W56" i="14" s="1"/>
  <c r="W57" i="14" s="1"/>
  <c r="W58" i="14" s="1"/>
  <c r="W59" i="14" s="1"/>
  <c r="W60" i="14" s="1"/>
  <c r="W61" i="14" s="1"/>
  <c r="W62" i="14" s="1"/>
  <c r="W63" i="14" s="1"/>
  <c r="W64" i="14" s="1"/>
  <c r="W65" i="14" s="1"/>
  <c r="W66" i="14" s="1"/>
  <c r="W67" i="14" s="1"/>
  <c r="W68" i="14" s="1"/>
  <c r="W69" i="14" s="1"/>
  <c r="W70" i="14" s="1"/>
  <c r="W71" i="14" s="1"/>
  <c r="W72" i="14" s="1"/>
  <c r="W73" i="14" s="1"/>
  <c r="W74" i="14" s="1"/>
  <c r="W75" i="14" s="1"/>
  <c r="V3" i="14"/>
  <c r="V4" i="14" s="1"/>
  <c r="V5" i="14" s="1"/>
  <c r="V6" i="14" s="1"/>
  <c r="V7" i="14" s="1"/>
  <c r="V8" i="14" s="1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V38" i="14" s="1"/>
  <c r="V39" i="14" s="1"/>
  <c r="V40" i="14" s="1"/>
  <c r="V41" i="14" s="1"/>
  <c r="V42" i="14" s="1"/>
  <c r="V43" i="14" s="1"/>
  <c r="V44" i="14" s="1"/>
  <c r="V45" i="14" s="1"/>
  <c r="V46" i="14" s="1"/>
  <c r="V47" i="14" s="1"/>
  <c r="V48" i="14" s="1"/>
  <c r="V49" i="14" s="1"/>
  <c r="V50" i="14" s="1"/>
  <c r="V51" i="14" s="1"/>
  <c r="V52" i="14" s="1"/>
  <c r="V53" i="14" s="1"/>
  <c r="V54" i="14" s="1"/>
  <c r="V55" i="14" s="1"/>
  <c r="V56" i="14" s="1"/>
  <c r="V57" i="14" s="1"/>
  <c r="V58" i="14" s="1"/>
  <c r="V59" i="14" s="1"/>
  <c r="V60" i="14" s="1"/>
  <c r="V61" i="14" s="1"/>
  <c r="V62" i="14" s="1"/>
  <c r="V63" i="14" s="1"/>
  <c r="V64" i="14" s="1"/>
  <c r="V65" i="14" s="1"/>
  <c r="V66" i="14" s="1"/>
  <c r="V67" i="14" s="1"/>
  <c r="V68" i="14" s="1"/>
  <c r="V69" i="14" s="1"/>
  <c r="V70" i="14" s="1"/>
  <c r="V71" i="14" s="1"/>
  <c r="V72" i="14" s="1"/>
  <c r="V73" i="14" s="1"/>
  <c r="V74" i="14" s="1"/>
  <c r="V75" i="14" s="1"/>
  <c r="U3" i="14"/>
  <c r="U4" i="14" s="1"/>
  <c r="U5" i="14" s="1"/>
  <c r="U6" i="14" s="1"/>
  <c r="U7" i="14" s="1"/>
  <c r="U8" i="14" s="1"/>
  <c r="U9" i="14" s="1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O2" i="14"/>
  <c r="O3" i="14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N2" i="14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M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B12" i="9"/>
  <c r="A12" i="9"/>
  <c r="B13" i="7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I112" i="7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1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" i="9"/>
  <c r="F12" i="10"/>
  <c r="E12" i="10"/>
  <c r="D15" i="10"/>
  <c r="F28" i="10"/>
  <c r="F60" i="10"/>
  <c r="F92" i="10"/>
  <c r="E28" i="10"/>
  <c r="E60" i="10"/>
  <c r="C23" i="10"/>
  <c r="F41" i="10"/>
  <c r="F73" i="10"/>
  <c r="F105" i="10"/>
  <c r="E41" i="10"/>
  <c r="E73" i="10"/>
  <c r="E14" i="10"/>
  <c r="F26" i="10"/>
  <c r="F58" i="10"/>
  <c r="F90" i="10"/>
  <c r="E26" i="10"/>
  <c r="C12" i="7"/>
  <c r="E39" i="10"/>
  <c r="E95" i="10"/>
  <c r="D33" i="10"/>
  <c r="D65" i="10"/>
  <c r="D97" i="10"/>
  <c r="C39" i="10"/>
  <c r="C71" i="10"/>
  <c r="C103" i="10"/>
  <c r="F47" i="10"/>
  <c r="E66" i="10"/>
  <c r="F83" i="10"/>
  <c r="E78" i="10"/>
  <c r="E109" i="10"/>
  <c r="D56" i="10"/>
  <c r="D99" i="10"/>
  <c r="C52" i="10"/>
  <c r="C94" i="10"/>
  <c r="C101" i="10"/>
  <c r="E99" i="10"/>
  <c r="D47" i="10"/>
  <c r="D90" i="10"/>
  <c r="C42" i="10"/>
  <c r="F4" i="7"/>
  <c r="E106" i="10"/>
  <c r="D54" i="10"/>
  <c r="D96" i="10"/>
  <c r="C49" i="10"/>
  <c r="C92" i="10"/>
  <c r="E63" i="10"/>
  <c r="D28" i="10"/>
  <c r="D71" i="10"/>
  <c r="C24" i="10"/>
  <c r="C66" i="10"/>
  <c r="C109" i="10"/>
  <c r="C14" i="10"/>
  <c r="F32" i="10"/>
  <c r="F64" i="10"/>
  <c r="F96" i="10"/>
  <c r="E32" i="10"/>
  <c r="E64" i="10"/>
  <c r="E30" i="10"/>
  <c r="F23" i="10"/>
  <c r="E54" i="10"/>
  <c r="E100" i="10"/>
  <c r="D37" i="10"/>
  <c r="D69" i="10"/>
  <c r="D101" i="10"/>
  <c r="C43" i="10"/>
  <c r="C75" i="10"/>
  <c r="C107" i="10"/>
  <c r="F63" i="10"/>
  <c r="E71" i="10"/>
  <c r="F99" i="10"/>
  <c r="F59" i="10"/>
  <c r="D19" i="10"/>
  <c r="D62" i="10"/>
  <c r="D104" i="10"/>
  <c r="C57" i="10"/>
  <c r="C100" i="10"/>
  <c r="C112" i="10"/>
  <c r="E105" i="10"/>
  <c r="D52" i="10"/>
  <c r="D95" i="10"/>
  <c r="C53" i="10"/>
  <c r="F27" i="10"/>
  <c r="E111" i="10"/>
  <c r="D59" i="10"/>
  <c r="C54" i="10"/>
  <c r="C97" i="10"/>
  <c r="E82" i="10"/>
  <c r="D34" i="10"/>
  <c r="C29" i="10"/>
  <c r="C72" i="10"/>
  <c r="F52" i="10"/>
  <c r="F65" i="10"/>
  <c r="E33" i="10"/>
  <c r="F18" i="10"/>
  <c r="E50" i="10"/>
  <c r="D57" i="10"/>
  <c r="C63" i="10"/>
  <c r="E98" i="10"/>
  <c r="C41" i="10"/>
  <c r="D79" i="10"/>
  <c r="D86" i="10"/>
  <c r="E113" i="10"/>
  <c r="F45" i="10"/>
  <c r="F77" i="10"/>
  <c r="F109" i="10"/>
  <c r="E45" i="10"/>
  <c r="E77" i="10"/>
  <c r="E18" i="10"/>
  <c r="F30" i="10"/>
  <c r="F62" i="10"/>
  <c r="F94" i="10"/>
  <c r="C15" i="10"/>
  <c r="E97" i="10"/>
  <c r="E84" i="10"/>
  <c r="C31" i="10"/>
  <c r="E47" i="10"/>
  <c r="D88" i="10"/>
  <c r="C80" i="10"/>
  <c r="E94" i="10"/>
  <c r="C38" i="10"/>
  <c r="D60" i="10"/>
  <c r="C18" i="10"/>
  <c r="F36" i="10"/>
  <c r="F68" i="10"/>
  <c r="F100" i="10"/>
  <c r="E36" i="10"/>
  <c r="H1" i="9"/>
  <c r="F17" i="10"/>
  <c r="F49" i="10"/>
  <c r="F81" i="10"/>
  <c r="F113" i="10"/>
  <c r="E49" i="10"/>
  <c r="E81" i="10"/>
  <c r="D17" i="10"/>
  <c r="F34" i="10"/>
  <c r="F66" i="10"/>
  <c r="F98" i="10"/>
  <c r="E34" i="10"/>
  <c r="F39" i="10"/>
  <c r="E62" i="10"/>
  <c r="E104" i="10"/>
  <c r="D41" i="10"/>
  <c r="D73" i="10"/>
  <c r="D105" i="10"/>
  <c r="C47" i="10"/>
  <c r="C79" i="10"/>
  <c r="C111" i="10"/>
  <c r="F79" i="10"/>
  <c r="E76" i="10"/>
  <c r="E19" i="10"/>
  <c r="E27" i="10"/>
  <c r="D24" i="10"/>
  <c r="D67" i="10"/>
  <c r="D110" i="10"/>
  <c r="C62" i="10"/>
  <c r="C105" i="10"/>
  <c r="E110" i="10"/>
  <c r="D58" i="10"/>
  <c r="D100" i="10"/>
  <c r="C58" i="10"/>
  <c r="F91" i="10"/>
  <c r="D22" i="10"/>
  <c r="D64" i="10"/>
  <c r="D107" i="10"/>
  <c r="C60" i="10"/>
  <c r="C102" i="10"/>
  <c r="E88" i="10"/>
  <c r="D39" i="10"/>
  <c r="D82" i="10"/>
  <c r="C34" i="10"/>
  <c r="C77" i="10"/>
  <c r="D55" i="10"/>
  <c r="C93" i="10"/>
  <c r="E52" i="10"/>
  <c r="F14" i="10"/>
  <c r="F51" i="10"/>
  <c r="C32" i="10"/>
  <c r="C98" i="10"/>
  <c r="C22" i="10"/>
  <c r="F40" i="10"/>
  <c r="F72" i="10"/>
  <c r="F104" i="10"/>
  <c r="E40" i="10"/>
  <c r="C11" i="9"/>
  <c r="F21" i="10"/>
  <c r="F53" i="10"/>
  <c r="F85" i="10"/>
  <c r="E21" i="10"/>
  <c r="E53" i="10"/>
  <c r="E85" i="10"/>
  <c r="C16" i="10"/>
  <c r="F38" i="10"/>
  <c r="F70" i="10"/>
  <c r="F102" i="10"/>
  <c r="E38" i="10"/>
  <c r="F55" i="10"/>
  <c r="E68" i="10"/>
  <c r="E108" i="10"/>
  <c r="D45" i="10"/>
  <c r="D77" i="10"/>
  <c r="D109" i="10"/>
  <c r="C51" i="10"/>
  <c r="C83" i="10"/>
  <c r="C17" i="10"/>
  <c r="F95" i="10"/>
  <c r="D14" i="10"/>
  <c r="E35" i="10"/>
  <c r="E70" i="10"/>
  <c r="D30" i="10"/>
  <c r="D72" i="10"/>
  <c r="C25" i="10"/>
  <c r="C68" i="10"/>
  <c r="C110" i="10"/>
  <c r="F75" i="10"/>
  <c r="D20" i="10"/>
  <c r="D63" i="10"/>
  <c r="D106" i="10"/>
  <c r="C64" i="10"/>
  <c r="E55" i="10"/>
  <c r="D27" i="10"/>
  <c r="D70" i="10"/>
  <c r="D112" i="10"/>
  <c r="C65" i="10"/>
  <c r="C108" i="10"/>
  <c r="E96" i="10"/>
  <c r="D44" i="10"/>
  <c r="D87" i="10"/>
  <c r="C40" i="10"/>
  <c r="C82" i="10"/>
  <c r="D50" i="10"/>
  <c r="C45" i="10"/>
  <c r="F48" i="10"/>
  <c r="F80" i="10"/>
  <c r="E48" i="10"/>
  <c r="F29" i="10"/>
  <c r="D25" i="10"/>
  <c r="E67" i="10"/>
  <c r="C84" i="10"/>
  <c r="C96" i="10"/>
  <c r="C81" i="10"/>
  <c r="I12" i="7"/>
  <c r="F44" i="10"/>
  <c r="F76" i="10"/>
  <c r="F108" i="10"/>
  <c r="E44" i="10"/>
  <c r="E17" i="10"/>
  <c r="F25" i="10"/>
  <c r="F57" i="10"/>
  <c r="F89" i="10"/>
  <c r="E25" i="10"/>
  <c r="E57" i="10"/>
  <c r="E89" i="10"/>
  <c r="C20" i="10"/>
  <c r="F42" i="10"/>
  <c r="F74" i="10"/>
  <c r="F106" i="10"/>
  <c r="E42" i="10"/>
  <c r="F71" i="10"/>
  <c r="E74" i="10"/>
  <c r="E112" i="10"/>
  <c r="D49" i="10"/>
  <c r="D81" i="10"/>
  <c r="D113" i="10"/>
  <c r="C55" i="10"/>
  <c r="C87" i="10"/>
  <c r="E15" i="10"/>
  <c r="F111" i="10"/>
  <c r="F19" i="10"/>
  <c r="E51" i="10"/>
  <c r="E83" i="10"/>
  <c r="D35" i="10"/>
  <c r="D78" i="10"/>
  <c r="C30" i="10"/>
  <c r="C73" i="10"/>
  <c r="C48" i="10"/>
  <c r="E43" i="10"/>
  <c r="D26" i="10"/>
  <c r="D68" i="10"/>
  <c r="D111" i="10"/>
  <c r="C74" i="10"/>
  <c r="E80" i="10"/>
  <c r="D32" i="10"/>
  <c r="D75" i="10"/>
  <c r="C28" i="10"/>
  <c r="C70" i="10"/>
  <c r="C113" i="10"/>
  <c r="E102" i="10"/>
  <c r="D92" i="10"/>
  <c r="C88" i="10"/>
  <c r="F16" i="10"/>
  <c r="F112" i="10"/>
  <c r="D16" i="10"/>
  <c r="F61" i="10"/>
  <c r="F93" i="10"/>
  <c r="E29" i="10"/>
  <c r="E61" i="10"/>
  <c r="E93" i="10"/>
  <c r="F46" i="10"/>
  <c r="F78" i="10"/>
  <c r="F110" i="10"/>
  <c r="E46" i="10"/>
  <c r="F87" i="10"/>
  <c r="E79" i="10"/>
  <c r="D21" i="10"/>
  <c r="D53" i="10"/>
  <c r="D85" i="10"/>
  <c r="C27" i="10"/>
  <c r="C59" i="10"/>
  <c r="C91" i="10"/>
  <c r="C21" i="10"/>
  <c r="E31" i="10"/>
  <c r="F35" i="10"/>
  <c r="E59" i="10"/>
  <c r="E91" i="10"/>
  <c r="D40" i="10"/>
  <c r="D83" i="10"/>
  <c r="C36" i="10"/>
  <c r="C78" i="10"/>
  <c r="C69" i="10"/>
  <c r="E75" i="10"/>
  <c r="D31" i="10"/>
  <c r="D74" i="10"/>
  <c r="C26" i="10"/>
  <c r="C85" i="10"/>
  <c r="E87" i="10"/>
  <c r="D38" i="10"/>
  <c r="D80" i="10"/>
  <c r="C33" i="10"/>
  <c r="C76" i="10"/>
  <c r="K2" i="1" a="1"/>
  <c r="E107" i="10"/>
  <c r="D98" i="10"/>
  <c r="C50" i="10"/>
  <c r="H2" i="9"/>
  <c r="F20" i="10"/>
  <c r="F84" i="10"/>
  <c r="F33" i="10"/>
  <c r="F97" i="10"/>
  <c r="E65" i="10"/>
  <c r="F50" i="10"/>
  <c r="F103" i="10"/>
  <c r="D89" i="10"/>
  <c r="F15" i="10"/>
  <c r="D46" i="10"/>
  <c r="E86" i="10"/>
  <c r="D43" i="10"/>
  <c r="F43" i="10"/>
  <c r="C56" i="10"/>
  <c r="E16" i="10"/>
  <c r="F24" i="10"/>
  <c r="F56" i="10"/>
  <c r="F88" i="10"/>
  <c r="E24" i="10"/>
  <c r="E56" i="10"/>
  <c r="C19" i="10"/>
  <c r="F37" i="10"/>
  <c r="F69" i="10"/>
  <c r="F101" i="10"/>
  <c r="E37" i="10"/>
  <c r="E69" i="10"/>
  <c r="F22" i="10"/>
  <c r="F54" i="10"/>
  <c r="F86" i="10"/>
  <c r="E22" i="10"/>
  <c r="D18" i="10"/>
  <c r="E23" i="10"/>
  <c r="E90" i="10"/>
  <c r="D29" i="10"/>
  <c r="D61" i="10"/>
  <c r="D93" i="10"/>
  <c r="C35" i="10"/>
  <c r="C67" i="10"/>
  <c r="C99" i="10"/>
  <c r="F31" i="10"/>
  <c r="E58" i="10"/>
  <c r="F67" i="10"/>
  <c r="E72" i="10"/>
  <c r="E103" i="10"/>
  <c r="D51" i="10"/>
  <c r="D94" i="10"/>
  <c r="C46" i="10"/>
  <c r="C89" i="10"/>
  <c r="C90" i="10"/>
  <c r="E92" i="10"/>
  <c r="D42" i="10"/>
  <c r="D84" i="10"/>
  <c r="C37" i="10"/>
  <c r="C106" i="10"/>
  <c r="E101" i="10"/>
  <c r="D48" i="10"/>
  <c r="D91" i="10"/>
  <c r="C44" i="10"/>
  <c r="C86" i="10"/>
  <c r="F107" i="10"/>
  <c r="D23" i="10"/>
  <c r="D66" i="10"/>
  <c r="D108" i="10"/>
  <c r="C61" i="10"/>
  <c r="C104" i="10"/>
  <c r="D102" i="10"/>
  <c r="D76" i="10"/>
  <c r="E20" i="10"/>
  <c r="F82" i="10"/>
  <c r="C95" i="10"/>
  <c r="D36" i="10"/>
  <c r="D103" i="10"/>
  <c r="Q2" i="14" a="1"/>
  <c r="Q6" i="14" a="1"/>
  <c r="Q10" i="14" a="1"/>
  <c r="Q14" i="14" a="1"/>
  <c r="Q18" i="14" a="1"/>
  <c r="Q22" i="14" a="1"/>
  <c r="Q26" i="14" a="1"/>
  <c r="Q30" i="14" a="1"/>
  <c r="Q34" i="14" a="1"/>
  <c r="Q38" i="14" a="1"/>
  <c r="Q42" i="14" a="1"/>
  <c r="Q46" i="14" a="1"/>
  <c r="Q50" i="14" a="1"/>
  <c r="Q54" i="14" a="1"/>
  <c r="Q58" i="14" a="1"/>
  <c r="Q62" i="14" a="1"/>
  <c r="Q66" i="14" a="1"/>
  <c r="Q70" i="14" a="1"/>
  <c r="Q74" i="14" a="1"/>
  <c r="Q37" i="14" a="1"/>
  <c r="Q69" i="14" a="1"/>
  <c r="Q8" i="14" a="1"/>
  <c r="Q48" i="14" a="1"/>
  <c r="Q56" i="14" a="1"/>
  <c r="Q64" i="14" a="1"/>
  <c r="Q72" i="14" a="1"/>
  <c r="Q9" i="14" a="1"/>
  <c r="Q13" i="14" a="1"/>
  <c r="Q21" i="14" a="1"/>
  <c r="Q29" i="14" a="1"/>
  <c r="Q41" i="14" a="1"/>
  <c r="Q49" i="14" a="1"/>
  <c r="Q57" i="14" a="1"/>
  <c r="Q65" i="14" a="1"/>
  <c r="Q3" i="14" a="1"/>
  <c r="Q7" i="14" a="1"/>
  <c r="Q11" i="14" a="1"/>
  <c r="Q15" i="14" a="1"/>
  <c r="Q19" i="14" a="1"/>
  <c r="Q23" i="14" a="1"/>
  <c r="Q27" i="14" a="1"/>
  <c r="Q31" i="14" a="1"/>
  <c r="Q35" i="14" a="1"/>
  <c r="Q39" i="14" a="1"/>
  <c r="Q43" i="14" a="1"/>
  <c r="Q47" i="14" a="1"/>
  <c r="Q51" i="14" a="1"/>
  <c r="Q55" i="14" a="1"/>
  <c r="Q59" i="14" a="1"/>
  <c r="Q63" i="14" a="1"/>
  <c r="Q67" i="14" a="1"/>
  <c r="Q71" i="14" a="1"/>
  <c r="Q75" i="14" a="1"/>
  <c r="Q4" i="14" a="1"/>
  <c r="Q12" i="14" a="1"/>
  <c r="Q16" i="14" a="1"/>
  <c r="Q20" i="14" a="1"/>
  <c r="Q24" i="14" a="1"/>
  <c r="Q28" i="14" a="1"/>
  <c r="Q32" i="14" a="1"/>
  <c r="Q36" i="14" a="1"/>
  <c r="Q40" i="14" a="1"/>
  <c r="Q44" i="14" a="1"/>
  <c r="Q52" i="14" a="1"/>
  <c r="Q60" i="14" a="1"/>
  <c r="Q68" i="14" a="1"/>
  <c r="Q5" i="14" a="1"/>
  <c r="Q17" i="14" a="1"/>
  <c r="Q25" i="14" a="1"/>
  <c r="Q33" i="14" a="1"/>
  <c r="Q45" i="14" a="1"/>
  <c r="Q53" i="14" a="1"/>
  <c r="Q61" i="14" a="1"/>
  <c r="Q73" i="14" a="1"/>
  <c r="P2" i="14" a="1"/>
  <c r="P6" i="14" a="1"/>
  <c r="P10" i="14" a="1"/>
  <c r="P14" i="14" a="1"/>
  <c r="P18" i="14" a="1"/>
  <c r="P22" i="14" a="1"/>
  <c r="P26" i="14" a="1"/>
  <c r="P30" i="14" a="1"/>
  <c r="P34" i="14" a="1"/>
  <c r="P38" i="14" a="1"/>
  <c r="P42" i="14" a="1"/>
  <c r="P46" i="14" a="1"/>
  <c r="P50" i="14" a="1"/>
  <c r="P54" i="14" a="1"/>
  <c r="P58" i="14" a="1"/>
  <c r="P62" i="14" a="1"/>
  <c r="P66" i="14" a="1"/>
  <c r="P70" i="14" a="1"/>
  <c r="P74" i="14" a="1"/>
  <c r="P13" i="14" a="1"/>
  <c r="P25" i="14" a="1"/>
  <c r="P37" i="14" a="1"/>
  <c r="P49" i="14" a="1"/>
  <c r="P57" i="14" a="1"/>
  <c r="P73" i="14" a="1"/>
  <c r="P8" i="14" a="1"/>
  <c r="P36" i="14" a="1"/>
  <c r="P44" i="14" a="1"/>
  <c r="P52" i="14" a="1"/>
  <c r="P60" i="14" a="1"/>
  <c r="P64" i="14" a="1"/>
  <c r="P72" i="14" a="1"/>
  <c r="P5" i="14" a="1"/>
  <c r="P17" i="14" a="1"/>
  <c r="P29" i="14" a="1"/>
  <c r="P41" i="14" a="1"/>
  <c r="P53" i="14" a="1"/>
  <c r="P65" i="14" a="1"/>
  <c r="P69" i="14" a="1"/>
  <c r="P3" i="14" a="1"/>
  <c r="P7" i="14" a="1"/>
  <c r="P11" i="14" a="1"/>
  <c r="P15" i="14" a="1"/>
  <c r="P19" i="14" a="1"/>
  <c r="P23" i="14" a="1"/>
  <c r="P27" i="14" a="1"/>
  <c r="P31" i="14" a="1"/>
  <c r="P35" i="14" a="1"/>
  <c r="P39" i="14" a="1"/>
  <c r="P43" i="14" a="1"/>
  <c r="P47" i="14" a="1"/>
  <c r="P51" i="14" a="1"/>
  <c r="P55" i="14" a="1"/>
  <c r="P59" i="14" a="1"/>
  <c r="P63" i="14" a="1"/>
  <c r="P67" i="14" a="1"/>
  <c r="P71" i="14" a="1"/>
  <c r="P75" i="14" a="1"/>
  <c r="P4" i="14" a="1"/>
  <c r="P12" i="14" a="1"/>
  <c r="P16" i="14" a="1"/>
  <c r="P20" i="14" a="1"/>
  <c r="P24" i="14" a="1"/>
  <c r="P28" i="14" a="1"/>
  <c r="P32" i="14" a="1"/>
  <c r="P40" i="14" a="1"/>
  <c r="P48" i="14" a="1"/>
  <c r="P56" i="14" a="1"/>
  <c r="P68" i="14" a="1"/>
  <c r="P9" i="14" a="1"/>
  <c r="P21" i="14" a="1"/>
  <c r="P33" i="14" a="1"/>
  <c r="P45" i="14" a="1"/>
  <c r="P61" i="14" a="1"/>
  <c r="K3" i="14" a="1"/>
  <c r="K7" i="14" a="1"/>
  <c r="K11" i="14" a="1"/>
  <c r="K15" i="14" a="1"/>
  <c r="K19" i="14" a="1"/>
  <c r="K23" i="14" a="1"/>
  <c r="K27" i="14" a="1"/>
  <c r="K31" i="14" a="1"/>
  <c r="K35" i="14" a="1"/>
  <c r="K39" i="14" a="1"/>
  <c r="K43" i="14" a="1"/>
  <c r="K47" i="14" a="1"/>
  <c r="K51" i="14" a="1"/>
  <c r="K55" i="14" a="1"/>
  <c r="K59" i="14" a="1"/>
  <c r="K63" i="14" a="1"/>
  <c r="K67" i="14" a="1"/>
  <c r="K71" i="14" a="1"/>
  <c r="K75" i="14" a="1"/>
  <c r="K4" i="14" a="1"/>
  <c r="K8" i="14" a="1"/>
  <c r="K12" i="14" a="1"/>
  <c r="K16" i="14" a="1"/>
  <c r="K20" i="14" a="1"/>
  <c r="K24" i="14" a="1"/>
  <c r="K28" i="14" a="1"/>
  <c r="K32" i="14" a="1"/>
  <c r="K36" i="14" a="1"/>
  <c r="K40" i="14" a="1"/>
  <c r="K44" i="14" a="1"/>
  <c r="K48" i="14" a="1"/>
  <c r="K52" i="14" a="1"/>
  <c r="K56" i="14" a="1"/>
  <c r="K60" i="14" a="1"/>
  <c r="K64" i="14" a="1"/>
  <c r="K68" i="14" a="1"/>
  <c r="K72" i="14" a="1"/>
  <c r="K5" i="14" a="1"/>
  <c r="K9" i="14" a="1"/>
  <c r="K13" i="14" a="1"/>
  <c r="K17" i="14" a="1"/>
  <c r="K21" i="14" a="1"/>
  <c r="K25" i="14" a="1"/>
  <c r="K29" i="14" a="1"/>
  <c r="K33" i="14" a="1"/>
  <c r="K37" i="14" a="1"/>
  <c r="K41" i="14" a="1"/>
  <c r="K45" i="14" a="1"/>
  <c r="K49" i="14" a="1"/>
  <c r="K53" i="14" a="1"/>
  <c r="K57" i="14" a="1"/>
  <c r="K61" i="14" a="1"/>
  <c r="K65" i="14" a="1"/>
  <c r="K69" i="14" a="1"/>
  <c r="K73" i="14" a="1"/>
  <c r="K54" i="14" a="1"/>
  <c r="K70" i="14" a="1"/>
  <c r="K6" i="14" a="1"/>
  <c r="K10" i="14" a="1"/>
  <c r="K14" i="14" a="1"/>
  <c r="K18" i="14" a="1"/>
  <c r="K22" i="14" a="1"/>
  <c r="K26" i="14" a="1"/>
  <c r="K30" i="14" a="1"/>
  <c r="K34" i="14" a="1"/>
  <c r="K38" i="14" a="1"/>
  <c r="K42" i="14" a="1"/>
  <c r="K46" i="14" a="1"/>
  <c r="K50" i="14" a="1"/>
  <c r="K58" i="14" a="1"/>
  <c r="K62" i="14" a="1"/>
  <c r="K66" i="14" a="1"/>
  <c r="K74" i="14" a="1"/>
  <c r="K2" i="14" a="1"/>
  <c r="D11" i="9"/>
  <c r="D12" i="9"/>
  <c r="R11" i="9"/>
  <c r="R12" i="9"/>
  <c r="C52" i="7"/>
  <c r="C15" i="7"/>
  <c r="C40" i="7"/>
  <c r="C21" i="7"/>
  <c r="C13" i="7"/>
  <c r="C31" i="7"/>
  <c r="I41" i="7"/>
  <c r="I33" i="7"/>
  <c r="I28" i="7"/>
  <c r="C37" i="7"/>
  <c r="I18" i="7"/>
  <c r="C24" i="7"/>
  <c r="I54" i="7"/>
  <c r="I36" i="7"/>
  <c r="C45" i="7"/>
  <c r="I63" i="7"/>
  <c r="C18" i="7"/>
  <c r="I25" i="7"/>
  <c r="C42" i="7"/>
  <c r="C25" i="7"/>
  <c r="I38" i="7"/>
  <c r="I13" i="7"/>
  <c r="C34" i="7"/>
  <c r="I14" i="7"/>
  <c r="C20" i="7"/>
  <c r="C57" i="7"/>
  <c r="I26" i="7"/>
  <c r="I22" i="7"/>
  <c r="C38" i="7"/>
  <c r="C49" i="7"/>
  <c r="C48" i="7"/>
  <c r="C47" i="7"/>
  <c r="C62" i="7"/>
  <c r="C63" i="7"/>
  <c r="C27" i="7"/>
  <c r="I47" i="7"/>
  <c r="I30" i="7"/>
  <c r="I61" i="7"/>
  <c r="C30" i="7"/>
  <c r="I17" i="7"/>
  <c r="I52" i="7"/>
  <c r="C61" i="7"/>
  <c r="I27" i="7"/>
  <c r="I58" i="7"/>
  <c r="C35" i="7"/>
  <c r="I49" i="7"/>
  <c r="C44" i="7"/>
  <c r="I21" i="7"/>
  <c r="C36" i="7"/>
  <c r="I50" i="7"/>
  <c r="C26" i="7"/>
  <c r="C14" i="7"/>
  <c r="I24" i="7"/>
  <c r="C53" i="7"/>
  <c r="C58" i="7"/>
  <c r="C22" i="7"/>
  <c r="I59" i="7"/>
  <c r="C17" i="7"/>
  <c r="C23" i="7"/>
  <c r="I34" i="7"/>
  <c r="I55" i="7"/>
  <c r="C59" i="7"/>
  <c r="I46" i="7"/>
  <c r="C60" i="7"/>
  <c r="I44" i="7"/>
  <c r="I15" i="7"/>
  <c r="I62" i="7"/>
  <c r="I29" i="7"/>
  <c r="C29" i="7"/>
  <c r="C43" i="7"/>
  <c r="I45" i="7"/>
  <c r="I19" i="7"/>
  <c r="I48" i="7"/>
  <c r="I31" i="7"/>
  <c r="I53" i="7"/>
  <c r="C32" i="7"/>
  <c r="I39" i="7"/>
  <c r="I35" i="7"/>
  <c r="I23" i="7"/>
  <c r="I20" i="7"/>
  <c r="I40" i="7"/>
  <c r="C39" i="7"/>
  <c r="I60" i="7"/>
  <c r="C33" i="7"/>
  <c r="I37" i="7"/>
  <c r="I16" i="7"/>
  <c r="I42" i="7"/>
  <c r="C55" i="7"/>
  <c r="I43" i="7"/>
  <c r="C28" i="7"/>
  <c r="C16" i="7"/>
  <c r="I56" i="7"/>
  <c r="C19" i="7"/>
  <c r="I51" i="7"/>
  <c r="C56" i="7"/>
  <c r="C51" i="7"/>
  <c r="I57" i="7"/>
  <c r="C46" i="7"/>
  <c r="C41" i="7"/>
  <c r="C54" i="7"/>
  <c r="I32" i="7"/>
  <c r="C50" i="7"/>
  <c r="Q73" i="14" l="1"/>
  <c r="S73" i="14" s="1"/>
  <c r="Q61" i="14"/>
  <c r="S61" i="14" s="1"/>
  <c r="Q53" i="14"/>
  <c r="S53" i="14" s="1"/>
  <c r="Q45" i="14"/>
  <c r="S45" i="14" s="1"/>
  <c r="Q33" i="14"/>
  <c r="S33" i="14" s="1"/>
  <c r="Q25" i="14"/>
  <c r="S25" i="14" s="1"/>
  <c r="Q17" i="14"/>
  <c r="S17" i="14" s="1"/>
  <c r="Q5" i="14"/>
  <c r="S5" i="14" s="1"/>
  <c r="Q68" i="14"/>
  <c r="S68" i="14" s="1"/>
  <c r="Q60" i="14"/>
  <c r="S60" i="14" s="1"/>
  <c r="Q52" i="14"/>
  <c r="S52" i="14" s="1"/>
  <c r="Q44" i="14"/>
  <c r="S44" i="14" s="1"/>
  <c r="Q40" i="14"/>
  <c r="S40" i="14" s="1"/>
  <c r="Q36" i="14"/>
  <c r="S36" i="14" s="1"/>
  <c r="Q32" i="14"/>
  <c r="S32" i="14" s="1"/>
  <c r="Q28" i="14"/>
  <c r="S28" i="14" s="1"/>
  <c r="Q24" i="14"/>
  <c r="S24" i="14" s="1"/>
  <c r="Q20" i="14"/>
  <c r="S20" i="14" s="1"/>
  <c r="Q16" i="14"/>
  <c r="S16" i="14" s="1"/>
  <c r="Q12" i="14"/>
  <c r="S12" i="14" s="1"/>
  <c r="Q4" i="14"/>
  <c r="S4" i="14" s="1"/>
  <c r="Q75" i="14"/>
  <c r="S75" i="14" s="1"/>
  <c r="Q71" i="14"/>
  <c r="S71" i="14" s="1"/>
  <c r="Q67" i="14"/>
  <c r="S67" i="14" s="1"/>
  <c r="Q63" i="14"/>
  <c r="S63" i="14" s="1"/>
  <c r="Q59" i="14"/>
  <c r="S59" i="14" s="1"/>
  <c r="Q55" i="14"/>
  <c r="S55" i="14" s="1"/>
  <c r="Q51" i="14"/>
  <c r="S51" i="14" s="1"/>
  <c r="Q47" i="14"/>
  <c r="S47" i="14" s="1"/>
  <c r="Q43" i="14"/>
  <c r="S43" i="14" s="1"/>
  <c r="Q39" i="14"/>
  <c r="S39" i="14" s="1"/>
  <c r="Q35" i="14"/>
  <c r="S35" i="14" s="1"/>
  <c r="Q31" i="14"/>
  <c r="S31" i="14" s="1"/>
  <c r="Q27" i="14"/>
  <c r="S27" i="14" s="1"/>
  <c r="Q23" i="14"/>
  <c r="S23" i="14" s="1"/>
  <c r="Q19" i="14"/>
  <c r="S19" i="14" s="1"/>
  <c r="Q15" i="14"/>
  <c r="S15" i="14" s="1"/>
  <c r="Q11" i="14"/>
  <c r="S11" i="14" s="1"/>
  <c r="Q7" i="14"/>
  <c r="S7" i="14" s="1"/>
  <c r="Q3" i="14"/>
  <c r="S3" i="14" s="1"/>
  <c r="Q65" i="14"/>
  <c r="S65" i="14" s="1"/>
  <c r="Q57" i="14"/>
  <c r="S57" i="14" s="1"/>
  <c r="Q49" i="14"/>
  <c r="S49" i="14" s="1"/>
  <c r="Q41" i="14"/>
  <c r="S41" i="14" s="1"/>
  <c r="Q29" i="14"/>
  <c r="S29" i="14" s="1"/>
  <c r="Q21" i="14"/>
  <c r="S21" i="14" s="1"/>
  <c r="Q13" i="14"/>
  <c r="S13" i="14" s="1"/>
  <c r="Q9" i="14"/>
  <c r="S9" i="14" s="1"/>
  <c r="Q72" i="14"/>
  <c r="S72" i="14" s="1"/>
  <c r="Q64" i="14"/>
  <c r="S64" i="14" s="1"/>
  <c r="Q56" i="14"/>
  <c r="S56" i="14" s="1"/>
  <c r="Q48" i="14"/>
  <c r="S48" i="14" s="1"/>
  <c r="Q8" i="14"/>
  <c r="S8" i="14" s="1"/>
  <c r="Q69" i="14"/>
  <c r="S69" i="14" s="1"/>
  <c r="Q37" i="14"/>
  <c r="S37" i="14" s="1"/>
  <c r="Q74" i="14"/>
  <c r="S74" i="14" s="1"/>
  <c r="Q70" i="14"/>
  <c r="S70" i="14" s="1"/>
  <c r="Q66" i="14"/>
  <c r="S66" i="14" s="1"/>
  <c r="Q62" i="14"/>
  <c r="S62" i="14" s="1"/>
  <c r="Q58" i="14"/>
  <c r="S58" i="14" s="1"/>
  <c r="Q54" i="14"/>
  <c r="S54" i="14" s="1"/>
  <c r="Q50" i="14"/>
  <c r="S50" i="14" s="1"/>
  <c r="Q46" i="14"/>
  <c r="S46" i="14" s="1"/>
  <c r="Q42" i="14"/>
  <c r="S42" i="14" s="1"/>
  <c r="Q38" i="14"/>
  <c r="S38" i="14" s="1"/>
  <c r="Q34" i="14"/>
  <c r="S34" i="14" s="1"/>
  <c r="Q30" i="14"/>
  <c r="S30" i="14" s="1"/>
  <c r="Q26" i="14"/>
  <c r="S26" i="14" s="1"/>
  <c r="Q22" i="14"/>
  <c r="S22" i="14" s="1"/>
  <c r="Q18" i="14"/>
  <c r="S18" i="14" s="1"/>
  <c r="Q14" i="14"/>
  <c r="S14" i="14" s="1"/>
  <c r="Q10" i="14"/>
  <c r="S10" i="14" s="1"/>
  <c r="Q6" i="14"/>
  <c r="S6" i="14" s="1"/>
  <c r="Q2" i="14"/>
  <c r="S2" i="14" s="1"/>
  <c r="P61" i="14"/>
  <c r="P45" i="14"/>
  <c r="P33" i="14"/>
  <c r="P21" i="14"/>
  <c r="P9" i="14"/>
  <c r="Z9" i="14" s="1"/>
  <c r="P68" i="14"/>
  <c r="P56" i="14"/>
  <c r="P48" i="14"/>
  <c r="P40" i="14"/>
  <c r="P32" i="14"/>
  <c r="P28" i="14"/>
  <c r="P24" i="14"/>
  <c r="P20" i="14"/>
  <c r="P16" i="14"/>
  <c r="P12" i="14"/>
  <c r="P4" i="14"/>
  <c r="P75" i="14"/>
  <c r="P71" i="14"/>
  <c r="P67" i="14"/>
  <c r="P63" i="14"/>
  <c r="P59" i="14"/>
  <c r="Z59" i="14" s="1"/>
  <c r="P55" i="14"/>
  <c r="P51" i="14"/>
  <c r="P47" i="14"/>
  <c r="P43" i="14"/>
  <c r="P39" i="14"/>
  <c r="P35" i="14"/>
  <c r="P31" i="14"/>
  <c r="P27" i="14"/>
  <c r="Z27" i="14" s="1"/>
  <c r="P23" i="14"/>
  <c r="P19" i="14"/>
  <c r="P15" i="14"/>
  <c r="P11" i="14"/>
  <c r="P7" i="14"/>
  <c r="P3" i="14"/>
  <c r="P69" i="14"/>
  <c r="P65" i="14"/>
  <c r="Z65" i="14" s="1"/>
  <c r="P53" i="14"/>
  <c r="P41" i="14"/>
  <c r="P29" i="14"/>
  <c r="P17" i="14"/>
  <c r="P5" i="14"/>
  <c r="P72" i="14"/>
  <c r="P64" i="14"/>
  <c r="Z64" i="14" s="1"/>
  <c r="P60" i="14"/>
  <c r="Z60" i="14" s="1"/>
  <c r="P52" i="14"/>
  <c r="P44" i="14"/>
  <c r="P36" i="14"/>
  <c r="P8" i="14"/>
  <c r="P73" i="14"/>
  <c r="P57" i="14"/>
  <c r="P49" i="14"/>
  <c r="P37" i="14"/>
  <c r="P25" i="14"/>
  <c r="P13" i="14"/>
  <c r="Z13" i="14" s="1"/>
  <c r="P74" i="14"/>
  <c r="P70" i="14"/>
  <c r="P66" i="14"/>
  <c r="P62" i="14"/>
  <c r="P58" i="14"/>
  <c r="P54" i="14"/>
  <c r="P50" i="14"/>
  <c r="P46" i="14"/>
  <c r="P42" i="14"/>
  <c r="P38" i="14"/>
  <c r="P34" i="14"/>
  <c r="P30" i="14"/>
  <c r="P26" i="14"/>
  <c r="P22" i="14"/>
  <c r="Z22" i="14" s="1"/>
  <c r="P18" i="14"/>
  <c r="P14" i="14"/>
  <c r="Z14" i="14" s="1"/>
  <c r="P10" i="14"/>
  <c r="P6" i="14"/>
  <c r="P2" i="14"/>
  <c r="Z2" i="14" s="1"/>
  <c r="K74" i="14"/>
  <c r="K66" i="14"/>
  <c r="K62" i="14"/>
  <c r="K58" i="14"/>
  <c r="K50" i="14"/>
  <c r="K46" i="14"/>
  <c r="K42" i="14"/>
  <c r="K38" i="14"/>
  <c r="K34" i="14"/>
  <c r="K30" i="14"/>
  <c r="K26" i="14"/>
  <c r="K22" i="14"/>
  <c r="K18" i="14"/>
  <c r="K14" i="14"/>
  <c r="K10" i="14"/>
  <c r="K6" i="14"/>
  <c r="K70" i="14"/>
  <c r="K54" i="14"/>
  <c r="K73" i="14"/>
  <c r="K69" i="14"/>
  <c r="K65" i="14"/>
  <c r="K61" i="14"/>
  <c r="K57" i="14"/>
  <c r="K53" i="14"/>
  <c r="K49" i="14"/>
  <c r="K45" i="14"/>
  <c r="K41" i="14"/>
  <c r="K37" i="14"/>
  <c r="K33" i="14"/>
  <c r="K29" i="14"/>
  <c r="K25" i="14"/>
  <c r="K21" i="14"/>
  <c r="K17" i="14"/>
  <c r="K13" i="14"/>
  <c r="K9" i="14"/>
  <c r="K5" i="14"/>
  <c r="K72" i="14"/>
  <c r="K68" i="14"/>
  <c r="K64" i="14"/>
  <c r="K60" i="14"/>
  <c r="K56" i="14"/>
  <c r="K52" i="14"/>
  <c r="K48" i="14"/>
  <c r="K44" i="14"/>
  <c r="K40" i="14"/>
  <c r="K36" i="14"/>
  <c r="K32" i="14"/>
  <c r="K28" i="14"/>
  <c r="K24" i="14"/>
  <c r="K20" i="14"/>
  <c r="K16" i="14"/>
  <c r="K12" i="14"/>
  <c r="K8" i="14"/>
  <c r="K4" i="14"/>
  <c r="K75" i="14"/>
  <c r="K71" i="14"/>
  <c r="K67" i="14"/>
  <c r="K63" i="14"/>
  <c r="K59" i="14"/>
  <c r="K55" i="14"/>
  <c r="K51" i="14"/>
  <c r="K47" i="14"/>
  <c r="K43" i="14"/>
  <c r="K39" i="14"/>
  <c r="K35" i="14"/>
  <c r="K31" i="14"/>
  <c r="K27" i="14"/>
  <c r="K23" i="14"/>
  <c r="K19" i="14"/>
  <c r="K15" i="14"/>
  <c r="K11" i="14"/>
  <c r="K7" i="14"/>
  <c r="K3" i="14"/>
  <c r="K2" i="14"/>
  <c r="I12" i="9"/>
  <c r="Z12" i="9"/>
  <c r="B13" i="9"/>
  <c r="L47" i="1"/>
  <c r="K4" i="1"/>
  <c r="L79" i="1"/>
  <c r="M75" i="1"/>
  <c r="M29" i="1"/>
  <c r="M44" i="1"/>
  <c r="M13" i="1"/>
  <c r="L9" i="1"/>
  <c r="K82" i="1"/>
  <c r="K33" i="1"/>
  <c r="M56" i="1"/>
  <c r="L92" i="1"/>
  <c r="L70" i="1"/>
  <c r="M23" i="1"/>
  <c r="M99" i="1"/>
  <c r="L37" i="1"/>
  <c r="L75" i="1"/>
  <c r="K73" i="1"/>
  <c r="L98" i="1"/>
  <c r="L78" i="1"/>
  <c r="M58" i="1"/>
  <c r="L36" i="1"/>
  <c r="L3" i="1"/>
  <c r="L55" i="1"/>
  <c r="M48" i="1"/>
  <c r="M84" i="1"/>
  <c r="M30" i="1"/>
  <c r="L20" i="1"/>
  <c r="K29" i="1"/>
  <c r="K17" i="1"/>
  <c r="L24" i="1"/>
  <c r="M8" i="1"/>
  <c r="M89" i="1"/>
  <c r="L99" i="1"/>
  <c r="L49" i="1"/>
  <c r="K94" i="1"/>
  <c r="K10" i="1"/>
  <c r="L65" i="1"/>
  <c r="M72" i="1"/>
  <c r="M102" i="1"/>
  <c r="M35" i="1"/>
  <c r="K30" i="1"/>
  <c r="L91" i="1"/>
  <c r="K86" i="1"/>
  <c r="M66" i="1"/>
  <c r="K58" i="1"/>
  <c r="M82" i="1"/>
  <c r="L80" i="1"/>
  <c r="L61" i="1"/>
  <c r="K84" i="1"/>
  <c r="K18" i="1"/>
  <c r="K78" i="1"/>
  <c r="K71" i="1"/>
  <c r="K102" i="1"/>
  <c r="M76" i="1"/>
  <c r="L81" i="1"/>
  <c r="M98" i="1"/>
  <c r="M62" i="1"/>
  <c r="M33" i="1"/>
  <c r="M59" i="1"/>
  <c r="L64" i="1"/>
  <c r="K96" i="1"/>
  <c r="K41" i="1"/>
  <c r="K27" i="1"/>
  <c r="L67" i="1"/>
  <c r="L17" i="1"/>
  <c r="L68" i="1"/>
  <c r="K61" i="1"/>
  <c r="M85" i="1"/>
  <c r="K22" i="1"/>
  <c r="M10" i="1"/>
  <c r="M97" i="1"/>
  <c r="K80" i="1"/>
  <c r="L19" i="1"/>
  <c r="K89" i="1"/>
  <c r="L6" i="1"/>
  <c r="K57" i="1"/>
  <c r="M3" i="1"/>
  <c r="K88" i="1"/>
  <c r="L45" i="1"/>
  <c r="L94" i="1"/>
  <c r="M26" i="1"/>
  <c r="M7" i="1"/>
  <c r="M60" i="1"/>
  <c r="K87" i="1"/>
  <c r="K91" i="1"/>
  <c r="L58" i="1"/>
  <c r="K44" i="1"/>
  <c r="L12" i="1"/>
  <c r="M71" i="1"/>
  <c r="L72" i="1"/>
  <c r="M6" i="1"/>
  <c r="M51" i="1"/>
  <c r="L14" i="1"/>
  <c r="M4" i="1"/>
  <c r="K28" i="1"/>
  <c r="K19" i="1"/>
  <c r="L66" i="1"/>
  <c r="L83" i="1"/>
  <c r="M69" i="1"/>
  <c r="L25" i="1"/>
  <c r="M39" i="1"/>
  <c r="M90" i="1"/>
  <c r="K74" i="1"/>
  <c r="K47" i="1"/>
  <c r="L28" i="1"/>
  <c r="L42" i="1"/>
  <c r="K12" i="1"/>
  <c r="K54" i="1"/>
  <c r="K69" i="1"/>
  <c r="K76" i="1"/>
  <c r="M101" i="1"/>
  <c r="M9" i="1"/>
  <c r="L69" i="1"/>
  <c r="M55" i="1"/>
  <c r="L15" i="1"/>
  <c r="L11" i="1"/>
  <c r="K11" i="1"/>
  <c r="L71" i="1"/>
  <c r="K36" i="1"/>
  <c r="K13" i="1"/>
  <c r="K52" i="1"/>
  <c r="K72" i="1"/>
  <c r="L87" i="1"/>
  <c r="L26" i="1"/>
  <c r="L74" i="1"/>
  <c r="M28" i="1"/>
  <c r="K77" i="1"/>
  <c r="L51" i="1"/>
  <c r="M63" i="1"/>
  <c r="L95" i="1"/>
  <c r="L102" i="1"/>
  <c r="L85" i="1"/>
  <c r="K60" i="1"/>
  <c r="M52" i="1"/>
  <c r="K48" i="1"/>
  <c r="M96" i="1"/>
  <c r="K100" i="1"/>
  <c r="K20" i="1"/>
  <c r="M21" i="1"/>
  <c r="L100" i="1"/>
  <c r="L44" i="1"/>
  <c r="K40" i="1"/>
  <c r="M43" i="1"/>
  <c r="M47" i="1"/>
  <c r="K81" i="1"/>
  <c r="L90" i="1"/>
  <c r="M67" i="1"/>
  <c r="K98" i="1"/>
  <c r="M70" i="1"/>
  <c r="M27" i="1"/>
  <c r="M2" i="1"/>
  <c r="M87" i="1"/>
  <c r="K2" i="1"/>
  <c r="M16" i="1"/>
  <c r="K8" i="1"/>
  <c r="L41" i="1"/>
  <c r="M68" i="1"/>
  <c r="L31" i="1"/>
  <c r="L60" i="1"/>
  <c r="L29" i="1"/>
  <c r="M100" i="1"/>
  <c r="M93" i="1"/>
  <c r="M77" i="1"/>
  <c r="M49" i="1"/>
  <c r="M79" i="1"/>
  <c r="K37" i="1"/>
  <c r="L96" i="1"/>
  <c r="L73" i="1"/>
  <c r="M78" i="1"/>
  <c r="M73" i="1"/>
  <c r="M42" i="1"/>
  <c r="K31" i="1"/>
  <c r="K59" i="1"/>
  <c r="L82" i="1"/>
  <c r="K21" i="1"/>
  <c r="L76" i="1"/>
  <c r="M38" i="1"/>
  <c r="M65" i="1"/>
  <c r="M36" i="1"/>
  <c r="M86" i="1"/>
  <c r="L59" i="1"/>
  <c r="M37" i="1"/>
  <c r="M17" i="1"/>
  <c r="L48" i="1"/>
  <c r="L62" i="1"/>
  <c r="L8" i="1"/>
  <c r="M12" i="1"/>
  <c r="K7" i="1"/>
  <c r="K43" i="1"/>
  <c r="L89" i="1"/>
  <c r="K79" i="1"/>
  <c r="L2" i="1"/>
  <c r="L21" i="1"/>
  <c r="K50" i="1"/>
  <c r="M94" i="1"/>
  <c r="M25" i="1"/>
  <c r="L35" i="1"/>
  <c r="K32" i="1"/>
  <c r="M64" i="1"/>
  <c r="K70" i="1"/>
  <c r="K99" i="1"/>
  <c r="D59" i="7"/>
  <c r="E59" i="7" s="1"/>
  <c r="D39" i="7"/>
  <c r="E39" i="7" s="1"/>
  <c r="D38" i="7"/>
  <c r="E38" i="7" s="1"/>
  <c r="D47" i="7"/>
  <c r="E47" i="7" s="1"/>
  <c r="D46" i="7"/>
  <c r="E46" i="7" s="1"/>
  <c r="D15" i="7"/>
  <c r="E15" i="7" s="1"/>
  <c r="D54" i="7"/>
  <c r="E54" i="7" s="1"/>
  <c r="D23" i="7"/>
  <c r="E23" i="7" s="1"/>
  <c r="D22" i="7"/>
  <c r="E22" i="7" s="1"/>
  <c r="D62" i="7"/>
  <c r="E62" i="7" s="1"/>
  <c r="D51" i="7"/>
  <c r="E51" i="7" s="1"/>
  <c r="D31" i="7"/>
  <c r="E31" i="7" s="1"/>
  <c r="D30" i="7"/>
  <c r="E30" i="7" s="1"/>
  <c r="D21" i="7"/>
  <c r="E21" i="7" s="1"/>
  <c r="D20" i="7"/>
  <c r="E20" i="7" s="1"/>
  <c r="J12" i="9"/>
  <c r="D61" i="7"/>
  <c r="E61" i="7" s="1"/>
  <c r="D56" i="7"/>
  <c r="E56" i="7" s="1"/>
  <c r="D53" i="7"/>
  <c r="E53" i="7" s="1"/>
  <c r="D48" i="7"/>
  <c r="E48" i="7" s="1"/>
  <c r="D41" i="7"/>
  <c r="E41" i="7" s="1"/>
  <c r="D40" i="7"/>
  <c r="E40" i="7" s="1"/>
  <c r="D33" i="7"/>
  <c r="E33" i="7" s="1"/>
  <c r="D32" i="7"/>
  <c r="E32" i="7" s="1"/>
  <c r="D25" i="7"/>
  <c r="E25" i="7" s="1"/>
  <c r="D24" i="7"/>
  <c r="E24" i="7" s="1"/>
  <c r="V12" i="9"/>
  <c r="S12" i="9" s="1"/>
  <c r="D63" i="7"/>
  <c r="E63" i="7" s="1"/>
  <c r="D58" i="7"/>
  <c r="E58" i="7" s="1"/>
  <c r="D55" i="7"/>
  <c r="E55" i="7" s="1"/>
  <c r="D50" i="7"/>
  <c r="E50" i="7" s="1"/>
  <c r="D43" i="7"/>
  <c r="E43" i="7" s="1"/>
  <c r="D42" i="7"/>
  <c r="E42" i="7" s="1"/>
  <c r="D35" i="7"/>
  <c r="E35" i="7" s="1"/>
  <c r="D34" i="7"/>
  <c r="E34" i="7" s="1"/>
  <c r="D27" i="7"/>
  <c r="E27" i="7" s="1"/>
  <c r="D26" i="7"/>
  <c r="E26" i="7" s="1"/>
  <c r="D17" i="7"/>
  <c r="E17" i="7" s="1"/>
  <c r="D16" i="7"/>
  <c r="E16" i="7" s="1"/>
  <c r="E11" i="9"/>
  <c r="F11" i="9" s="1"/>
  <c r="G11" i="9" s="1"/>
  <c r="H3" i="9"/>
  <c r="D60" i="7"/>
  <c r="E60" i="7" s="1"/>
  <c r="D57" i="7"/>
  <c r="E57" i="7" s="1"/>
  <c r="D52" i="7"/>
  <c r="E52" i="7" s="1"/>
  <c r="D49" i="7"/>
  <c r="E49" i="7" s="1"/>
  <c r="D45" i="7"/>
  <c r="E45" i="7" s="1"/>
  <c r="D44" i="7"/>
  <c r="E44" i="7" s="1"/>
  <c r="D37" i="7"/>
  <c r="E37" i="7" s="1"/>
  <c r="D36" i="7"/>
  <c r="E36" i="7" s="1"/>
  <c r="D29" i="7"/>
  <c r="E29" i="7" s="1"/>
  <c r="D28" i="7"/>
  <c r="E28" i="7" s="1"/>
  <c r="D19" i="7"/>
  <c r="E19" i="7" s="1"/>
  <c r="D18" i="7"/>
  <c r="E18" i="7" s="1"/>
  <c r="D14" i="7"/>
  <c r="E14" i="7" s="1"/>
  <c r="M57" i="1"/>
  <c r="L13" i="1"/>
  <c r="M46" i="1"/>
  <c r="B64" i="7"/>
  <c r="K16" i="1"/>
  <c r="M88" i="1"/>
  <c r="M50" i="1"/>
  <c r="K97" i="1"/>
  <c r="L30" i="1"/>
  <c r="L40" i="1"/>
  <c r="K53" i="1"/>
  <c r="M31" i="1"/>
  <c r="K67" i="1"/>
  <c r="M74" i="1"/>
  <c r="K83" i="1"/>
  <c r="K25" i="1"/>
  <c r="L43" i="1"/>
  <c r="K65" i="1"/>
  <c r="K56" i="1"/>
  <c r="K90" i="1"/>
  <c r="K62" i="1"/>
  <c r="M41" i="1"/>
  <c r="M20" i="1"/>
  <c r="M15" i="1"/>
  <c r="L52" i="1"/>
  <c r="L88" i="1"/>
  <c r="L77" i="1"/>
  <c r="M40" i="1"/>
  <c r="M91" i="1"/>
  <c r="M18" i="1"/>
  <c r="L39" i="1"/>
  <c r="K51" i="1"/>
  <c r="L53" i="1"/>
  <c r="M83" i="1"/>
  <c r="K92" i="1"/>
  <c r="M45" i="1"/>
  <c r="K14" i="1"/>
  <c r="L4" i="1"/>
  <c r="M81" i="1"/>
  <c r="K75" i="1"/>
  <c r="M19" i="1"/>
  <c r="K101" i="1"/>
  <c r="M80" i="1"/>
  <c r="K42" i="1"/>
  <c r="L22" i="1"/>
  <c r="M5" i="1"/>
  <c r="L63" i="1"/>
  <c r="K6" i="1"/>
  <c r="K49" i="1"/>
  <c r="L86" i="1"/>
  <c r="L101" i="1"/>
  <c r="K35" i="1"/>
  <c r="L18" i="1"/>
  <c r="L32" i="1"/>
  <c r="K39" i="1"/>
  <c r="L46" i="1"/>
  <c r="L57" i="1"/>
  <c r="M14" i="1"/>
  <c r="K64" i="1"/>
  <c r="K38" i="1"/>
  <c r="M92" i="1"/>
  <c r="L84" i="1"/>
  <c r="K45" i="1"/>
  <c r="K15" i="1"/>
  <c r="L54" i="1"/>
  <c r="L93" i="1"/>
  <c r="L97" i="1"/>
  <c r="K66" i="1"/>
  <c r="L23" i="1"/>
  <c r="M22" i="1"/>
  <c r="K95" i="1"/>
  <c r="L33" i="1"/>
  <c r="K55" i="1"/>
  <c r="K34" i="1"/>
  <c r="L10" i="1"/>
  <c r="L7" i="1"/>
  <c r="M34" i="1"/>
  <c r="L56" i="1"/>
  <c r="K85" i="1"/>
  <c r="K23" i="1"/>
  <c r="M95" i="1"/>
  <c r="K9" i="1"/>
  <c r="M61" i="1"/>
  <c r="M53" i="1"/>
  <c r="L27" i="1"/>
  <c r="K24" i="1"/>
  <c r="K3" i="1"/>
  <c r="L34" i="1"/>
  <c r="K26" i="1"/>
  <c r="K46" i="1"/>
  <c r="L16" i="1"/>
  <c r="L5" i="1"/>
  <c r="K5" i="1"/>
  <c r="L38" i="1"/>
  <c r="M54" i="1"/>
  <c r="M24" i="1"/>
  <c r="K93" i="1"/>
  <c r="K68" i="1"/>
  <c r="K63" i="1"/>
  <c r="M32" i="1"/>
  <c r="M11" i="1"/>
  <c r="L50" i="1"/>
  <c r="D13" i="7"/>
  <c r="E13" i="7" s="1"/>
  <c r="D12" i="7"/>
  <c r="E12" i="7" s="1"/>
  <c r="F12" i="7" s="1"/>
  <c r="A13" i="9"/>
  <c r="N94" i="1"/>
  <c r="N12" i="1"/>
  <c r="N25" i="1"/>
  <c r="N15" i="1"/>
  <c r="N82" i="1"/>
  <c r="N47" i="1"/>
  <c r="N16" i="1"/>
  <c r="N93" i="1"/>
  <c r="N39" i="1"/>
  <c r="N33" i="1"/>
  <c r="N22" i="1"/>
  <c r="N59" i="1"/>
  <c r="N46" i="1"/>
  <c r="N64" i="1"/>
  <c r="N73" i="1"/>
  <c r="N91" i="1"/>
  <c r="N68" i="1"/>
  <c r="N48" i="1"/>
  <c r="N71" i="1"/>
  <c r="N50" i="1"/>
  <c r="N11" i="1"/>
  <c r="N79" i="1"/>
  <c r="N70" i="1"/>
  <c r="N102" i="1"/>
  <c r="N24" i="1"/>
  <c r="N86" i="1"/>
  <c r="N36" i="1"/>
  <c r="N90" i="1"/>
  <c r="N66" i="1"/>
  <c r="N29" i="1"/>
  <c r="N54" i="1"/>
  <c r="N67" i="1"/>
  <c r="C12" i="9"/>
  <c r="N43" i="1"/>
  <c r="N27" i="1"/>
  <c r="N41" i="1"/>
  <c r="N14" i="1"/>
  <c r="N30" i="1"/>
  <c r="N89" i="1"/>
  <c r="N35" i="1"/>
  <c r="N100" i="1"/>
  <c r="N38" i="1"/>
  <c r="N4" i="1"/>
  <c r="N78" i="1"/>
  <c r="N77" i="1"/>
  <c r="N51" i="1"/>
  <c r="N23" i="1"/>
  <c r="N10" i="1"/>
  <c r="N13" i="1"/>
  <c r="N62" i="1"/>
  <c r="N72" i="1"/>
  <c r="N45" i="1"/>
  <c r="N17" i="1"/>
  <c r="N69" i="1"/>
  <c r="N99" i="1"/>
  <c r="N18" i="1"/>
  <c r="N75" i="1"/>
  <c r="N98" i="1"/>
  <c r="N95" i="1"/>
  <c r="N65" i="1"/>
  <c r="N87" i="1"/>
  <c r="N63" i="1"/>
  <c r="N97" i="1"/>
  <c r="N5" i="1"/>
  <c r="N96" i="1"/>
  <c r="N61" i="1"/>
  <c r="N8" i="1"/>
  <c r="N42" i="1"/>
  <c r="N76" i="1"/>
  <c r="N80" i="1"/>
  <c r="N31" i="1"/>
  <c r="N49" i="1"/>
  <c r="N53" i="1"/>
  <c r="N85" i="1"/>
  <c r="N58" i="1"/>
  <c r="N52" i="1"/>
  <c r="N101" i="1"/>
  <c r="N88" i="1"/>
  <c r="N56" i="1"/>
  <c r="N74" i="1"/>
  <c r="N44" i="1"/>
  <c r="N21" i="1"/>
  <c r="N6" i="1"/>
  <c r="N40" i="1"/>
  <c r="N57" i="1"/>
  <c r="N7" i="1"/>
  <c r="N55" i="1"/>
  <c r="N83" i="1"/>
  <c r="N3" i="1"/>
  <c r="N84" i="1"/>
  <c r="N60" i="1"/>
  <c r="N34" i="1"/>
  <c r="N20" i="1"/>
  <c r="N28" i="1"/>
  <c r="N37" i="1"/>
  <c r="N26" i="1"/>
  <c r="N9" i="1"/>
  <c r="N32" i="1"/>
  <c r="N92" i="1"/>
  <c r="N81" i="1"/>
  <c r="N19" i="1"/>
  <c r="I64" i="7"/>
  <c r="C64" i="7"/>
  <c r="Z5" i="14" l="1"/>
  <c r="Z7" i="14"/>
  <c r="Z57" i="14"/>
  <c r="Y69" i="14"/>
  <c r="Y58" i="14"/>
  <c r="Y59" i="14"/>
  <c r="Y9" i="14"/>
  <c r="Z20" i="14"/>
  <c r="Y55" i="14"/>
  <c r="Y5" i="14"/>
  <c r="Y63" i="14"/>
  <c r="Y6" i="14"/>
  <c r="Y38" i="14"/>
  <c r="Y35" i="14"/>
  <c r="Y17" i="14"/>
  <c r="Y11" i="14"/>
  <c r="Y75" i="14"/>
  <c r="Y32" i="14"/>
  <c r="Y4" i="14"/>
  <c r="Y29" i="14"/>
  <c r="Y61" i="14"/>
  <c r="Y3" i="14"/>
  <c r="Y67" i="14"/>
  <c r="Y71" i="14"/>
  <c r="Y51" i="14"/>
  <c r="Y8" i="14"/>
  <c r="Y40" i="14"/>
  <c r="Z68" i="14"/>
  <c r="Z39" i="14"/>
  <c r="Z54" i="14"/>
  <c r="Z58" i="14"/>
  <c r="Z31" i="14"/>
  <c r="Z34" i="14"/>
  <c r="Z73" i="14"/>
  <c r="Z71" i="14"/>
  <c r="Z11" i="14"/>
  <c r="Z75" i="14"/>
  <c r="Y14" i="14"/>
  <c r="Y46" i="14"/>
  <c r="Z42" i="14"/>
  <c r="X18" i="14"/>
  <c r="AC18" i="14" s="1"/>
  <c r="Z18" i="14"/>
  <c r="X50" i="14"/>
  <c r="Z50" i="14"/>
  <c r="X25" i="14"/>
  <c r="AC25" i="14" s="1"/>
  <c r="Z25" i="14"/>
  <c r="X52" i="14"/>
  <c r="AC52" i="14" s="1"/>
  <c r="Z52" i="14"/>
  <c r="X53" i="14"/>
  <c r="Z53" i="14"/>
  <c r="X23" i="14"/>
  <c r="AC23" i="14" s="1"/>
  <c r="Z23" i="14"/>
  <c r="X55" i="14"/>
  <c r="AC55" i="14" s="1"/>
  <c r="Z55" i="14"/>
  <c r="X16" i="14"/>
  <c r="Z16" i="14"/>
  <c r="Z26" i="14"/>
  <c r="X49" i="14"/>
  <c r="Z49" i="14"/>
  <c r="X69" i="14"/>
  <c r="AC69" i="14" s="1"/>
  <c r="Z69" i="14"/>
  <c r="X63" i="14"/>
  <c r="Z63" i="14"/>
  <c r="Z24" i="14"/>
  <c r="X21" i="14"/>
  <c r="AC21" i="14" s="1"/>
  <c r="Z21" i="14"/>
  <c r="X37" i="14"/>
  <c r="AC37" i="14" s="1"/>
  <c r="Z37" i="14"/>
  <c r="X30" i="14"/>
  <c r="Z30" i="14"/>
  <c r="X62" i="14"/>
  <c r="Z62" i="14"/>
  <c r="Z72" i="14"/>
  <c r="Z3" i="14"/>
  <c r="Z35" i="14"/>
  <c r="Z67" i="14"/>
  <c r="Z28" i="14"/>
  <c r="X33" i="14"/>
  <c r="AC33" i="14" s="1"/>
  <c r="Z33" i="14"/>
  <c r="Z66" i="14"/>
  <c r="Z32" i="14"/>
  <c r="X45" i="14"/>
  <c r="Z45" i="14"/>
  <c r="X6" i="14"/>
  <c r="AC6" i="14" s="1"/>
  <c r="Z6" i="14"/>
  <c r="Z38" i="14"/>
  <c r="X70" i="14"/>
  <c r="Z70" i="14"/>
  <c r="Z8" i="14"/>
  <c r="Z17" i="14"/>
  <c r="Z43" i="14"/>
  <c r="Z40" i="14"/>
  <c r="Z61" i="14"/>
  <c r="Z10" i="14"/>
  <c r="Z74" i="14"/>
  <c r="X36" i="14"/>
  <c r="AC36" i="14" s="1"/>
  <c r="Z36" i="14"/>
  <c r="X29" i="14"/>
  <c r="Z29" i="14"/>
  <c r="X15" i="14"/>
  <c r="AC15" i="14" s="1"/>
  <c r="Z15" i="14"/>
  <c r="X47" i="14"/>
  <c r="Z47" i="14"/>
  <c r="X4" i="14"/>
  <c r="Z4" i="14"/>
  <c r="X48" i="14"/>
  <c r="Z48" i="14"/>
  <c r="Z46" i="14"/>
  <c r="X44" i="14"/>
  <c r="AC44" i="14" s="1"/>
  <c r="Z44" i="14"/>
  <c r="X41" i="14"/>
  <c r="AC41" i="14" s="1"/>
  <c r="Z41" i="14"/>
  <c r="X19" i="14"/>
  <c r="AD19" i="14" s="1"/>
  <c r="Z19" i="14"/>
  <c r="X51" i="14"/>
  <c r="AD51" i="14" s="1"/>
  <c r="Z51" i="14"/>
  <c r="X12" i="14"/>
  <c r="AD12" i="14" s="1"/>
  <c r="Z12" i="14"/>
  <c r="X56" i="14"/>
  <c r="Z56" i="14"/>
  <c r="Y28" i="14"/>
  <c r="Y21" i="14"/>
  <c r="Y53" i="14"/>
  <c r="X34" i="14"/>
  <c r="AD34" i="14" s="1"/>
  <c r="X66" i="14"/>
  <c r="X5" i="14"/>
  <c r="AC5" i="14" s="1"/>
  <c r="Y24" i="14"/>
  <c r="Y49" i="14"/>
  <c r="X57" i="14"/>
  <c r="Y64" i="14"/>
  <c r="X8" i="14"/>
  <c r="X11" i="14"/>
  <c r="AC11" i="14" s="1"/>
  <c r="X43" i="14"/>
  <c r="AC43" i="14" s="1"/>
  <c r="X75" i="14"/>
  <c r="AC75" i="14" s="1"/>
  <c r="X40" i="14"/>
  <c r="AD40" i="14" s="1"/>
  <c r="Y36" i="14"/>
  <c r="Y68" i="14"/>
  <c r="X10" i="14"/>
  <c r="X74" i="14"/>
  <c r="AC74" i="14" s="1"/>
  <c r="Y72" i="14"/>
  <c r="Y33" i="14"/>
  <c r="Y37" i="14"/>
  <c r="Y22" i="14"/>
  <c r="Y20" i="14"/>
  <c r="Y54" i="14"/>
  <c r="Y70" i="14"/>
  <c r="X3" i="14"/>
  <c r="AC3" i="14" s="1"/>
  <c r="Y60" i="14"/>
  <c r="X7" i="14"/>
  <c r="AD7" i="14" s="1"/>
  <c r="X39" i="14"/>
  <c r="AC39" i="14" s="1"/>
  <c r="X71" i="14"/>
  <c r="AD71" i="14" s="1"/>
  <c r="X32" i="14"/>
  <c r="X17" i="14"/>
  <c r="Y65" i="14"/>
  <c r="Y18" i="14"/>
  <c r="Y50" i="14"/>
  <c r="X14" i="14"/>
  <c r="AC14" i="14" s="1"/>
  <c r="X46" i="14"/>
  <c r="X68" i="14"/>
  <c r="AC68" i="14" s="1"/>
  <c r="L23" i="14"/>
  <c r="R23" i="14" s="1"/>
  <c r="T23" i="14" s="1"/>
  <c r="Y23" i="14"/>
  <c r="Y12" i="14"/>
  <c r="L27" i="14"/>
  <c r="R27" i="14" s="1"/>
  <c r="T27" i="14" s="1"/>
  <c r="Y27" i="14"/>
  <c r="Y16" i="14"/>
  <c r="Y48" i="14"/>
  <c r="Y41" i="14"/>
  <c r="Y73" i="14"/>
  <c r="Y26" i="14"/>
  <c r="Y62" i="14"/>
  <c r="X22" i="14"/>
  <c r="X54" i="14"/>
  <c r="X60" i="14"/>
  <c r="X65" i="14"/>
  <c r="AC65" i="14" s="1"/>
  <c r="X27" i="14"/>
  <c r="X59" i="14"/>
  <c r="X20" i="14"/>
  <c r="AD20" i="14" s="1"/>
  <c r="X9" i="14"/>
  <c r="Y44" i="14"/>
  <c r="Y2" i="14"/>
  <c r="L31" i="14"/>
  <c r="R31" i="14" s="1"/>
  <c r="T31" i="14" s="1"/>
  <c r="Y31" i="14"/>
  <c r="Y52" i="14"/>
  <c r="Y13" i="14"/>
  <c r="Y45" i="14"/>
  <c r="Y30" i="14"/>
  <c r="Y66" i="14"/>
  <c r="X26" i="14"/>
  <c r="AD26" i="14" s="1"/>
  <c r="X58" i="14"/>
  <c r="AC58" i="14" s="1"/>
  <c r="X64" i="14"/>
  <c r="AD64" i="14" s="1"/>
  <c r="X31" i="14"/>
  <c r="AD31" i="14" s="1"/>
  <c r="X24" i="14"/>
  <c r="AD24" i="14" s="1"/>
  <c r="Y56" i="14"/>
  <c r="Y34" i="14"/>
  <c r="Y74" i="14"/>
  <c r="X72" i="14"/>
  <c r="AC72" i="14" s="1"/>
  <c r="X35" i="14"/>
  <c r="AD35" i="14" s="1"/>
  <c r="X67" i="14"/>
  <c r="X28" i="14"/>
  <c r="AD28" i="14" s="1"/>
  <c r="L47" i="14"/>
  <c r="R47" i="14" s="1"/>
  <c r="T47" i="14" s="1"/>
  <c r="Y47" i="14"/>
  <c r="L19" i="14"/>
  <c r="R19" i="14" s="1"/>
  <c r="T19" i="14" s="1"/>
  <c r="Y19" i="14"/>
  <c r="L39" i="14"/>
  <c r="R39" i="14" s="1"/>
  <c r="T39" i="14" s="1"/>
  <c r="Y39" i="14"/>
  <c r="X2" i="14"/>
  <c r="X73" i="14"/>
  <c r="AD73" i="14" s="1"/>
  <c r="L15" i="14"/>
  <c r="R15" i="14" s="1"/>
  <c r="T15" i="14" s="1"/>
  <c r="Y15" i="14"/>
  <c r="L7" i="14"/>
  <c r="R7" i="14" s="1"/>
  <c r="T7" i="14" s="1"/>
  <c r="Y7" i="14"/>
  <c r="L43" i="14"/>
  <c r="R43" i="14" s="1"/>
  <c r="T43" i="14" s="1"/>
  <c r="Y43" i="14"/>
  <c r="Y25" i="14"/>
  <c r="Y57" i="14"/>
  <c r="Y10" i="14"/>
  <c r="Y42" i="14"/>
  <c r="X38" i="14"/>
  <c r="X61" i="14"/>
  <c r="X13" i="14"/>
  <c r="AD13" i="14" s="1"/>
  <c r="L2" i="14"/>
  <c r="R2" i="14" s="1"/>
  <c r="T2" i="14" s="1"/>
  <c r="X42" i="14"/>
  <c r="AC42" i="14" s="1"/>
  <c r="L35" i="14"/>
  <c r="R35" i="14" s="1"/>
  <c r="T35" i="14" s="1"/>
  <c r="L75" i="14"/>
  <c r="R75" i="14" s="1"/>
  <c r="T75" i="14" s="1"/>
  <c r="L18" i="14"/>
  <c r="R18" i="14" s="1"/>
  <c r="T18" i="14" s="1"/>
  <c r="L50" i="14"/>
  <c r="R50" i="14" s="1"/>
  <c r="T50" i="14" s="1"/>
  <c r="L25" i="14"/>
  <c r="R25" i="14" s="1"/>
  <c r="T25" i="14" s="1"/>
  <c r="L57" i="14"/>
  <c r="R57" i="14" s="1"/>
  <c r="T57" i="14" s="1"/>
  <c r="L4" i="14"/>
  <c r="R4" i="14" s="1"/>
  <c r="T4" i="14" s="1"/>
  <c r="L36" i="14"/>
  <c r="R36" i="14" s="1"/>
  <c r="T36" i="14" s="1"/>
  <c r="L68" i="14"/>
  <c r="R68" i="14" s="1"/>
  <c r="T68" i="14" s="1"/>
  <c r="L67" i="14"/>
  <c r="R67" i="14" s="1"/>
  <c r="T67" i="14" s="1"/>
  <c r="L21" i="14"/>
  <c r="R21" i="14" s="1"/>
  <c r="T21" i="14" s="1"/>
  <c r="L32" i="14"/>
  <c r="R32" i="14" s="1"/>
  <c r="T32" i="14" s="1"/>
  <c r="L64" i="14"/>
  <c r="R64" i="14" s="1"/>
  <c r="T64" i="14" s="1"/>
  <c r="L14" i="14"/>
  <c r="R14" i="14" s="1"/>
  <c r="T14" i="14" s="1"/>
  <c r="L46" i="14"/>
  <c r="R46" i="14" s="1"/>
  <c r="T46" i="14" s="1"/>
  <c r="L28" i="14"/>
  <c r="R28" i="14" s="1"/>
  <c r="T28" i="14" s="1"/>
  <c r="L60" i="14"/>
  <c r="R60" i="14" s="1"/>
  <c r="T60" i="14" s="1"/>
  <c r="L53" i="14"/>
  <c r="R53" i="14" s="1"/>
  <c r="T53" i="14" s="1"/>
  <c r="L10" i="14"/>
  <c r="R10" i="14" s="1"/>
  <c r="T10" i="14" s="1"/>
  <c r="L42" i="14"/>
  <c r="R42" i="14" s="1"/>
  <c r="T42" i="14" s="1"/>
  <c r="L11" i="14"/>
  <c r="R11" i="14" s="1"/>
  <c r="T11" i="14" s="1"/>
  <c r="L71" i="14"/>
  <c r="R71" i="14" s="1"/>
  <c r="T71" i="14" s="1"/>
  <c r="L6" i="14"/>
  <c r="R6" i="14" s="1"/>
  <c r="T6" i="14" s="1"/>
  <c r="L38" i="14"/>
  <c r="R38" i="14" s="1"/>
  <c r="T38" i="14" s="1"/>
  <c r="L51" i="14"/>
  <c r="R51" i="14" s="1"/>
  <c r="T51" i="14" s="1"/>
  <c r="L63" i="14"/>
  <c r="R63" i="14" s="1"/>
  <c r="T63" i="14" s="1"/>
  <c r="L20" i="14"/>
  <c r="R20" i="14" s="1"/>
  <c r="T20" i="14" s="1"/>
  <c r="L52" i="14"/>
  <c r="R52" i="14" s="1"/>
  <c r="T52" i="14" s="1"/>
  <c r="L13" i="14"/>
  <c r="R13" i="14" s="1"/>
  <c r="T13" i="14" s="1"/>
  <c r="L45" i="14"/>
  <c r="R45" i="14" s="1"/>
  <c r="T45" i="14" s="1"/>
  <c r="L66" i="14"/>
  <c r="R66" i="14" s="1"/>
  <c r="T66" i="14" s="1"/>
  <c r="L59" i="14"/>
  <c r="R59" i="14" s="1"/>
  <c r="T59" i="14" s="1"/>
  <c r="L24" i="14"/>
  <c r="R24" i="14" s="1"/>
  <c r="T24" i="14" s="1"/>
  <c r="L56" i="14"/>
  <c r="R56" i="14" s="1"/>
  <c r="T56" i="14" s="1"/>
  <c r="L17" i="14"/>
  <c r="R17" i="14" s="1"/>
  <c r="T17" i="14" s="1"/>
  <c r="L70" i="14"/>
  <c r="R70" i="14" s="1"/>
  <c r="T70" i="14" s="1"/>
  <c r="L55" i="14"/>
  <c r="R55" i="14" s="1"/>
  <c r="T55" i="14" s="1"/>
  <c r="L12" i="14"/>
  <c r="R12" i="14" s="1"/>
  <c r="T12" i="14" s="1"/>
  <c r="L44" i="14"/>
  <c r="R44" i="14" s="1"/>
  <c r="T44" i="14" s="1"/>
  <c r="L5" i="14"/>
  <c r="R5" i="14" s="1"/>
  <c r="T5" i="14" s="1"/>
  <c r="L37" i="14"/>
  <c r="R37" i="14" s="1"/>
  <c r="T37" i="14" s="1"/>
  <c r="L69" i="14"/>
  <c r="R69" i="14" s="1"/>
  <c r="T69" i="14" s="1"/>
  <c r="L22" i="14"/>
  <c r="R22" i="14" s="1"/>
  <c r="T22" i="14" s="1"/>
  <c r="L58" i="14"/>
  <c r="R58" i="14" s="1"/>
  <c r="T58" i="14" s="1"/>
  <c r="L29" i="14"/>
  <c r="R29" i="14" s="1"/>
  <c r="T29" i="14" s="1"/>
  <c r="L61" i="14"/>
  <c r="R61" i="14" s="1"/>
  <c r="T61" i="14" s="1"/>
  <c r="L8" i="14"/>
  <c r="R8" i="14" s="1"/>
  <c r="T8" i="14" s="1"/>
  <c r="L40" i="14"/>
  <c r="R40" i="14" s="1"/>
  <c r="T40" i="14" s="1"/>
  <c r="L72" i="14"/>
  <c r="R72" i="14" s="1"/>
  <c r="T72" i="14" s="1"/>
  <c r="L33" i="14"/>
  <c r="R33" i="14" s="1"/>
  <c r="T33" i="14" s="1"/>
  <c r="L65" i="14"/>
  <c r="R65" i="14" s="1"/>
  <c r="T65" i="14" s="1"/>
  <c r="L16" i="14"/>
  <c r="R16" i="14" s="1"/>
  <c r="T16" i="14" s="1"/>
  <c r="L48" i="14"/>
  <c r="R48" i="14" s="1"/>
  <c r="T48" i="14" s="1"/>
  <c r="L9" i="14"/>
  <c r="R9" i="14" s="1"/>
  <c r="T9" i="14" s="1"/>
  <c r="L41" i="14"/>
  <c r="R41" i="14" s="1"/>
  <c r="T41" i="14" s="1"/>
  <c r="L73" i="14"/>
  <c r="R73" i="14" s="1"/>
  <c r="T73" i="14" s="1"/>
  <c r="L26" i="14"/>
  <c r="R26" i="14" s="1"/>
  <c r="T26" i="14" s="1"/>
  <c r="L62" i="14"/>
  <c r="R62" i="14" s="1"/>
  <c r="T62" i="14" s="1"/>
  <c r="L54" i="14"/>
  <c r="R54" i="14" s="1"/>
  <c r="T54" i="14" s="1"/>
  <c r="L30" i="14"/>
  <c r="R30" i="14" s="1"/>
  <c r="T30" i="14" s="1"/>
  <c r="L3" i="14"/>
  <c r="R3" i="14" s="1"/>
  <c r="T3" i="14" s="1"/>
  <c r="L49" i="14"/>
  <c r="R49" i="14" s="1"/>
  <c r="T49" i="14" s="1"/>
  <c r="L34" i="14"/>
  <c r="R34" i="14" s="1"/>
  <c r="T34" i="14" s="1"/>
  <c r="L74" i="14"/>
  <c r="R74" i="14" s="1"/>
  <c r="T74" i="14" s="1"/>
  <c r="Y12" i="9"/>
  <c r="AA12" i="9" s="1"/>
  <c r="H12" i="9"/>
  <c r="Z13" i="9"/>
  <c r="B14" i="9"/>
  <c r="E12" i="9"/>
  <c r="V13" i="9"/>
  <c r="S13" i="9" s="1"/>
  <c r="D64" i="7"/>
  <c r="E64" i="7" s="1"/>
  <c r="F12" i="9"/>
  <c r="B65" i="7"/>
  <c r="B66" i="7" s="1"/>
  <c r="T12" i="9"/>
  <c r="U12" i="9" s="1"/>
  <c r="A14" i="9"/>
  <c r="G12" i="7"/>
  <c r="F13" i="7" s="1"/>
  <c r="C13" i="9"/>
  <c r="R13" i="9"/>
  <c r="D13" i="9"/>
  <c r="C66" i="7"/>
  <c r="C65" i="7"/>
  <c r="I65" i="7"/>
  <c r="I66" i="7"/>
  <c r="AA2" i="14" l="1"/>
  <c r="AB2" i="14"/>
  <c r="AD17" i="14"/>
  <c r="AD53" i="14"/>
  <c r="AD27" i="14"/>
  <c r="AD56" i="14"/>
  <c r="AD70" i="14"/>
  <c r="AD38" i="14"/>
  <c r="AD48" i="14"/>
  <c r="AD45" i="14"/>
  <c r="AD57" i="14"/>
  <c r="AD59" i="14"/>
  <c r="AC73" i="14"/>
  <c r="AD16" i="14"/>
  <c r="AD42" i="14"/>
  <c r="AD67" i="14"/>
  <c r="AD46" i="14"/>
  <c r="AC13" i="14"/>
  <c r="AC27" i="14"/>
  <c r="AD61" i="14"/>
  <c r="AD8" i="14"/>
  <c r="AC35" i="14"/>
  <c r="AD9" i="14"/>
  <c r="AD10" i="14"/>
  <c r="AD29" i="14"/>
  <c r="AD49" i="14"/>
  <c r="AC51" i="14"/>
  <c r="AC56" i="14"/>
  <c r="AC45" i="14"/>
  <c r="AC26" i="14"/>
  <c r="AD32" i="14"/>
  <c r="AD4" i="14"/>
  <c r="AD36" i="14"/>
  <c r="AC19" i="14"/>
  <c r="AC46" i="14"/>
  <c r="AC4" i="14"/>
  <c r="AC10" i="14"/>
  <c r="AC7" i="14"/>
  <c r="AD18" i="14"/>
  <c r="AD68" i="14"/>
  <c r="AD41" i="14"/>
  <c r="AD62" i="14"/>
  <c r="AD52" i="14"/>
  <c r="AC71" i="14"/>
  <c r="AC57" i="14"/>
  <c r="AC38" i="14"/>
  <c r="AC24" i="14"/>
  <c r="AC20" i="14"/>
  <c r="AC9" i="14"/>
  <c r="AC2" i="14"/>
  <c r="AE2" i="14" s="1"/>
  <c r="AD2" i="14"/>
  <c r="AD65" i="14"/>
  <c r="AD39" i="14"/>
  <c r="AD75" i="14"/>
  <c r="AD5" i="14"/>
  <c r="AD47" i="14"/>
  <c r="AD33" i="14"/>
  <c r="AD63" i="14"/>
  <c r="AC40" i="14"/>
  <c r="AC61" i="14"/>
  <c r="AC47" i="14"/>
  <c r="AC70" i="14"/>
  <c r="AC63" i="14"/>
  <c r="AD21" i="14"/>
  <c r="AD58" i="14"/>
  <c r="AD60" i="14"/>
  <c r="AD14" i="14"/>
  <c r="AD43" i="14"/>
  <c r="AD66" i="14"/>
  <c r="AD44" i="14"/>
  <c r="AD30" i="14"/>
  <c r="AD55" i="14"/>
  <c r="AD25" i="14"/>
  <c r="AC49" i="14"/>
  <c r="AC64" i="14"/>
  <c r="AC60" i="14"/>
  <c r="AC66" i="14"/>
  <c r="AC48" i="14"/>
  <c r="AD72" i="14"/>
  <c r="AD54" i="14"/>
  <c r="AD11" i="14"/>
  <c r="AD15" i="14"/>
  <c r="AD6" i="14"/>
  <c r="AD69" i="14"/>
  <c r="AC8" i="14"/>
  <c r="AC67" i="14"/>
  <c r="AC29" i="14"/>
  <c r="AC28" i="14"/>
  <c r="AC32" i="14"/>
  <c r="AC30" i="14"/>
  <c r="AC31" i="14"/>
  <c r="AC16" i="14"/>
  <c r="AD22" i="14"/>
  <c r="AD3" i="14"/>
  <c r="AE3" i="14" s="1"/>
  <c r="AD74" i="14"/>
  <c r="AD37" i="14"/>
  <c r="AD23" i="14"/>
  <c r="AD50" i="14"/>
  <c r="AC50" i="14"/>
  <c r="AC34" i="14"/>
  <c r="AC17" i="14"/>
  <c r="AC53" i="14"/>
  <c r="AC54" i="14"/>
  <c r="AC22" i="14"/>
  <c r="AC62" i="14"/>
  <c r="AC59" i="14"/>
  <c r="AC12" i="14"/>
  <c r="AA3" i="14"/>
  <c r="AA4" i="14" s="1"/>
  <c r="AA5" i="14" s="1"/>
  <c r="AA6" i="14" s="1"/>
  <c r="AA7" i="14" s="1"/>
  <c r="AA8" i="14" s="1"/>
  <c r="AA9" i="14" s="1"/>
  <c r="AA10" i="14" s="1"/>
  <c r="AA11" i="14" s="1"/>
  <c r="AA12" i="14" s="1"/>
  <c r="AA13" i="14" s="1"/>
  <c r="AA14" i="14" s="1"/>
  <c r="AA15" i="14" s="1"/>
  <c r="AA16" i="14" s="1"/>
  <c r="AA17" i="14" s="1"/>
  <c r="AA18" i="14" s="1"/>
  <c r="AA19" i="14" s="1"/>
  <c r="AA20" i="14" s="1"/>
  <c r="AA21" i="14" s="1"/>
  <c r="AA22" i="14" s="1"/>
  <c r="AA23" i="14" s="1"/>
  <c r="AA24" i="14" s="1"/>
  <c r="AA25" i="14" s="1"/>
  <c r="AA26" i="14" s="1"/>
  <c r="AA27" i="14" s="1"/>
  <c r="AA28" i="14" s="1"/>
  <c r="AA29" i="14" s="1"/>
  <c r="AA30" i="14" s="1"/>
  <c r="AA31" i="14" s="1"/>
  <c r="AA32" i="14" s="1"/>
  <c r="AA33" i="14" s="1"/>
  <c r="AA34" i="14" s="1"/>
  <c r="AA35" i="14" s="1"/>
  <c r="AA36" i="14" s="1"/>
  <c r="AA37" i="14" s="1"/>
  <c r="AA38" i="14" s="1"/>
  <c r="AA39" i="14" s="1"/>
  <c r="AA40" i="14" s="1"/>
  <c r="AA41" i="14" s="1"/>
  <c r="AA42" i="14" s="1"/>
  <c r="AA43" i="14" s="1"/>
  <c r="AA44" i="14" s="1"/>
  <c r="AA45" i="14" s="1"/>
  <c r="AA46" i="14" s="1"/>
  <c r="AA47" i="14" s="1"/>
  <c r="AA48" i="14" s="1"/>
  <c r="AA49" i="14" s="1"/>
  <c r="AA50" i="14" s="1"/>
  <c r="AA51" i="14" s="1"/>
  <c r="AA52" i="14" s="1"/>
  <c r="AA53" i="14" s="1"/>
  <c r="AA54" i="14" s="1"/>
  <c r="AA55" i="14" s="1"/>
  <c r="AA56" i="14" s="1"/>
  <c r="AA57" i="14" s="1"/>
  <c r="AA58" i="14" s="1"/>
  <c r="AA59" i="14" s="1"/>
  <c r="AA60" i="14" s="1"/>
  <c r="AA61" i="14" s="1"/>
  <c r="AA62" i="14" s="1"/>
  <c r="AA63" i="14" s="1"/>
  <c r="AA64" i="14" s="1"/>
  <c r="AA65" i="14" s="1"/>
  <c r="AA66" i="14" s="1"/>
  <c r="AA67" i="14" s="1"/>
  <c r="AA68" i="14" s="1"/>
  <c r="AA69" i="14" s="1"/>
  <c r="AA70" i="14" s="1"/>
  <c r="AA71" i="14" s="1"/>
  <c r="AA72" i="14" s="1"/>
  <c r="AA73" i="14" s="1"/>
  <c r="AA74" i="14" s="1"/>
  <c r="AA75" i="14" s="1"/>
  <c r="AB75" i="14" s="1"/>
  <c r="Y13" i="9"/>
  <c r="AA13" i="9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Z14" i="9"/>
  <c r="G12" i="9"/>
  <c r="D66" i="7"/>
  <c r="E66" i="7" s="1"/>
  <c r="V14" i="9"/>
  <c r="S14" i="9" s="1"/>
  <c r="J13" i="9"/>
  <c r="F13" i="9" s="1"/>
  <c r="T13" i="9"/>
  <c r="U13" i="9" s="1"/>
  <c r="D65" i="7"/>
  <c r="E65" i="7" s="1"/>
  <c r="G13" i="7"/>
  <c r="F14" i="7" s="1"/>
  <c r="B67" i="7"/>
  <c r="E13" i="9"/>
  <c r="A15" i="9"/>
  <c r="C14" i="9"/>
  <c r="R14" i="9"/>
  <c r="D14" i="9"/>
  <c r="C67" i="7"/>
  <c r="I67" i="7"/>
  <c r="AB9" i="14" l="1"/>
  <c r="AB60" i="14"/>
  <c r="AB66" i="14"/>
  <c r="AB29" i="14"/>
  <c r="AB73" i="14"/>
  <c r="AB35" i="14"/>
  <c r="AB17" i="14"/>
  <c r="AB22" i="14"/>
  <c r="AB64" i="14"/>
  <c r="AB71" i="14"/>
  <c r="AB74" i="14"/>
  <c r="AB72" i="14"/>
  <c r="AB58" i="14"/>
  <c r="AB3" i="14"/>
  <c r="AB67" i="14"/>
  <c r="AB54" i="14"/>
  <c r="AB15" i="14"/>
  <c r="AB8" i="14"/>
  <c r="AB44" i="14"/>
  <c r="AB6" i="14"/>
  <c r="AB36" i="14"/>
  <c r="AB59" i="14"/>
  <c r="AB42" i="14"/>
  <c r="AB55" i="14"/>
  <c r="AB41" i="14"/>
  <c r="AB63" i="14"/>
  <c r="AB27" i="14"/>
  <c r="AB38" i="14"/>
  <c r="AB46" i="14"/>
  <c r="AB65" i="14"/>
  <c r="AB61" i="14"/>
  <c r="AB45" i="14"/>
  <c r="AB10" i="14"/>
  <c r="AB12" i="14"/>
  <c r="AB40" i="14"/>
  <c r="AB50" i="14"/>
  <c r="AB33" i="14"/>
  <c r="AB48" i="14"/>
  <c r="AB57" i="14"/>
  <c r="AB13" i="14"/>
  <c r="AB7" i="14"/>
  <c r="AB24" i="14"/>
  <c r="AB51" i="14"/>
  <c r="AB56" i="14"/>
  <c r="AB5" i="14"/>
  <c r="AB62" i="14"/>
  <c r="AB53" i="14"/>
  <c r="AB39" i="14"/>
  <c r="AB16" i="14"/>
  <c r="AB43" i="14"/>
  <c r="AB31" i="14"/>
  <c r="AB11" i="14"/>
  <c r="AB68" i="14"/>
  <c r="AB34" i="14"/>
  <c r="AB21" i="14"/>
  <c r="AB23" i="14"/>
  <c r="AB70" i="14"/>
  <c r="AB19" i="14"/>
  <c r="AB14" i="14"/>
  <c r="AB26" i="14"/>
  <c r="AB4" i="14"/>
  <c r="AB37" i="14"/>
  <c r="AE4" i="14"/>
  <c r="AE5" i="14" s="1"/>
  <c r="AE6" i="14" s="1"/>
  <c r="AE7" i="14" s="1"/>
  <c r="AE8" i="14" s="1"/>
  <c r="AE9" i="14" s="1"/>
  <c r="AE10" i="14" s="1"/>
  <c r="AE11" i="14" s="1"/>
  <c r="AE12" i="14" s="1"/>
  <c r="AE13" i="14" s="1"/>
  <c r="AE14" i="14" s="1"/>
  <c r="AE15" i="14" s="1"/>
  <c r="AE16" i="14" s="1"/>
  <c r="AE17" i="14" s="1"/>
  <c r="AE18" i="14" s="1"/>
  <c r="AE19" i="14" s="1"/>
  <c r="AE20" i="14" s="1"/>
  <c r="AE21" i="14" s="1"/>
  <c r="AE22" i="14" s="1"/>
  <c r="AE23" i="14" s="1"/>
  <c r="AE24" i="14" s="1"/>
  <c r="AE25" i="14" s="1"/>
  <c r="AE26" i="14" s="1"/>
  <c r="AE27" i="14" s="1"/>
  <c r="AE28" i="14" s="1"/>
  <c r="AE29" i="14" s="1"/>
  <c r="AE30" i="14" s="1"/>
  <c r="AE31" i="14" s="1"/>
  <c r="AE32" i="14" s="1"/>
  <c r="AE33" i="14" s="1"/>
  <c r="AE34" i="14" s="1"/>
  <c r="AE35" i="14" s="1"/>
  <c r="AE36" i="14" s="1"/>
  <c r="AE37" i="14" s="1"/>
  <c r="AE38" i="14" s="1"/>
  <c r="AE39" i="14" s="1"/>
  <c r="AE40" i="14" s="1"/>
  <c r="AE41" i="14" s="1"/>
  <c r="AE42" i="14" s="1"/>
  <c r="AE43" i="14" s="1"/>
  <c r="AE44" i="14" s="1"/>
  <c r="AE45" i="14" s="1"/>
  <c r="AE46" i="14" s="1"/>
  <c r="AE47" i="14" s="1"/>
  <c r="AE48" i="14" s="1"/>
  <c r="AE49" i="14" s="1"/>
  <c r="AE50" i="14" s="1"/>
  <c r="AE51" i="14" s="1"/>
  <c r="AE52" i="14" s="1"/>
  <c r="AE53" i="14" s="1"/>
  <c r="AE54" i="14" s="1"/>
  <c r="AE55" i="14" s="1"/>
  <c r="AE56" i="14" s="1"/>
  <c r="AE57" i="14" s="1"/>
  <c r="AE58" i="14" s="1"/>
  <c r="AE59" i="14" s="1"/>
  <c r="AE60" i="14" s="1"/>
  <c r="AE61" i="14" s="1"/>
  <c r="AE62" i="14" s="1"/>
  <c r="AE63" i="14" s="1"/>
  <c r="AE64" i="14" s="1"/>
  <c r="AE65" i="14" s="1"/>
  <c r="AE66" i="14" s="1"/>
  <c r="AE67" i="14" s="1"/>
  <c r="AE68" i="14" s="1"/>
  <c r="AE69" i="14" s="1"/>
  <c r="AE70" i="14" s="1"/>
  <c r="AE71" i="14" s="1"/>
  <c r="AE72" i="14" s="1"/>
  <c r="AE73" i="14" s="1"/>
  <c r="AE74" i="14" s="1"/>
  <c r="AE75" i="14" s="1"/>
  <c r="AB28" i="14"/>
  <c r="AB47" i="14"/>
  <c r="AB32" i="14"/>
  <c r="AB30" i="14"/>
  <c r="AB18" i="14"/>
  <c r="AB69" i="14"/>
  <c r="AB52" i="14"/>
  <c r="AB20" i="14"/>
  <c r="AB25" i="14"/>
  <c r="AB49" i="14"/>
  <c r="Y14" i="9"/>
  <c r="AA14" i="9" s="1"/>
  <c r="J14" i="9"/>
  <c r="F14" i="9" s="1"/>
  <c r="V15" i="9"/>
  <c r="S15" i="9" s="1"/>
  <c r="E14" i="9"/>
  <c r="D67" i="7"/>
  <c r="E67" i="7" s="1"/>
  <c r="T14" i="9"/>
  <c r="U14" i="9" s="1"/>
  <c r="G13" i="9"/>
  <c r="B68" i="7"/>
  <c r="G14" i="7"/>
  <c r="F15" i="7" s="1"/>
  <c r="A16" i="9"/>
  <c r="C15" i="9"/>
  <c r="R15" i="9"/>
  <c r="D15" i="9"/>
  <c r="I68" i="7"/>
  <c r="C68" i="7"/>
  <c r="G14" i="9" l="1"/>
  <c r="E15" i="9"/>
  <c r="D68" i="7"/>
  <c r="E68" i="7" s="1"/>
  <c r="T15" i="9"/>
  <c r="U15" i="9" s="1"/>
  <c r="J15" i="9"/>
  <c r="F15" i="9" s="1"/>
  <c r="V16" i="9"/>
  <c r="S16" i="9" s="1"/>
  <c r="G15" i="7"/>
  <c r="F16" i="7" s="1"/>
  <c r="A17" i="9"/>
  <c r="B69" i="7"/>
  <c r="C16" i="9"/>
  <c r="R16" i="9"/>
  <c r="D16" i="9"/>
  <c r="I69" i="7"/>
  <c r="C69" i="7"/>
  <c r="G15" i="9" l="1"/>
  <c r="D69" i="7"/>
  <c r="E69" i="7" s="1"/>
  <c r="T16" i="9"/>
  <c r="U16" i="9" s="1"/>
  <c r="J16" i="9"/>
  <c r="F16" i="9" s="1"/>
  <c r="E16" i="9"/>
  <c r="V17" i="9"/>
  <c r="S17" i="9" s="1"/>
  <c r="G16" i="7"/>
  <c r="F17" i="7" s="1"/>
  <c r="B70" i="7"/>
  <c r="A18" i="9"/>
  <c r="C17" i="9"/>
  <c r="R17" i="9"/>
  <c r="D17" i="9"/>
  <c r="I70" i="7"/>
  <c r="C70" i="7"/>
  <c r="G16" i="9" l="1"/>
  <c r="J17" i="9"/>
  <c r="F17" i="9" s="1"/>
  <c r="T17" i="9"/>
  <c r="U17" i="9" s="1"/>
  <c r="D70" i="7"/>
  <c r="E70" i="7" s="1"/>
  <c r="V18" i="9"/>
  <c r="S18" i="9" s="1"/>
  <c r="B71" i="7"/>
  <c r="E17" i="9"/>
  <c r="G17" i="7"/>
  <c r="F18" i="7" s="1"/>
  <c r="A19" i="9"/>
  <c r="C18" i="9"/>
  <c r="R18" i="9"/>
  <c r="D18" i="9"/>
  <c r="C71" i="7"/>
  <c r="I71" i="7"/>
  <c r="G17" i="9" l="1"/>
  <c r="V19" i="9"/>
  <c r="S19" i="9" s="1"/>
  <c r="J18" i="9"/>
  <c r="F18" i="9" s="1"/>
  <c r="T18" i="9"/>
  <c r="U18" i="9" s="1"/>
  <c r="D71" i="7"/>
  <c r="E71" i="7" s="1"/>
  <c r="G18" i="7"/>
  <c r="F19" i="7" s="1"/>
  <c r="E18" i="9"/>
  <c r="A20" i="9"/>
  <c r="B72" i="7"/>
  <c r="C19" i="9"/>
  <c r="R19" i="9"/>
  <c r="D19" i="9"/>
  <c r="C72" i="7"/>
  <c r="I72" i="7"/>
  <c r="E19" i="9" l="1"/>
  <c r="D72" i="7"/>
  <c r="E72" i="7" s="1"/>
  <c r="J19" i="9"/>
  <c r="F19" i="9" s="1"/>
  <c r="T19" i="9"/>
  <c r="U19" i="9" s="1"/>
  <c r="V20" i="9"/>
  <c r="S20" i="9" s="1"/>
  <c r="G18" i="9"/>
  <c r="A21" i="9"/>
  <c r="B73" i="7"/>
  <c r="G19" i="7"/>
  <c r="F20" i="7" s="1"/>
  <c r="C20" i="9"/>
  <c r="D20" i="9"/>
  <c r="R20" i="9"/>
  <c r="C73" i="7"/>
  <c r="I73" i="7"/>
  <c r="G19" i="9" l="1"/>
  <c r="D73" i="7"/>
  <c r="E73" i="7" s="1"/>
  <c r="T20" i="9"/>
  <c r="U20" i="9" s="1"/>
  <c r="J20" i="9"/>
  <c r="F20" i="9" s="1"/>
  <c r="V21" i="9"/>
  <c r="S21" i="9" s="1"/>
  <c r="G20" i="7"/>
  <c r="F21" i="7" s="1"/>
  <c r="E20" i="9"/>
  <c r="B74" i="7"/>
  <c r="A22" i="9"/>
  <c r="C21" i="9"/>
  <c r="D21" i="9"/>
  <c r="R21" i="9"/>
  <c r="C74" i="7"/>
  <c r="I74" i="7"/>
  <c r="T21" i="9" l="1"/>
  <c r="U21" i="9" s="1"/>
  <c r="J21" i="9"/>
  <c r="F21" i="9" s="1"/>
  <c r="V22" i="9"/>
  <c r="S22" i="9" s="1"/>
  <c r="D74" i="7"/>
  <c r="E74" i="7" s="1"/>
  <c r="G20" i="9"/>
  <c r="B75" i="7"/>
  <c r="G21" i="7"/>
  <c r="F22" i="7" s="1"/>
  <c r="A23" i="9"/>
  <c r="E21" i="9"/>
  <c r="C22" i="9"/>
  <c r="D22" i="9"/>
  <c r="R22" i="9"/>
  <c r="C75" i="7"/>
  <c r="I75" i="7"/>
  <c r="G21" i="9" l="1"/>
  <c r="D75" i="7"/>
  <c r="E75" i="7" s="1"/>
  <c r="J22" i="9"/>
  <c r="F22" i="9" s="1"/>
  <c r="V23" i="9"/>
  <c r="S23" i="9" s="1"/>
  <c r="T22" i="9"/>
  <c r="U22" i="9" s="1"/>
  <c r="E22" i="9"/>
  <c r="G22" i="7"/>
  <c r="F23" i="7" s="1"/>
  <c r="A24" i="9"/>
  <c r="B76" i="7"/>
  <c r="C23" i="9"/>
  <c r="D23" i="9"/>
  <c r="R23" i="9"/>
  <c r="C76" i="7"/>
  <c r="I76" i="7"/>
  <c r="G22" i="9" l="1"/>
  <c r="D76" i="7"/>
  <c r="E76" i="7" s="1"/>
  <c r="E23" i="9"/>
  <c r="J23" i="9"/>
  <c r="F23" i="9" s="1"/>
  <c r="G23" i="9" s="1"/>
  <c r="V24" i="9"/>
  <c r="S24" i="9" s="1"/>
  <c r="T23" i="9"/>
  <c r="U23" i="9" s="1"/>
  <c r="G23" i="7"/>
  <c r="F24" i="7" s="1"/>
  <c r="B77" i="7"/>
  <c r="A25" i="9"/>
  <c r="C24" i="9"/>
  <c r="R24" i="9"/>
  <c r="D24" i="9"/>
  <c r="I77" i="7"/>
  <c r="C77" i="7"/>
  <c r="J24" i="9" l="1"/>
  <c r="F24" i="9" s="1"/>
  <c r="D77" i="7"/>
  <c r="E77" i="7" s="1"/>
  <c r="T24" i="9"/>
  <c r="U24" i="9" s="1"/>
  <c r="V25" i="9"/>
  <c r="S25" i="9" s="1"/>
  <c r="A26" i="9"/>
  <c r="B78" i="7"/>
  <c r="G24" i="7"/>
  <c r="F25" i="7" s="1"/>
  <c r="E24" i="9"/>
  <c r="G24" i="9" s="1"/>
  <c r="C25" i="9"/>
  <c r="R25" i="9"/>
  <c r="D25" i="9"/>
  <c r="C78" i="7"/>
  <c r="I78" i="7"/>
  <c r="T25" i="9" l="1"/>
  <c r="U25" i="9" s="1"/>
  <c r="D78" i="7"/>
  <c r="E78" i="7" s="1"/>
  <c r="J25" i="9"/>
  <c r="F25" i="9" s="1"/>
  <c r="V26" i="9"/>
  <c r="S26" i="9" s="1"/>
  <c r="G25" i="7"/>
  <c r="F26" i="7" s="1"/>
  <c r="E25" i="9"/>
  <c r="B79" i="7"/>
  <c r="A27" i="9"/>
  <c r="C26" i="9"/>
  <c r="R26" i="9"/>
  <c r="D26" i="9"/>
  <c r="I79" i="7"/>
  <c r="C79" i="7"/>
  <c r="G25" i="9" l="1"/>
  <c r="V27" i="9"/>
  <c r="S27" i="9" s="1"/>
  <c r="J26" i="9"/>
  <c r="F26" i="9" s="1"/>
  <c r="T26" i="9"/>
  <c r="U26" i="9" s="1"/>
  <c r="D79" i="7"/>
  <c r="E79" i="7" s="1"/>
  <c r="G26" i="7"/>
  <c r="F27" i="7" s="1"/>
  <c r="E26" i="9"/>
  <c r="A28" i="9"/>
  <c r="B80" i="7"/>
  <c r="C27" i="9"/>
  <c r="D27" i="9"/>
  <c r="R27" i="9"/>
  <c r="C80" i="7"/>
  <c r="I80" i="7"/>
  <c r="T27" i="9" l="1"/>
  <c r="U27" i="9" s="1"/>
  <c r="D80" i="7"/>
  <c r="E80" i="7" s="1"/>
  <c r="E27" i="9"/>
  <c r="J27" i="9"/>
  <c r="F27" i="9" s="1"/>
  <c r="G27" i="9" s="1"/>
  <c r="V28" i="9"/>
  <c r="S28" i="9" s="1"/>
  <c r="G26" i="9"/>
  <c r="G27" i="7"/>
  <c r="F28" i="7" s="1"/>
  <c r="B81" i="7"/>
  <c r="A29" i="9"/>
  <c r="C28" i="9"/>
  <c r="D28" i="9"/>
  <c r="R28" i="9"/>
  <c r="I81" i="7"/>
  <c r="C81" i="7"/>
  <c r="T28" i="9" l="1"/>
  <c r="U28" i="9" s="1"/>
  <c r="J28" i="9"/>
  <c r="F28" i="9" s="1"/>
  <c r="E28" i="9"/>
  <c r="D81" i="7"/>
  <c r="E81" i="7" s="1"/>
  <c r="V29" i="9"/>
  <c r="S29" i="9" s="1"/>
  <c r="G28" i="7"/>
  <c r="F29" i="7" s="1"/>
  <c r="B82" i="7"/>
  <c r="A30" i="9"/>
  <c r="C29" i="9"/>
  <c r="R29" i="9"/>
  <c r="D29" i="9"/>
  <c r="C82" i="7"/>
  <c r="I82" i="7"/>
  <c r="G28" i="9" l="1"/>
  <c r="E29" i="9"/>
  <c r="J29" i="9"/>
  <c r="F29" i="9" s="1"/>
  <c r="D82" i="7"/>
  <c r="E82" i="7" s="1"/>
  <c r="T29" i="9"/>
  <c r="U29" i="9" s="1"/>
  <c r="V30" i="9"/>
  <c r="S30" i="9" s="1"/>
  <c r="G29" i="7"/>
  <c r="F30" i="7" s="1"/>
  <c r="A31" i="9"/>
  <c r="B83" i="7"/>
  <c r="C30" i="9"/>
  <c r="R30" i="9"/>
  <c r="D30" i="9"/>
  <c r="C83" i="7"/>
  <c r="I83" i="7"/>
  <c r="G29" i="9" l="1"/>
  <c r="J30" i="9"/>
  <c r="F30" i="9" s="1"/>
  <c r="T30" i="9"/>
  <c r="U30" i="9" s="1"/>
  <c r="E30" i="9"/>
  <c r="V31" i="9"/>
  <c r="S31" i="9" s="1"/>
  <c r="D83" i="7"/>
  <c r="E83" i="7" s="1"/>
  <c r="B84" i="7"/>
  <c r="A32" i="9"/>
  <c r="G30" i="7"/>
  <c r="F31" i="7" s="1"/>
  <c r="C31" i="9"/>
  <c r="D31" i="9"/>
  <c r="R31" i="9"/>
  <c r="C84" i="7"/>
  <c r="I84" i="7"/>
  <c r="J31" i="9" l="1"/>
  <c r="F31" i="9" s="1"/>
  <c r="T31" i="9"/>
  <c r="U31" i="9" s="1"/>
  <c r="V32" i="9"/>
  <c r="S32" i="9" s="1"/>
  <c r="D84" i="7"/>
  <c r="E84" i="7" s="1"/>
  <c r="E31" i="9"/>
  <c r="G30" i="9"/>
  <c r="A33" i="9"/>
  <c r="G31" i="7"/>
  <c r="F32" i="7" s="1"/>
  <c r="B85" i="7"/>
  <c r="C32" i="9"/>
  <c r="D32" i="9"/>
  <c r="R32" i="9"/>
  <c r="I85" i="7"/>
  <c r="C85" i="7"/>
  <c r="G31" i="9" l="1"/>
  <c r="T32" i="9"/>
  <c r="U32" i="9" s="1"/>
  <c r="J32" i="9"/>
  <c r="F32" i="9" s="1"/>
  <c r="V33" i="9"/>
  <c r="S33" i="9" s="1"/>
  <c r="D85" i="7"/>
  <c r="E85" i="7" s="1"/>
  <c r="G32" i="7"/>
  <c r="F33" i="7" s="1"/>
  <c r="B86" i="7"/>
  <c r="E32" i="9"/>
  <c r="A34" i="9"/>
  <c r="C33" i="9"/>
  <c r="D33" i="9"/>
  <c r="R33" i="9"/>
  <c r="I86" i="7"/>
  <c r="C86" i="7"/>
  <c r="G32" i="9" l="1"/>
  <c r="J33" i="9"/>
  <c r="F33" i="9" s="1"/>
  <c r="V34" i="9"/>
  <c r="S34" i="9" s="1"/>
  <c r="T33" i="9"/>
  <c r="U33" i="9" s="1"/>
  <c r="D86" i="7"/>
  <c r="E86" i="7" s="1"/>
  <c r="G33" i="7"/>
  <c r="F34" i="7" s="1"/>
  <c r="E33" i="9"/>
  <c r="G33" i="9" s="1"/>
  <c r="B87" i="7"/>
  <c r="A35" i="9"/>
  <c r="C34" i="9"/>
  <c r="R34" i="9"/>
  <c r="D34" i="9"/>
  <c r="I87" i="7"/>
  <c r="C87" i="7"/>
  <c r="E34" i="9" l="1"/>
  <c r="V35" i="9"/>
  <c r="S35" i="9" s="1"/>
  <c r="J34" i="9"/>
  <c r="F34" i="9" s="1"/>
  <c r="T34" i="9"/>
  <c r="U34" i="9" s="1"/>
  <c r="D87" i="7"/>
  <c r="E87" i="7" s="1"/>
  <c r="A36" i="9"/>
  <c r="G34" i="7"/>
  <c r="F35" i="7" s="1"/>
  <c r="B88" i="7"/>
  <c r="C35" i="9"/>
  <c r="R35" i="9"/>
  <c r="D35" i="9"/>
  <c r="C88" i="7"/>
  <c r="I88" i="7"/>
  <c r="G34" i="9" l="1"/>
  <c r="D88" i="7"/>
  <c r="E88" i="7" s="1"/>
  <c r="J35" i="9"/>
  <c r="F35" i="9" s="1"/>
  <c r="V36" i="9"/>
  <c r="S36" i="9" s="1"/>
  <c r="T35" i="9"/>
  <c r="U35" i="9" s="1"/>
  <c r="G35" i="7"/>
  <c r="F36" i="7" s="1"/>
  <c r="B89" i="7"/>
  <c r="A37" i="9"/>
  <c r="E35" i="9"/>
  <c r="C36" i="9"/>
  <c r="D36" i="9"/>
  <c r="R36" i="9"/>
  <c r="C89" i="7"/>
  <c r="I89" i="7"/>
  <c r="G35" i="9" l="1"/>
  <c r="V37" i="9"/>
  <c r="S37" i="9" s="1"/>
  <c r="T36" i="9"/>
  <c r="U36" i="9" s="1"/>
  <c r="D89" i="7"/>
  <c r="E89" i="7" s="1"/>
  <c r="E36" i="9"/>
  <c r="J36" i="9"/>
  <c r="F36" i="9" s="1"/>
  <c r="G36" i="9" s="1"/>
  <c r="B90" i="7"/>
  <c r="A38" i="9"/>
  <c r="G36" i="7"/>
  <c r="F37" i="7" s="1"/>
  <c r="C37" i="9"/>
  <c r="D37" i="9"/>
  <c r="R37" i="9"/>
  <c r="C90" i="7"/>
  <c r="I90" i="7"/>
  <c r="V38" i="9" l="1"/>
  <c r="S38" i="9" s="1"/>
  <c r="D90" i="7"/>
  <c r="E90" i="7" s="1"/>
  <c r="J37" i="9"/>
  <c r="F37" i="9" s="1"/>
  <c r="T37" i="9"/>
  <c r="U37" i="9" s="1"/>
  <c r="G37" i="7"/>
  <c r="F38" i="7" s="1"/>
  <c r="A39" i="9"/>
  <c r="E37" i="9"/>
  <c r="B91" i="7"/>
  <c r="C38" i="9"/>
  <c r="R38" i="9"/>
  <c r="D38" i="9"/>
  <c r="I91" i="7"/>
  <c r="C91" i="7"/>
  <c r="J38" i="9" l="1"/>
  <c r="F38" i="9" s="1"/>
  <c r="T38" i="9"/>
  <c r="U38" i="9" s="1"/>
  <c r="D91" i="7"/>
  <c r="E91" i="7" s="1"/>
  <c r="E38" i="9"/>
  <c r="V39" i="9"/>
  <c r="S39" i="9" s="1"/>
  <c r="G37" i="9"/>
  <c r="G38" i="7"/>
  <c r="F39" i="7" s="1"/>
  <c r="B92" i="7"/>
  <c r="A40" i="9"/>
  <c r="C39" i="9"/>
  <c r="R39" i="9"/>
  <c r="D39" i="9"/>
  <c r="I92" i="7"/>
  <c r="C92" i="7"/>
  <c r="G38" i="9" l="1"/>
  <c r="T39" i="9"/>
  <c r="U39" i="9" s="1"/>
  <c r="J39" i="9"/>
  <c r="F39" i="9" s="1"/>
  <c r="D92" i="7"/>
  <c r="E92" i="7" s="1"/>
  <c r="V40" i="9"/>
  <c r="S40" i="9" s="1"/>
  <c r="B93" i="7"/>
  <c r="A41" i="9"/>
  <c r="G39" i="7"/>
  <c r="F40" i="7" s="1"/>
  <c r="E39" i="9"/>
  <c r="C40" i="9"/>
  <c r="R40" i="9"/>
  <c r="D40" i="9"/>
  <c r="I93" i="7"/>
  <c r="C93" i="7"/>
  <c r="G39" i="9" l="1"/>
  <c r="J40" i="9"/>
  <c r="F40" i="9" s="1"/>
  <c r="D93" i="7"/>
  <c r="E93" i="7" s="1"/>
  <c r="V41" i="9"/>
  <c r="S41" i="9" s="1"/>
  <c r="T40" i="9"/>
  <c r="U40" i="9" s="1"/>
  <c r="G40" i="7"/>
  <c r="F41" i="7" s="1"/>
  <c r="B94" i="7"/>
  <c r="A42" i="9"/>
  <c r="E40" i="9"/>
  <c r="C41" i="9"/>
  <c r="R41" i="9"/>
  <c r="D41" i="9"/>
  <c r="C94" i="7"/>
  <c r="I94" i="7"/>
  <c r="G40" i="9" l="1"/>
  <c r="J41" i="9"/>
  <c r="F41" i="9" s="1"/>
  <c r="V42" i="9"/>
  <c r="S42" i="9" s="1"/>
  <c r="T41" i="9"/>
  <c r="U41" i="9" s="1"/>
  <c r="E41" i="9"/>
  <c r="D94" i="7"/>
  <c r="E94" i="7" s="1"/>
  <c r="G41" i="7"/>
  <c r="F42" i="7" s="1"/>
  <c r="A43" i="9"/>
  <c r="B95" i="7"/>
  <c r="C42" i="9"/>
  <c r="D42" i="9"/>
  <c r="R42" i="9"/>
  <c r="I95" i="7"/>
  <c r="C95" i="7"/>
  <c r="G41" i="9" l="1"/>
  <c r="D95" i="7"/>
  <c r="E95" i="7" s="1"/>
  <c r="V43" i="9"/>
  <c r="S43" i="9" s="1"/>
  <c r="J42" i="9"/>
  <c r="F42" i="9" s="1"/>
  <c r="T42" i="9"/>
  <c r="U42" i="9" s="1"/>
  <c r="E42" i="9"/>
  <c r="G42" i="7"/>
  <c r="F43" i="7" s="1"/>
  <c r="B96" i="7"/>
  <c r="A44" i="9"/>
  <c r="C43" i="9"/>
  <c r="R43" i="9"/>
  <c r="D43" i="9"/>
  <c r="C96" i="7"/>
  <c r="I96" i="7"/>
  <c r="G42" i="9" l="1"/>
  <c r="J43" i="9"/>
  <c r="F43" i="9" s="1"/>
  <c r="T43" i="9"/>
  <c r="U43" i="9" s="1"/>
  <c r="D96" i="7"/>
  <c r="E96" i="7" s="1"/>
  <c r="V44" i="9"/>
  <c r="S44" i="9" s="1"/>
  <c r="B97" i="7"/>
  <c r="E43" i="9"/>
  <c r="G43" i="9" s="1"/>
  <c r="G43" i="7"/>
  <c r="F44" i="7" s="1"/>
  <c r="A45" i="9"/>
  <c r="C44" i="9"/>
  <c r="R44" i="9"/>
  <c r="D44" i="9"/>
  <c r="I97" i="7"/>
  <c r="C97" i="7"/>
  <c r="V45" i="9" l="1"/>
  <c r="S45" i="9" s="1"/>
  <c r="D97" i="7"/>
  <c r="E97" i="7" s="1"/>
  <c r="E44" i="9"/>
  <c r="J44" i="9"/>
  <c r="F44" i="9" s="1"/>
  <c r="T44" i="9"/>
  <c r="U44" i="9" s="1"/>
  <c r="A46" i="9"/>
  <c r="G44" i="7"/>
  <c r="F45" i="7" s="1"/>
  <c r="B98" i="7"/>
  <c r="C45" i="9"/>
  <c r="D45" i="9"/>
  <c r="R45" i="9"/>
  <c r="C98" i="7"/>
  <c r="I98" i="7"/>
  <c r="G44" i="9" l="1"/>
  <c r="D98" i="7"/>
  <c r="E98" i="7" s="1"/>
  <c r="J45" i="9"/>
  <c r="F45" i="9" s="1"/>
  <c r="T45" i="9"/>
  <c r="U45" i="9" s="1"/>
  <c r="E45" i="9"/>
  <c r="V46" i="9"/>
  <c r="S46" i="9" s="1"/>
  <c r="G45" i="7"/>
  <c r="F46" i="7" s="1"/>
  <c r="A47" i="9"/>
  <c r="B99" i="7"/>
  <c r="C46" i="9"/>
  <c r="R46" i="9"/>
  <c r="D46" i="9"/>
  <c r="C99" i="7"/>
  <c r="I99" i="7"/>
  <c r="G45" i="9" l="1"/>
  <c r="D99" i="7"/>
  <c r="E99" i="7" s="1"/>
  <c r="J46" i="9"/>
  <c r="F46" i="9" s="1"/>
  <c r="T46" i="9"/>
  <c r="U46" i="9" s="1"/>
  <c r="E46" i="9"/>
  <c r="V47" i="9"/>
  <c r="S47" i="9" s="1"/>
  <c r="G46" i="7"/>
  <c r="F47" i="7" s="1"/>
  <c r="A48" i="9"/>
  <c r="B100" i="7"/>
  <c r="C47" i="9"/>
  <c r="R47" i="9"/>
  <c r="D47" i="9"/>
  <c r="I100" i="7"/>
  <c r="C100" i="7"/>
  <c r="G46" i="9" l="1"/>
  <c r="J47" i="9"/>
  <c r="F47" i="9" s="1"/>
  <c r="T47" i="9"/>
  <c r="U47" i="9" s="1"/>
  <c r="D100" i="7"/>
  <c r="E100" i="7" s="1"/>
  <c r="E47" i="9"/>
  <c r="V48" i="9"/>
  <c r="S48" i="9" s="1"/>
  <c r="B101" i="7"/>
  <c r="A49" i="9"/>
  <c r="G47" i="7"/>
  <c r="F48" i="7" s="1"/>
  <c r="C48" i="9"/>
  <c r="R48" i="9"/>
  <c r="D48" i="9"/>
  <c r="I101" i="7"/>
  <c r="C101" i="7"/>
  <c r="G47" i="9" l="1"/>
  <c r="J48" i="9"/>
  <c r="F48" i="9" s="1"/>
  <c r="E48" i="9"/>
  <c r="T48" i="9"/>
  <c r="U48" i="9" s="1"/>
  <c r="D101" i="7"/>
  <c r="E101" i="7" s="1"/>
  <c r="V49" i="9"/>
  <c r="S49" i="9" s="1"/>
  <c r="G48" i="7"/>
  <c r="F49" i="7" s="1"/>
  <c r="A50" i="9"/>
  <c r="B102" i="7"/>
  <c r="C49" i="9"/>
  <c r="D49" i="9"/>
  <c r="R49" i="9"/>
  <c r="C102" i="7"/>
  <c r="I102" i="7"/>
  <c r="G48" i="9" l="1"/>
  <c r="D102" i="7"/>
  <c r="E102" i="7" s="1"/>
  <c r="T49" i="9"/>
  <c r="U49" i="9" s="1"/>
  <c r="J49" i="9"/>
  <c r="F49" i="9" s="1"/>
  <c r="V50" i="9"/>
  <c r="S50" i="9" s="1"/>
  <c r="A51" i="9"/>
  <c r="E49" i="9"/>
  <c r="B103" i="7"/>
  <c r="G49" i="7"/>
  <c r="F50" i="7" s="1"/>
  <c r="C50" i="9"/>
  <c r="R50" i="9"/>
  <c r="D50" i="9"/>
  <c r="C103" i="7"/>
  <c r="I103" i="7"/>
  <c r="G49" i="9" l="1"/>
  <c r="J50" i="9"/>
  <c r="F50" i="9" s="1"/>
  <c r="T50" i="9"/>
  <c r="U50" i="9" s="1"/>
  <c r="D103" i="7"/>
  <c r="E103" i="7" s="1"/>
  <c r="E50" i="9"/>
  <c r="V51" i="9"/>
  <c r="S51" i="9" s="1"/>
  <c r="A52" i="9"/>
  <c r="G50" i="7"/>
  <c r="F51" i="7" s="1"/>
  <c r="B104" i="7"/>
  <c r="C51" i="9"/>
  <c r="D51" i="9"/>
  <c r="R51" i="9"/>
  <c r="I104" i="7"/>
  <c r="C104" i="7"/>
  <c r="G50" i="9" l="1"/>
  <c r="D104" i="7"/>
  <c r="E104" i="7" s="1"/>
  <c r="J51" i="9"/>
  <c r="F51" i="9" s="1"/>
  <c r="T51" i="9"/>
  <c r="U51" i="9" s="1"/>
  <c r="V52" i="9"/>
  <c r="S52" i="9" s="1"/>
  <c r="G51" i="7"/>
  <c r="F52" i="7" s="1"/>
  <c r="A53" i="9"/>
  <c r="B105" i="7"/>
  <c r="E51" i="9"/>
  <c r="C52" i="9"/>
  <c r="R52" i="9"/>
  <c r="D52" i="9"/>
  <c r="I105" i="7"/>
  <c r="C105" i="7"/>
  <c r="G51" i="9" l="1"/>
  <c r="T52" i="9"/>
  <c r="U52" i="9" s="1"/>
  <c r="V53" i="9"/>
  <c r="S53" i="9" s="1"/>
  <c r="J52" i="9"/>
  <c r="F52" i="9" s="1"/>
  <c r="D105" i="7"/>
  <c r="E105" i="7" s="1"/>
  <c r="G52" i="7"/>
  <c r="F53" i="7" s="1"/>
  <c r="A54" i="9"/>
  <c r="B106" i="7"/>
  <c r="E52" i="9"/>
  <c r="C53" i="9"/>
  <c r="R53" i="9"/>
  <c r="D53" i="9"/>
  <c r="I106" i="7"/>
  <c r="C106" i="7"/>
  <c r="T53" i="9" l="1"/>
  <c r="U53" i="9" s="1"/>
  <c r="V54" i="9"/>
  <c r="S54" i="9" s="1"/>
  <c r="D106" i="7"/>
  <c r="E106" i="7" s="1"/>
  <c r="J53" i="9"/>
  <c r="F53" i="9" s="1"/>
  <c r="G52" i="9"/>
  <c r="G53" i="7"/>
  <c r="F54" i="7" s="1"/>
  <c r="B107" i="7"/>
  <c r="A55" i="9"/>
  <c r="E53" i="9"/>
  <c r="C54" i="9"/>
  <c r="R54" i="9"/>
  <c r="D54" i="9"/>
  <c r="I107" i="7"/>
  <c r="C107" i="7"/>
  <c r="G53" i="9" l="1"/>
  <c r="J54" i="9"/>
  <c r="F54" i="9" s="1"/>
  <c r="V55" i="9"/>
  <c r="S55" i="9" s="1"/>
  <c r="T54" i="9"/>
  <c r="U54" i="9" s="1"/>
  <c r="D107" i="7"/>
  <c r="E107" i="7" s="1"/>
  <c r="G54" i="7"/>
  <c r="F55" i="7" s="1"/>
  <c r="A56" i="9"/>
  <c r="B108" i="7"/>
  <c r="E54" i="9"/>
  <c r="C55" i="9"/>
  <c r="D55" i="9"/>
  <c r="R55" i="9"/>
  <c r="C108" i="7"/>
  <c r="I108" i="7"/>
  <c r="G54" i="9" l="1"/>
  <c r="T55" i="9"/>
  <c r="U55" i="9" s="1"/>
  <c r="V56" i="9"/>
  <c r="S56" i="9" s="1"/>
  <c r="D108" i="7"/>
  <c r="E108" i="7" s="1"/>
  <c r="E55" i="9"/>
  <c r="J55" i="9"/>
  <c r="F55" i="9" s="1"/>
  <c r="B109" i="7"/>
  <c r="G55" i="7"/>
  <c r="F56" i="7" s="1"/>
  <c r="A57" i="9"/>
  <c r="C56" i="9"/>
  <c r="R56" i="9"/>
  <c r="D56" i="9"/>
  <c r="C109" i="7"/>
  <c r="I109" i="7"/>
  <c r="G55" i="9" l="1"/>
  <c r="D109" i="7"/>
  <c r="E109" i="7" s="1"/>
  <c r="J56" i="9"/>
  <c r="F56" i="9" s="1"/>
  <c r="V57" i="9"/>
  <c r="S57" i="9" s="1"/>
  <c r="T56" i="9"/>
  <c r="U56" i="9" s="1"/>
  <c r="E56" i="9"/>
  <c r="A58" i="9"/>
  <c r="G56" i="7"/>
  <c r="F57" i="7" s="1"/>
  <c r="B110" i="7"/>
  <c r="C57" i="9"/>
  <c r="R57" i="9"/>
  <c r="D57" i="9"/>
  <c r="C110" i="7"/>
  <c r="I110" i="7"/>
  <c r="G56" i="9" l="1"/>
  <c r="V58" i="9"/>
  <c r="S58" i="9" s="1"/>
  <c r="J57" i="9"/>
  <c r="F57" i="9" s="1"/>
  <c r="D110" i="7"/>
  <c r="E110" i="7" s="1"/>
  <c r="T57" i="9"/>
  <c r="U57" i="9" s="1"/>
  <c r="G57" i="7"/>
  <c r="F58" i="7" s="1"/>
  <c r="E57" i="9"/>
  <c r="B111" i="7"/>
  <c r="A59" i="9"/>
  <c r="C58" i="9"/>
  <c r="D58" i="9"/>
  <c r="R58" i="9"/>
  <c r="I111" i="7"/>
  <c r="C111" i="7"/>
  <c r="G57" i="9" l="1"/>
  <c r="J58" i="9"/>
  <c r="F58" i="9" s="1"/>
  <c r="T58" i="9"/>
  <c r="U58" i="9" s="1"/>
  <c r="D111" i="7"/>
  <c r="E111" i="7" s="1"/>
  <c r="V59" i="9"/>
  <c r="S59" i="9" s="1"/>
  <c r="G58" i="7"/>
  <c r="F59" i="7" s="1"/>
  <c r="E58" i="9"/>
  <c r="A60" i="9"/>
  <c r="B112" i="7"/>
  <c r="C112" i="7" s="1"/>
  <c r="D112" i="7" s="1"/>
  <c r="E112" i="7" s="1"/>
  <c r="C59" i="9"/>
  <c r="D59" i="9"/>
  <c r="R59" i="9"/>
  <c r="G58" i="9" l="1"/>
  <c r="E59" i="9"/>
  <c r="T59" i="9"/>
  <c r="U59" i="9" s="1"/>
  <c r="V60" i="9"/>
  <c r="S60" i="9" s="1"/>
  <c r="J59" i="9"/>
  <c r="F59" i="9" s="1"/>
  <c r="G59" i="9" s="1"/>
  <c r="G59" i="7"/>
  <c r="F60" i="7" s="1"/>
  <c r="A61" i="9"/>
  <c r="C60" i="9"/>
  <c r="R60" i="9"/>
  <c r="D60" i="9"/>
  <c r="E60" i="9" l="1"/>
  <c r="V61" i="9"/>
  <c r="S61" i="9" s="1"/>
  <c r="J60" i="9"/>
  <c r="F60" i="9" s="1"/>
  <c r="G60" i="9" s="1"/>
  <c r="T60" i="9"/>
  <c r="U60" i="9" s="1"/>
  <c r="G60" i="7"/>
  <c r="F61" i="7" s="1"/>
  <c r="A62" i="9"/>
  <c r="C61" i="9"/>
  <c r="D61" i="9"/>
  <c r="R61" i="9"/>
  <c r="J61" i="9" l="1"/>
  <c r="F61" i="9" s="1"/>
  <c r="T61" i="9"/>
  <c r="U61" i="9" s="1"/>
  <c r="V62" i="9"/>
  <c r="S62" i="9" s="1"/>
  <c r="A63" i="9"/>
  <c r="G61" i="7"/>
  <c r="F62" i="7" s="1"/>
  <c r="E61" i="9"/>
  <c r="C62" i="9"/>
  <c r="R62" i="9"/>
  <c r="D62" i="9"/>
  <c r="G61" i="9" l="1"/>
  <c r="J62" i="9"/>
  <c r="F62" i="9" s="1"/>
  <c r="V63" i="9"/>
  <c r="S63" i="9" s="1"/>
  <c r="T62" i="9"/>
  <c r="U62" i="9" s="1"/>
  <c r="G62" i="7"/>
  <c r="F63" i="7" s="1"/>
  <c r="A64" i="9"/>
  <c r="E62" i="9"/>
  <c r="G62" i="9" s="1"/>
  <c r="C63" i="9"/>
  <c r="D63" i="9"/>
  <c r="R63" i="9"/>
  <c r="V64" i="9" l="1"/>
  <c r="S64" i="9" s="1"/>
  <c r="E63" i="9"/>
  <c r="T63" i="9"/>
  <c r="U63" i="9" s="1"/>
  <c r="J63" i="9"/>
  <c r="F63" i="9" s="1"/>
  <c r="A65" i="9"/>
  <c r="G63" i="7"/>
  <c r="F64" i="7" s="1"/>
  <c r="C64" i="9"/>
  <c r="R64" i="9"/>
  <c r="D64" i="9"/>
  <c r="G63" i="9" l="1"/>
  <c r="J64" i="9"/>
  <c r="F64" i="9" s="1"/>
  <c r="V65" i="9"/>
  <c r="S65" i="9" s="1"/>
  <c r="T64" i="9"/>
  <c r="U64" i="9" s="1"/>
  <c r="G64" i="7"/>
  <c r="F65" i="7" s="1"/>
  <c r="E64" i="9"/>
  <c r="G64" i="9" s="1"/>
  <c r="A66" i="9"/>
  <c r="C65" i="9"/>
  <c r="D65" i="9"/>
  <c r="R65" i="9"/>
  <c r="T65" i="9" l="1"/>
  <c r="U65" i="9" s="1"/>
  <c r="E65" i="9"/>
  <c r="V66" i="9"/>
  <c r="S66" i="9" s="1"/>
  <c r="J65" i="9"/>
  <c r="F65" i="9" s="1"/>
  <c r="G65" i="9" s="1"/>
  <c r="G65" i="7"/>
  <c r="F66" i="7" s="1"/>
  <c r="A67" i="9"/>
  <c r="C66" i="9"/>
  <c r="D66" i="9"/>
  <c r="R66" i="9"/>
  <c r="J66" i="9" l="1"/>
  <c r="F66" i="9" s="1"/>
  <c r="E66" i="9"/>
  <c r="V67" i="9"/>
  <c r="S67" i="9" s="1"/>
  <c r="T66" i="9"/>
  <c r="U66" i="9" s="1"/>
  <c r="G66" i="7"/>
  <c r="F67" i="7" s="1"/>
  <c r="A68" i="9"/>
  <c r="C67" i="9"/>
  <c r="R67" i="9"/>
  <c r="D67" i="9"/>
  <c r="G66" i="9" l="1"/>
  <c r="J67" i="9"/>
  <c r="F67" i="9" s="1"/>
  <c r="E67" i="9"/>
  <c r="V68" i="9"/>
  <c r="S68" i="9" s="1"/>
  <c r="T67" i="9"/>
  <c r="U67" i="9" s="1"/>
  <c r="G67" i="7"/>
  <c r="F68" i="7" s="1"/>
  <c r="A69" i="9"/>
  <c r="C68" i="9"/>
  <c r="D68" i="9"/>
  <c r="R68" i="9"/>
  <c r="G67" i="9" l="1"/>
  <c r="V69" i="9"/>
  <c r="S69" i="9" s="1"/>
  <c r="E68" i="9"/>
  <c r="J68" i="9"/>
  <c r="F68" i="9" s="1"/>
  <c r="G68" i="9" s="1"/>
  <c r="T68" i="9"/>
  <c r="U68" i="9" s="1"/>
  <c r="G68" i="7"/>
  <c r="F69" i="7" s="1"/>
  <c r="A70" i="9"/>
  <c r="C69" i="9"/>
  <c r="R69" i="9"/>
  <c r="D69" i="9"/>
  <c r="T69" i="9" l="1"/>
  <c r="U69" i="9" s="1"/>
  <c r="J69" i="9"/>
  <c r="F69" i="9" s="1"/>
  <c r="V70" i="9"/>
  <c r="S70" i="9" s="1"/>
  <c r="G69" i="7"/>
  <c r="F70" i="7" s="1"/>
  <c r="A71" i="9"/>
  <c r="E69" i="9"/>
  <c r="C70" i="9"/>
  <c r="R70" i="9"/>
  <c r="D70" i="9"/>
  <c r="G69" i="9" l="1"/>
  <c r="V71" i="9"/>
  <c r="S71" i="9" s="1"/>
  <c r="J70" i="9"/>
  <c r="F70" i="9" s="1"/>
  <c r="T70" i="9"/>
  <c r="U70" i="9" s="1"/>
  <c r="A72" i="9"/>
  <c r="G70" i="7"/>
  <c r="F71" i="7" s="1"/>
  <c r="E70" i="9"/>
  <c r="C71" i="9"/>
  <c r="R71" i="9"/>
  <c r="D71" i="9"/>
  <c r="G70" i="9" l="1"/>
  <c r="T71" i="9"/>
  <c r="U71" i="9" s="1"/>
  <c r="J71" i="9"/>
  <c r="F71" i="9" s="1"/>
  <c r="V72" i="9"/>
  <c r="S72" i="9" s="1"/>
  <c r="G71" i="7"/>
  <c r="F72" i="7" s="1"/>
  <c r="A73" i="9"/>
  <c r="E71" i="9"/>
  <c r="C72" i="9"/>
  <c r="R72" i="9"/>
  <c r="D72" i="9"/>
  <c r="G71" i="9" l="1"/>
  <c r="J72" i="9"/>
  <c r="F72" i="9" s="1"/>
  <c r="V73" i="9"/>
  <c r="S73" i="9" s="1"/>
  <c r="T72" i="9"/>
  <c r="U72" i="9" s="1"/>
  <c r="G72" i="7"/>
  <c r="F73" i="7" s="1"/>
  <c r="E72" i="9"/>
  <c r="A74" i="9"/>
  <c r="C73" i="9"/>
  <c r="R73" i="9"/>
  <c r="D73" i="9"/>
  <c r="G72" i="9" l="1"/>
  <c r="T73" i="9"/>
  <c r="U73" i="9" s="1"/>
  <c r="E73" i="9"/>
  <c r="V74" i="9"/>
  <c r="S74" i="9" s="1"/>
  <c r="J73" i="9"/>
  <c r="F73" i="9" s="1"/>
  <c r="G73" i="9" s="1"/>
  <c r="G73" i="7"/>
  <c r="F74" i="7" s="1"/>
  <c r="A75" i="9"/>
  <c r="C74" i="9"/>
  <c r="D74" i="9"/>
  <c r="R74" i="9"/>
  <c r="V75" i="9" l="1"/>
  <c r="S75" i="9" s="1"/>
  <c r="J74" i="9"/>
  <c r="F74" i="9" s="1"/>
  <c r="T74" i="9"/>
  <c r="U74" i="9" s="1"/>
  <c r="E74" i="9"/>
  <c r="A76" i="9"/>
  <c r="G74" i="7"/>
  <c r="F75" i="7" s="1"/>
  <c r="C75" i="9"/>
  <c r="D75" i="9"/>
  <c r="R75" i="9"/>
  <c r="G74" i="9" l="1"/>
  <c r="T75" i="9"/>
  <c r="U75" i="9" s="1"/>
  <c r="V76" i="9"/>
  <c r="S76" i="9" s="1"/>
  <c r="J75" i="9"/>
  <c r="F75" i="9" s="1"/>
  <c r="E75" i="9"/>
  <c r="G75" i="7"/>
  <c r="F76" i="7" s="1"/>
  <c r="A77" i="9"/>
  <c r="C76" i="9"/>
  <c r="R76" i="9"/>
  <c r="D76" i="9"/>
  <c r="J76" i="9" l="1"/>
  <c r="F76" i="9" s="1"/>
  <c r="V77" i="9"/>
  <c r="S77" i="9" s="1"/>
  <c r="T76" i="9"/>
  <c r="U76" i="9" s="1"/>
  <c r="E76" i="9"/>
  <c r="G76" i="9" s="1"/>
  <c r="G75" i="9"/>
  <c r="G76" i="7"/>
  <c r="F77" i="7" s="1"/>
  <c r="A78" i="9"/>
  <c r="C77" i="9"/>
  <c r="R77" i="9"/>
  <c r="D77" i="9"/>
  <c r="E77" i="9" l="1"/>
  <c r="V78" i="9"/>
  <c r="S78" i="9" s="1"/>
  <c r="J77" i="9"/>
  <c r="F77" i="9" s="1"/>
  <c r="G77" i="9" s="1"/>
  <c r="T77" i="9"/>
  <c r="U77" i="9" s="1"/>
  <c r="G77" i="7"/>
  <c r="F78" i="7" s="1"/>
  <c r="A79" i="9"/>
  <c r="C78" i="9"/>
  <c r="R78" i="9"/>
  <c r="D78" i="9"/>
  <c r="E78" i="9" l="1"/>
  <c r="J78" i="9"/>
  <c r="F78" i="9" s="1"/>
  <c r="G78" i="9" s="1"/>
  <c r="V79" i="9"/>
  <c r="S79" i="9" s="1"/>
  <c r="T78" i="9"/>
  <c r="U78" i="9" s="1"/>
  <c r="G78" i="7"/>
  <c r="F79" i="7" s="1"/>
  <c r="A80" i="9"/>
  <c r="C79" i="9"/>
  <c r="R79" i="9"/>
  <c r="D79" i="9"/>
  <c r="V80" i="9" l="1"/>
  <c r="S80" i="9" s="1"/>
  <c r="J79" i="9"/>
  <c r="F79" i="9" s="1"/>
  <c r="T79" i="9"/>
  <c r="U79" i="9" s="1"/>
  <c r="A81" i="9"/>
  <c r="G79" i="7"/>
  <c r="F80" i="7" s="1"/>
  <c r="E79" i="9"/>
  <c r="C80" i="9"/>
  <c r="D80" i="9"/>
  <c r="R80" i="9"/>
  <c r="G79" i="9" l="1"/>
  <c r="J80" i="9"/>
  <c r="F80" i="9" s="1"/>
  <c r="V81" i="9"/>
  <c r="S81" i="9" s="1"/>
  <c r="T80" i="9"/>
  <c r="U80" i="9" s="1"/>
  <c r="G80" i="7"/>
  <c r="F81" i="7" s="1"/>
  <c r="E80" i="9"/>
  <c r="A82" i="9"/>
  <c r="C81" i="9"/>
  <c r="R81" i="9"/>
  <c r="D81" i="9"/>
  <c r="G80" i="9" l="1"/>
  <c r="V82" i="9"/>
  <c r="S82" i="9" s="1"/>
  <c r="J81" i="9"/>
  <c r="F81" i="9" s="1"/>
  <c r="T81" i="9"/>
  <c r="U81" i="9" s="1"/>
  <c r="G81" i="7"/>
  <c r="F82" i="7" s="1"/>
  <c r="E81" i="9"/>
  <c r="A83" i="9"/>
  <c r="C82" i="9"/>
  <c r="R82" i="9"/>
  <c r="D82" i="9"/>
  <c r="J82" i="9" l="1"/>
  <c r="F82" i="9" s="1"/>
  <c r="T82" i="9"/>
  <c r="U82" i="9" s="1"/>
  <c r="V83" i="9"/>
  <c r="S83" i="9" s="1"/>
  <c r="E82" i="9"/>
  <c r="G81" i="9"/>
  <c r="G82" i="7"/>
  <c r="F83" i="7" s="1"/>
  <c r="G82" i="9"/>
  <c r="A84" i="9"/>
  <c r="C83" i="9"/>
  <c r="D83" i="9"/>
  <c r="R83" i="9"/>
  <c r="V84" i="9" l="1"/>
  <c r="S84" i="9" s="1"/>
  <c r="T83" i="9"/>
  <c r="U83" i="9" s="1"/>
  <c r="J83" i="9"/>
  <c r="F83" i="9" s="1"/>
  <c r="G83" i="7"/>
  <c r="F84" i="7" s="1"/>
  <c r="A85" i="9"/>
  <c r="E83" i="9"/>
  <c r="C84" i="9"/>
  <c r="R84" i="9"/>
  <c r="D84" i="9"/>
  <c r="E84" i="9" l="1"/>
  <c r="J84" i="9"/>
  <c r="F84" i="9" s="1"/>
  <c r="T84" i="9"/>
  <c r="U84" i="9" s="1"/>
  <c r="V85" i="9"/>
  <c r="S85" i="9" s="1"/>
  <c r="G83" i="9"/>
  <c r="G84" i="7"/>
  <c r="F85" i="7" s="1"/>
  <c r="A86" i="9"/>
  <c r="C85" i="9"/>
  <c r="D85" i="9"/>
  <c r="R85" i="9"/>
  <c r="G84" i="9" l="1"/>
  <c r="V86" i="9"/>
  <c r="S86" i="9" s="1"/>
  <c r="J85" i="9"/>
  <c r="F85" i="9" s="1"/>
  <c r="T85" i="9"/>
  <c r="U85" i="9" s="1"/>
  <c r="G85" i="7"/>
  <c r="F86" i="7" s="1"/>
  <c r="E85" i="9"/>
  <c r="A87" i="9"/>
  <c r="C86" i="9"/>
  <c r="D86" i="9"/>
  <c r="R86" i="9"/>
  <c r="T86" i="9" l="1"/>
  <c r="U86" i="9" s="1"/>
  <c r="V87" i="9"/>
  <c r="S87" i="9" s="1"/>
  <c r="J86" i="9"/>
  <c r="F86" i="9" s="1"/>
  <c r="G85" i="9"/>
  <c r="G86" i="7"/>
  <c r="F87" i="7" s="1"/>
  <c r="A88" i="9"/>
  <c r="E86" i="9"/>
  <c r="C87" i="9"/>
  <c r="R87" i="9"/>
  <c r="D87" i="9"/>
  <c r="G86" i="9" l="1"/>
  <c r="T87" i="9"/>
  <c r="U87" i="9" s="1"/>
  <c r="V88" i="9"/>
  <c r="S88" i="9" s="1"/>
  <c r="J87" i="9"/>
  <c r="F87" i="9" s="1"/>
  <c r="E87" i="9"/>
  <c r="A89" i="9"/>
  <c r="G87" i="7"/>
  <c r="F88" i="7" s="1"/>
  <c r="C88" i="9"/>
  <c r="R88" i="9"/>
  <c r="D88" i="9"/>
  <c r="G87" i="9" l="1"/>
  <c r="E88" i="9"/>
  <c r="J88" i="9"/>
  <c r="F88" i="9" s="1"/>
  <c r="G88" i="9" s="1"/>
  <c r="V89" i="9"/>
  <c r="S89" i="9" s="1"/>
  <c r="T88" i="9"/>
  <c r="U88" i="9" s="1"/>
  <c r="G88" i="7"/>
  <c r="F89" i="7" s="1"/>
  <c r="A90" i="9"/>
  <c r="C89" i="9"/>
  <c r="R89" i="9"/>
  <c r="D89" i="9"/>
  <c r="V90" i="9" l="1"/>
  <c r="S90" i="9" s="1"/>
  <c r="J89" i="9"/>
  <c r="F89" i="9" s="1"/>
  <c r="E89" i="9"/>
  <c r="T89" i="9"/>
  <c r="U89" i="9" s="1"/>
  <c r="G89" i="7"/>
  <c r="F90" i="7" s="1"/>
  <c r="A91" i="9"/>
  <c r="C90" i="9"/>
  <c r="R90" i="9"/>
  <c r="D90" i="9"/>
  <c r="J90" i="9" l="1"/>
  <c r="F90" i="9" s="1"/>
  <c r="V91" i="9"/>
  <c r="S91" i="9" s="1"/>
  <c r="T90" i="9"/>
  <c r="U90" i="9" s="1"/>
  <c r="G89" i="9"/>
  <c r="G90" i="7"/>
  <c r="F91" i="7" s="1"/>
  <c r="A92" i="9"/>
  <c r="E90" i="9"/>
  <c r="C91" i="9"/>
  <c r="D91" i="9"/>
  <c r="R91" i="9"/>
  <c r="G90" i="9" l="1"/>
  <c r="E91" i="9"/>
  <c r="V92" i="9"/>
  <c r="S92" i="9" s="1"/>
  <c r="T91" i="9"/>
  <c r="U91" i="9" s="1"/>
  <c r="J91" i="9"/>
  <c r="F91" i="9" s="1"/>
  <c r="G91" i="9" s="1"/>
  <c r="A93" i="9"/>
  <c r="G91" i="7"/>
  <c r="F92" i="7" s="1"/>
  <c r="C92" i="9"/>
  <c r="D92" i="9"/>
  <c r="R92" i="9"/>
  <c r="E92" i="9" l="1"/>
  <c r="V93" i="9"/>
  <c r="S93" i="9" s="1"/>
  <c r="J92" i="9"/>
  <c r="F92" i="9" s="1"/>
  <c r="G92" i="9" s="1"/>
  <c r="T92" i="9"/>
  <c r="U92" i="9" s="1"/>
  <c r="G92" i="7"/>
  <c r="F93" i="7" s="1"/>
  <c r="A94" i="9"/>
  <c r="C93" i="9"/>
  <c r="D93" i="9"/>
  <c r="R93" i="9"/>
  <c r="T93" i="9" l="1"/>
  <c r="U93" i="9" s="1"/>
  <c r="V94" i="9"/>
  <c r="S94" i="9" s="1"/>
  <c r="J93" i="9"/>
  <c r="F93" i="9" s="1"/>
  <c r="E93" i="9"/>
  <c r="A95" i="9"/>
  <c r="G93" i="7"/>
  <c r="F94" i="7" s="1"/>
  <c r="C94" i="9"/>
  <c r="D94" i="9"/>
  <c r="R94" i="9"/>
  <c r="G93" i="9" l="1"/>
  <c r="V95" i="9"/>
  <c r="S95" i="9" s="1"/>
  <c r="E94" i="9"/>
  <c r="J94" i="9"/>
  <c r="F94" i="9" s="1"/>
  <c r="G94" i="9" s="1"/>
  <c r="T94" i="9"/>
  <c r="U94" i="9" s="1"/>
  <c r="G94" i="7"/>
  <c r="F95" i="7" s="1"/>
  <c r="A96" i="9"/>
  <c r="C95" i="9"/>
  <c r="R95" i="9"/>
  <c r="D95" i="9"/>
  <c r="T95" i="9" l="1"/>
  <c r="U95" i="9" s="1"/>
  <c r="J95" i="9"/>
  <c r="F95" i="9" s="1"/>
  <c r="V96" i="9"/>
  <c r="S96" i="9" s="1"/>
  <c r="E95" i="9"/>
  <c r="A97" i="9"/>
  <c r="G95" i="7"/>
  <c r="F96" i="7" s="1"/>
  <c r="C96" i="9"/>
  <c r="R96" i="9"/>
  <c r="D96" i="9"/>
  <c r="G95" i="9" l="1"/>
  <c r="V97" i="9"/>
  <c r="S97" i="9" s="1"/>
  <c r="T96" i="9"/>
  <c r="U96" i="9" s="1"/>
  <c r="J96" i="9"/>
  <c r="F96" i="9" s="1"/>
  <c r="G96" i="7"/>
  <c r="F97" i="7" s="1"/>
  <c r="A98" i="9"/>
  <c r="E96" i="9"/>
  <c r="C97" i="9"/>
  <c r="D97" i="9"/>
  <c r="R97" i="9"/>
  <c r="G96" i="9" l="1"/>
  <c r="E97" i="9"/>
  <c r="J97" i="9"/>
  <c r="F97" i="9" s="1"/>
  <c r="G97" i="9" s="1"/>
  <c r="T97" i="9"/>
  <c r="U97" i="9" s="1"/>
  <c r="V98" i="9"/>
  <c r="S98" i="9" s="1"/>
  <c r="A99" i="9"/>
  <c r="G97" i="7"/>
  <c r="F98" i="7" s="1"/>
  <c r="C98" i="9"/>
  <c r="R98" i="9"/>
  <c r="D98" i="9"/>
  <c r="T98" i="9" l="1"/>
  <c r="U98" i="9" s="1"/>
  <c r="V99" i="9"/>
  <c r="S99" i="9" s="1"/>
  <c r="J98" i="9"/>
  <c r="F98" i="9" s="1"/>
  <c r="G98" i="7"/>
  <c r="F99" i="7" s="1"/>
  <c r="A100" i="9"/>
  <c r="E98" i="9"/>
  <c r="C99" i="9"/>
  <c r="D99" i="9"/>
  <c r="R99" i="9"/>
  <c r="V100" i="9" l="1"/>
  <c r="S100" i="9" s="1"/>
  <c r="J99" i="9"/>
  <c r="F99" i="9" s="1"/>
  <c r="T99" i="9"/>
  <c r="U99" i="9" s="1"/>
  <c r="G98" i="9"/>
  <c r="A101" i="9"/>
  <c r="G99" i="7"/>
  <c r="F100" i="7" s="1"/>
  <c r="E99" i="9"/>
  <c r="C100" i="9"/>
  <c r="D100" i="9"/>
  <c r="R100" i="9"/>
  <c r="J100" i="9" l="1"/>
  <c r="F100" i="9" s="1"/>
  <c r="T100" i="9"/>
  <c r="U100" i="9" s="1"/>
  <c r="V101" i="9"/>
  <c r="S101" i="9" s="1"/>
  <c r="G99" i="9"/>
  <c r="G100" i="7"/>
  <c r="F101" i="7" s="1"/>
  <c r="A102" i="9"/>
  <c r="E100" i="9"/>
  <c r="C101" i="9"/>
  <c r="D101" i="9"/>
  <c r="R101" i="9"/>
  <c r="G100" i="9" l="1"/>
  <c r="V102" i="9"/>
  <c r="S102" i="9" s="1"/>
  <c r="J101" i="9"/>
  <c r="F101" i="9" s="1"/>
  <c r="T101" i="9"/>
  <c r="U101" i="9" s="1"/>
  <c r="E101" i="9"/>
  <c r="A103" i="9"/>
  <c r="G101" i="7"/>
  <c r="F102" i="7" s="1"/>
  <c r="C102" i="9"/>
  <c r="D102" i="9"/>
  <c r="R102" i="9"/>
  <c r="G101" i="9" l="1"/>
  <c r="T102" i="9"/>
  <c r="U102" i="9" s="1"/>
  <c r="V103" i="9"/>
  <c r="S103" i="9" s="1"/>
  <c r="J102" i="9"/>
  <c r="F102" i="9" s="1"/>
  <c r="G102" i="7"/>
  <c r="F103" i="7" s="1"/>
  <c r="A104" i="9"/>
  <c r="E102" i="9"/>
  <c r="C103" i="9"/>
  <c r="D103" i="9"/>
  <c r="R103" i="9"/>
  <c r="T103" i="9" l="1"/>
  <c r="U103" i="9" s="1"/>
  <c r="V104" i="9"/>
  <c r="S104" i="9" s="1"/>
  <c r="J103" i="9"/>
  <c r="F103" i="9" s="1"/>
  <c r="G102" i="9"/>
  <c r="G103" i="7"/>
  <c r="F104" i="7" s="1"/>
  <c r="A105" i="9"/>
  <c r="E103" i="9"/>
  <c r="C104" i="9"/>
  <c r="R104" i="9"/>
  <c r="D104" i="9"/>
  <c r="J104" i="9" l="1"/>
  <c r="F104" i="9" s="1"/>
  <c r="T104" i="9"/>
  <c r="U104" i="9" s="1"/>
  <c r="V105" i="9"/>
  <c r="S105" i="9" s="1"/>
  <c r="E104" i="9"/>
  <c r="G103" i="9"/>
  <c r="G104" i="7"/>
  <c r="F105" i="7" s="1"/>
  <c r="A106" i="9"/>
  <c r="C105" i="9"/>
  <c r="D105" i="9"/>
  <c r="R105" i="9"/>
  <c r="G104" i="9" l="1"/>
  <c r="V106" i="9"/>
  <c r="S106" i="9" s="1"/>
  <c r="J105" i="9"/>
  <c r="F105" i="9" s="1"/>
  <c r="T105" i="9"/>
  <c r="U105" i="9" s="1"/>
  <c r="E105" i="9"/>
  <c r="G105" i="7"/>
  <c r="F106" i="7" s="1"/>
  <c r="A107" i="9"/>
  <c r="C106" i="9"/>
  <c r="R106" i="9"/>
  <c r="D106" i="9"/>
  <c r="G105" i="9" l="1"/>
  <c r="J106" i="9"/>
  <c r="F106" i="9" s="1"/>
  <c r="V107" i="9"/>
  <c r="S107" i="9" s="1"/>
  <c r="T106" i="9"/>
  <c r="U106" i="9" s="1"/>
  <c r="E106" i="9"/>
  <c r="G106" i="7"/>
  <c r="F107" i="7" s="1"/>
  <c r="A108" i="9"/>
  <c r="C107" i="9"/>
  <c r="D107" i="9"/>
  <c r="R107" i="9"/>
  <c r="G106" i="9" l="1"/>
  <c r="J107" i="9"/>
  <c r="F107" i="9" s="1"/>
  <c r="V108" i="9"/>
  <c r="S108" i="9" s="1"/>
  <c r="T107" i="9"/>
  <c r="U107" i="9" s="1"/>
  <c r="E107" i="9"/>
  <c r="A109" i="9"/>
  <c r="G107" i="7"/>
  <c r="F108" i="7" s="1"/>
  <c r="C108" i="9"/>
  <c r="R108" i="9"/>
  <c r="D108" i="9"/>
  <c r="E108" i="9" l="1"/>
  <c r="J108" i="9"/>
  <c r="F108" i="9" s="1"/>
  <c r="G108" i="9" s="1"/>
  <c r="V109" i="9"/>
  <c r="S109" i="9" s="1"/>
  <c r="T108" i="9"/>
  <c r="U108" i="9" s="1"/>
  <c r="G107" i="9"/>
  <c r="G108" i="7"/>
  <c r="F109" i="7" s="1"/>
  <c r="A110" i="9"/>
  <c r="C109" i="9"/>
  <c r="R109" i="9"/>
  <c r="D109" i="9"/>
  <c r="J109" i="9" l="1"/>
  <c r="F109" i="9" s="1"/>
  <c r="T109" i="9"/>
  <c r="U109" i="9" s="1"/>
  <c r="V110" i="9"/>
  <c r="S110" i="9" s="1"/>
  <c r="E109" i="9"/>
  <c r="A111" i="9"/>
  <c r="G109" i="7"/>
  <c r="F110" i="7" s="1"/>
  <c r="C110" i="9"/>
  <c r="D110" i="9"/>
  <c r="R110" i="9"/>
  <c r="G109" i="9" l="1"/>
  <c r="E110" i="9"/>
  <c r="J110" i="9"/>
  <c r="F110" i="9" s="1"/>
  <c r="G110" i="9" s="1"/>
  <c r="T110" i="9"/>
  <c r="U110" i="9" s="1"/>
  <c r="V111" i="9"/>
  <c r="S111" i="9" s="1"/>
  <c r="G110" i="7"/>
  <c r="F111" i="7" s="1"/>
  <c r="A112" i="9"/>
  <c r="C111" i="9"/>
  <c r="D111" i="9"/>
  <c r="R111" i="9"/>
  <c r="E111" i="9" l="1"/>
  <c r="T111" i="9"/>
  <c r="U111" i="9" s="1"/>
  <c r="J111" i="9"/>
  <c r="F111" i="9" s="1"/>
  <c r="V112" i="9"/>
  <c r="S112" i="9" s="1"/>
  <c r="G111" i="7"/>
  <c r="F112" i="7" s="1"/>
  <c r="A113" i="9"/>
  <c r="C112" i="9"/>
  <c r="R112" i="9"/>
  <c r="D112" i="9"/>
  <c r="G111" i="9" l="1"/>
  <c r="T112" i="9"/>
  <c r="U112" i="9" s="1"/>
  <c r="V113" i="9"/>
  <c r="S113" i="9" s="1"/>
  <c r="J112" i="9"/>
  <c r="F112" i="9" s="1"/>
  <c r="G112" i="7"/>
  <c r="F1" i="7"/>
  <c r="F3" i="7" s="1"/>
  <c r="E112" i="9"/>
  <c r="A114" i="9"/>
  <c r="C113" i="9"/>
  <c r="D113" i="9"/>
  <c r="R113" i="9"/>
  <c r="V114" i="9" l="1"/>
  <c r="S114" i="9" s="1"/>
  <c r="J113" i="9"/>
  <c r="F113" i="9" s="1"/>
  <c r="E113" i="9"/>
  <c r="T113" i="9"/>
  <c r="U113" i="9" s="1"/>
  <c r="G112" i="9"/>
  <c r="A115" i="9"/>
  <c r="C114" i="9"/>
  <c r="R114" i="9"/>
  <c r="D114" i="9"/>
  <c r="G113" i="9" l="1"/>
  <c r="J114" i="9"/>
  <c r="F114" i="9" s="1"/>
  <c r="T114" i="9"/>
  <c r="U114" i="9" s="1"/>
  <c r="V115" i="9"/>
  <c r="S115" i="9" s="1"/>
  <c r="E114" i="9"/>
  <c r="G114" i="9" s="1"/>
  <c r="A116" i="9"/>
  <c r="C115" i="9"/>
  <c r="R115" i="9"/>
  <c r="D115" i="9"/>
  <c r="T115" i="9" l="1"/>
  <c r="U115" i="9" s="1"/>
  <c r="V116" i="9"/>
  <c r="S116" i="9" s="1"/>
  <c r="J115" i="9"/>
  <c r="F115" i="9" s="1"/>
  <c r="E115" i="9"/>
  <c r="A117" i="9"/>
  <c r="C116" i="9"/>
  <c r="R116" i="9"/>
  <c r="D116" i="9"/>
  <c r="T116" i="9" l="1"/>
  <c r="U116" i="9" s="1"/>
  <c r="J116" i="9"/>
  <c r="F116" i="9" s="1"/>
  <c r="V117" i="9"/>
  <c r="S117" i="9" s="1"/>
  <c r="G115" i="9"/>
  <c r="A118" i="9"/>
  <c r="E116" i="9"/>
  <c r="C117" i="9"/>
  <c r="D117" i="9"/>
  <c r="R117" i="9"/>
  <c r="J117" i="9" l="1"/>
  <c r="F117" i="9" s="1"/>
  <c r="V118" i="9"/>
  <c r="S118" i="9" s="1"/>
  <c r="T117" i="9"/>
  <c r="U117" i="9" s="1"/>
  <c r="G116" i="9"/>
  <c r="E117" i="9"/>
  <c r="A119" i="9"/>
  <c r="C118" i="9"/>
  <c r="D118" i="9"/>
  <c r="R118" i="9"/>
  <c r="G117" i="9" l="1"/>
  <c r="J118" i="9"/>
  <c r="F118" i="9" s="1"/>
  <c r="T118" i="9"/>
  <c r="U118" i="9" s="1"/>
  <c r="V119" i="9"/>
  <c r="S119" i="9" s="1"/>
  <c r="E118" i="9"/>
  <c r="A120" i="9"/>
  <c r="C119" i="9"/>
  <c r="D119" i="9"/>
  <c r="R119" i="9"/>
  <c r="G118" i="9" l="1"/>
  <c r="J119" i="9"/>
  <c r="F119" i="9" s="1"/>
  <c r="T119" i="9"/>
  <c r="U119" i="9" s="1"/>
  <c r="V120" i="9"/>
  <c r="S120" i="9" s="1"/>
  <c r="A121" i="9"/>
  <c r="E119" i="9"/>
  <c r="C120" i="9"/>
  <c r="D120" i="9"/>
  <c r="R120" i="9"/>
  <c r="G119" i="9" l="1"/>
  <c r="J120" i="9"/>
  <c r="F120" i="9" s="1"/>
  <c r="T120" i="9"/>
  <c r="U120" i="9" s="1"/>
  <c r="V121" i="9"/>
  <c r="S121" i="9" s="1"/>
  <c r="E120" i="9"/>
  <c r="A122" i="9"/>
  <c r="C121" i="9"/>
  <c r="R121" i="9"/>
  <c r="D121" i="9"/>
  <c r="G120" i="9" l="1"/>
  <c r="T121" i="9"/>
  <c r="U121" i="9" s="1"/>
  <c r="V122" i="9"/>
  <c r="S122" i="9" s="1"/>
  <c r="J121" i="9"/>
  <c r="F121" i="9" s="1"/>
  <c r="E121" i="9"/>
  <c r="A123" i="9"/>
  <c r="C122" i="9"/>
  <c r="R122" i="9"/>
  <c r="D122" i="9"/>
  <c r="G121" i="9" l="1"/>
  <c r="V123" i="9"/>
  <c r="S123" i="9" s="1"/>
  <c r="T122" i="9"/>
  <c r="U122" i="9" s="1"/>
  <c r="J122" i="9"/>
  <c r="F122" i="9" s="1"/>
  <c r="E122" i="9"/>
  <c r="A124" i="9"/>
  <c r="C123" i="9"/>
  <c r="R123" i="9"/>
  <c r="D123" i="9"/>
  <c r="J123" i="9" l="1"/>
  <c r="F123" i="9" s="1"/>
  <c r="T123" i="9"/>
  <c r="U123" i="9" s="1"/>
  <c r="V124" i="9"/>
  <c r="S124" i="9" s="1"/>
  <c r="G122" i="9"/>
  <c r="E123" i="9"/>
  <c r="A125" i="9"/>
  <c r="C124" i="9"/>
  <c r="D124" i="9"/>
  <c r="R124" i="9"/>
  <c r="G123" i="9" l="1"/>
  <c r="T124" i="9"/>
  <c r="U124" i="9" s="1"/>
  <c r="J124" i="9"/>
  <c r="F124" i="9" s="1"/>
  <c r="V125" i="9"/>
  <c r="S125" i="9" s="1"/>
  <c r="A126" i="9"/>
  <c r="E124" i="9"/>
  <c r="C125" i="9"/>
  <c r="D125" i="9"/>
  <c r="R125" i="9"/>
  <c r="V126" i="9" l="1"/>
  <c r="S126" i="9" s="1"/>
  <c r="J125" i="9"/>
  <c r="F125" i="9" s="1"/>
  <c r="T125" i="9"/>
  <c r="U125" i="9" s="1"/>
  <c r="G124" i="9"/>
  <c r="A127" i="9"/>
  <c r="E125" i="9"/>
  <c r="C126" i="9"/>
  <c r="D126" i="9"/>
  <c r="R126" i="9"/>
  <c r="G125" i="9" l="1"/>
  <c r="T126" i="9"/>
  <c r="U126" i="9" s="1"/>
  <c r="J126" i="9"/>
  <c r="F126" i="9" s="1"/>
  <c r="V127" i="9"/>
  <c r="S127" i="9" s="1"/>
  <c r="A128" i="9"/>
  <c r="E126" i="9"/>
  <c r="C127" i="9"/>
  <c r="D127" i="9"/>
  <c r="R127" i="9"/>
  <c r="G126" i="9" l="1"/>
  <c r="V128" i="9"/>
  <c r="S128" i="9" s="1"/>
  <c r="T127" i="9"/>
  <c r="U127" i="9" s="1"/>
  <c r="J127" i="9"/>
  <c r="F127" i="9" s="1"/>
  <c r="A129" i="9"/>
  <c r="E127" i="9"/>
  <c r="C128" i="9"/>
  <c r="D128" i="9"/>
  <c r="R128" i="9"/>
  <c r="T128" i="9" l="1"/>
  <c r="U128" i="9" s="1"/>
  <c r="J128" i="9"/>
  <c r="F128" i="9" s="1"/>
  <c r="V129" i="9"/>
  <c r="S129" i="9" s="1"/>
  <c r="G127" i="9"/>
  <c r="E128" i="9"/>
  <c r="A130" i="9"/>
  <c r="C129" i="9"/>
  <c r="D129" i="9"/>
  <c r="R129" i="9"/>
  <c r="G128" i="9" l="1"/>
  <c r="V130" i="9"/>
  <c r="S130" i="9" s="1"/>
  <c r="J129" i="9"/>
  <c r="F129" i="9" s="1"/>
  <c r="T129" i="9"/>
  <c r="U129" i="9" s="1"/>
  <c r="E129" i="9"/>
  <c r="A131" i="9"/>
  <c r="C130" i="9"/>
  <c r="R130" i="9"/>
  <c r="D130" i="9"/>
  <c r="G129" i="9" l="1"/>
  <c r="J130" i="9"/>
  <c r="F130" i="9" s="1"/>
  <c r="T130" i="9"/>
  <c r="U130" i="9" s="1"/>
  <c r="V131" i="9"/>
  <c r="S131" i="9" s="1"/>
  <c r="E130" i="9"/>
  <c r="A132" i="9"/>
  <c r="C131" i="9"/>
  <c r="D131" i="9"/>
  <c r="R131" i="9"/>
  <c r="G130" i="9" l="1"/>
  <c r="V132" i="9"/>
  <c r="S132" i="9" s="1"/>
  <c r="J131" i="9"/>
  <c r="F131" i="9" s="1"/>
  <c r="E131" i="9"/>
  <c r="T131" i="9"/>
  <c r="U131" i="9" s="1"/>
  <c r="A133" i="9"/>
  <c r="C132" i="9"/>
  <c r="D132" i="9"/>
  <c r="R132" i="9"/>
  <c r="G131" i="9" l="1"/>
  <c r="T132" i="9"/>
  <c r="U132" i="9" s="1"/>
  <c r="J132" i="9"/>
  <c r="F132" i="9" s="1"/>
  <c r="V133" i="9"/>
  <c r="S133" i="9" s="1"/>
  <c r="E132" i="9"/>
  <c r="A134" i="9"/>
  <c r="C133" i="9"/>
  <c r="R133" i="9"/>
  <c r="D133" i="9"/>
  <c r="V134" i="9" l="1"/>
  <c r="S134" i="9" s="1"/>
  <c r="J133" i="9"/>
  <c r="F133" i="9" s="1"/>
  <c r="T133" i="9"/>
  <c r="U133" i="9" s="1"/>
  <c r="G132" i="9"/>
  <c r="A135" i="9"/>
  <c r="E133" i="9"/>
  <c r="C134" i="9"/>
  <c r="R134" i="9"/>
  <c r="D134" i="9"/>
  <c r="G133" i="9" l="1"/>
  <c r="T134" i="9"/>
  <c r="U134" i="9" s="1"/>
  <c r="J134" i="9"/>
  <c r="F134" i="9" s="1"/>
  <c r="V135" i="9"/>
  <c r="S135" i="9" s="1"/>
  <c r="A136" i="9"/>
  <c r="E134" i="9"/>
  <c r="C135" i="9"/>
  <c r="R135" i="9"/>
  <c r="D135" i="9"/>
  <c r="G134" i="9" l="1"/>
  <c r="T135" i="9"/>
  <c r="U135" i="9" s="1"/>
  <c r="V136" i="9"/>
  <c r="S136" i="9" s="1"/>
  <c r="E135" i="9"/>
  <c r="J135" i="9"/>
  <c r="F135" i="9" s="1"/>
  <c r="A137" i="9"/>
  <c r="C136" i="9"/>
  <c r="D136" i="9"/>
  <c r="R136" i="9"/>
  <c r="G135" i="9" l="1"/>
  <c r="J136" i="9"/>
  <c r="F136" i="9" s="1"/>
  <c r="T136" i="9"/>
  <c r="U136" i="9" s="1"/>
  <c r="V137" i="9"/>
  <c r="S137" i="9" s="1"/>
  <c r="A138" i="9"/>
  <c r="E136" i="9"/>
  <c r="C137" i="9"/>
  <c r="R137" i="9"/>
  <c r="D137" i="9"/>
  <c r="G136" i="9" l="1"/>
  <c r="T137" i="9"/>
  <c r="U137" i="9" s="1"/>
  <c r="J137" i="9"/>
  <c r="F137" i="9" s="1"/>
  <c r="V138" i="9"/>
  <c r="S138" i="9" s="1"/>
  <c r="A139" i="9"/>
  <c r="E137" i="9"/>
  <c r="C138" i="9"/>
  <c r="D138" i="9"/>
  <c r="R138" i="9"/>
  <c r="J138" i="9" l="1"/>
  <c r="F138" i="9" s="1"/>
  <c r="T138" i="9"/>
  <c r="U138" i="9" s="1"/>
  <c r="V139" i="9"/>
  <c r="S139" i="9" s="1"/>
  <c r="G137" i="9"/>
  <c r="E138" i="9"/>
  <c r="A140" i="9"/>
  <c r="C139" i="9"/>
  <c r="R139" i="9"/>
  <c r="D139" i="9"/>
  <c r="G138" i="9" l="1"/>
  <c r="T139" i="9"/>
  <c r="U139" i="9" s="1"/>
  <c r="J139" i="9"/>
  <c r="F139" i="9" s="1"/>
  <c r="V140" i="9"/>
  <c r="S140" i="9" s="1"/>
  <c r="A141" i="9"/>
  <c r="E139" i="9"/>
  <c r="C140" i="9"/>
  <c r="D140" i="9"/>
  <c r="R140" i="9"/>
  <c r="T140" i="9" l="1"/>
  <c r="U140" i="9" s="1"/>
  <c r="J140" i="9"/>
  <c r="F140" i="9" s="1"/>
  <c r="V141" i="9"/>
  <c r="S141" i="9" s="1"/>
  <c r="E140" i="9"/>
  <c r="G139" i="9"/>
  <c r="A142" i="9"/>
  <c r="C141" i="9"/>
  <c r="D141" i="9"/>
  <c r="R141" i="9"/>
  <c r="G140" i="9" l="1"/>
  <c r="V142" i="9"/>
  <c r="S142" i="9" s="1"/>
  <c r="T141" i="9"/>
  <c r="U141" i="9" s="1"/>
  <c r="J141" i="9"/>
  <c r="F141" i="9" s="1"/>
  <c r="A143" i="9"/>
  <c r="E141" i="9"/>
  <c r="C142" i="9"/>
  <c r="R142" i="9"/>
  <c r="D142" i="9"/>
  <c r="T142" i="9" l="1"/>
  <c r="U142" i="9" s="1"/>
  <c r="J142" i="9"/>
  <c r="F142" i="9" s="1"/>
  <c r="E142" i="9"/>
  <c r="V143" i="9"/>
  <c r="S143" i="9" s="1"/>
  <c r="G141" i="9"/>
  <c r="A144" i="9"/>
  <c r="C143" i="9"/>
  <c r="R143" i="9"/>
  <c r="D143" i="9"/>
  <c r="G142" i="9" l="1"/>
  <c r="V144" i="9"/>
  <c r="S144" i="9" s="1"/>
  <c r="T143" i="9"/>
  <c r="U143" i="9" s="1"/>
  <c r="J143" i="9"/>
  <c r="F143" i="9" s="1"/>
  <c r="A145" i="9"/>
  <c r="E143" i="9"/>
  <c r="C144" i="9"/>
  <c r="R144" i="9"/>
  <c r="D144" i="9"/>
  <c r="J144" i="9" l="1"/>
  <c r="F144" i="9" s="1"/>
  <c r="T144" i="9"/>
  <c r="U144" i="9" s="1"/>
  <c r="E144" i="9"/>
  <c r="V145" i="9"/>
  <c r="S145" i="9" s="1"/>
  <c r="G143" i="9"/>
  <c r="A146" i="9"/>
  <c r="C145" i="9"/>
  <c r="R145" i="9"/>
  <c r="D145" i="9"/>
  <c r="G144" i="9" l="1"/>
  <c r="V146" i="9"/>
  <c r="S146" i="9" s="1"/>
  <c r="T145" i="9"/>
  <c r="U145" i="9" s="1"/>
  <c r="J145" i="9"/>
  <c r="F145" i="9" s="1"/>
  <c r="E145" i="9"/>
  <c r="A147" i="9"/>
  <c r="C146" i="9"/>
  <c r="D146" i="9"/>
  <c r="R146" i="9"/>
  <c r="G145" i="9" l="1"/>
  <c r="T146" i="9"/>
  <c r="U146" i="9" s="1"/>
  <c r="J146" i="9"/>
  <c r="F146" i="9" s="1"/>
  <c r="V147" i="9"/>
  <c r="S147" i="9" s="1"/>
  <c r="E146" i="9"/>
  <c r="A148" i="9"/>
  <c r="C147" i="9"/>
  <c r="D147" i="9"/>
  <c r="R147" i="9"/>
  <c r="V148" i="9" l="1"/>
  <c r="S148" i="9" s="1"/>
  <c r="T147" i="9"/>
  <c r="U147" i="9" s="1"/>
  <c r="J147" i="9"/>
  <c r="F147" i="9" s="1"/>
  <c r="G146" i="9"/>
  <c r="A149" i="9"/>
  <c r="E147" i="9"/>
  <c r="C148" i="9"/>
  <c r="R148" i="9"/>
  <c r="D148" i="9"/>
  <c r="V149" i="9" l="1"/>
  <c r="S149" i="9" s="1"/>
  <c r="J148" i="9"/>
  <c r="F148" i="9" s="1"/>
  <c r="T148" i="9"/>
  <c r="U148" i="9" s="1"/>
  <c r="G147" i="9"/>
  <c r="A150" i="9"/>
  <c r="E148" i="9"/>
  <c r="C149" i="9"/>
  <c r="D149" i="9"/>
  <c r="R149" i="9"/>
  <c r="G148" i="9" l="1"/>
  <c r="J149" i="9"/>
  <c r="F149" i="9" s="1"/>
  <c r="T149" i="9"/>
  <c r="U149" i="9" s="1"/>
  <c r="V150" i="9"/>
  <c r="S150" i="9" s="1"/>
  <c r="A151" i="9"/>
  <c r="E149" i="9"/>
  <c r="C150" i="9"/>
  <c r="D150" i="9"/>
  <c r="R150" i="9"/>
  <c r="G149" i="9" l="1"/>
  <c r="V151" i="9"/>
  <c r="S151" i="9" s="1"/>
  <c r="J150" i="9"/>
  <c r="F150" i="9" s="1"/>
  <c r="T150" i="9"/>
  <c r="U150" i="9" s="1"/>
  <c r="A152" i="9"/>
  <c r="E150" i="9"/>
  <c r="C151" i="9"/>
  <c r="D151" i="9"/>
  <c r="R151" i="9"/>
  <c r="G150" i="9" l="1"/>
  <c r="T151" i="9"/>
  <c r="U151" i="9" s="1"/>
  <c r="J151" i="9"/>
  <c r="F151" i="9" s="1"/>
  <c r="V152" i="9"/>
  <c r="S152" i="9" s="1"/>
  <c r="A153" i="9"/>
  <c r="E151" i="9"/>
  <c r="C152" i="9"/>
  <c r="D152" i="9"/>
  <c r="R152" i="9"/>
  <c r="G151" i="9" l="1"/>
  <c r="T152" i="9"/>
  <c r="U152" i="9" s="1"/>
  <c r="E152" i="9"/>
  <c r="J152" i="9"/>
  <c r="F152" i="9" s="1"/>
  <c r="V153" i="9"/>
  <c r="S153" i="9" s="1"/>
  <c r="A154" i="9"/>
  <c r="C153" i="9"/>
  <c r="D153" i="9"/>
  <c r="R153" i="9"/>
  <c r="G152" i="9" l="1"/>
  <c r="T153" i="9"/>
  <c r="U153" i="9" s="1"/>
  <c r="E153" i="9"/>
  <c r="J153" i="9"/>
  <c r="F153" i="9" s="1"/>
  <c r="G153" i="9" s="1"/>
  <c r="V154" i="9"/>
  <c r="S154" i="9" s="1"/>
  <c r="A155" i="9"/>
  <c r="C154" i="9"/>
  <c r="D154" i="9"/>
  <c r="R154" i="9"/>
  <c r="V155" i="9" l="1"/>
  <c r="S155" i="9" s="1"/>
  <c r="T154" i="9"/>
  <c r="U154" i="9" s="1"/>
  <c r="J154" i="9"/>
  <c r="F154" i="9" s="1"/>
  <c r="E154" i="9"/>
  <c r="A156" i="9"/>
  <c r="C155" i="9"/>
  <c r="R155" i="9"/>
  <c r="D155" i="9"/>
  <c r="T155" i="9" l="1"/>
  <c r="U155" i="9" s="1"/>
  <c r="J155" i="9"/>
  <c r="F155" i="9" s="1"/>
  <c r="V156" i="9"/>
  <c r="S156" i="9" s="1"/>
  <c r="G154" i="9"/>
  <c r="A157" i="9"/>
  <c r="E155" i="9"/>
  <c r="C156" i="9"/>
  <c r="R156" i="9"/>
  <c r="D156" i="9"/>
  <c r="G155" i="9" l="1"/>
  <c r="V157" i="9"/>
  <c r="S157" i="9" s="1"/>
  <c r="J156" i="9"/>
  <c r="F156" i="9" s="1"/>
  <c r="T156" i="9"/>
  <c r="U156" i="9" s="1"/>
  <c r="A158" i="9"/>
  <c r="E156" i="9"/>
  <c r="C157" i="9"/>
  <c r="R157" i="9"/>
  <c r="D157" i="9"/>
  <c r="G156" i="9" l="1"/>
  <c r="J157" i="9"/>
  <c r="F157" i="9" s="1"/>
  <c r="T157" i="9"/>
  <c r="U157" i="9" s="1"/>
  <c r="V158" i="9"/>
  <c r="S158" i="9" s="1"/>
  <c r="A159" i="9"/>
  <c r="E157" i="9"/>
  <c r="C158" i="9"/>
  <c r="R158" i="9"/>
  <c r="D158" i="9"/>
  <c r="G157" i="9" l="1"/>
  <c r="V159" i="9"/>
  <c r="S159" i="9" s="1"/>
  <c r="J158" i="9"/>
  <c r="F158" i="9" s="1"/>
  <c r="E158" i="9"/>
  <c r="T158" i="9"/>
  <c r="U158" i="9" s="1"/>
  <c r="A160" i="9"/>
  <c r="C159" i="9"/>
  <c r="D159" i="9"/>
  <c r="R159" i="9"/>
  <c r="J159" i="9" l="1"/>
  <c r="F159" i="9" s="1"/>
  <c r="T159" i="9"/>
  <c r="U159" i="9" s="1"/>
  <c r="V160" i="9"/>
  <c r="S160" i="9" s="1"/>
  <c r="G158" i="9"/>
  <c r="A161" i="9"/>
  <c r="E159" i="9"/>
  <c r="C160" i="9"/>
  <c r="D160" i="9"/>
  <c r="R160" i="9"/>
  <c r="G159" i="9" l="1"/>
  <c r="E160" i="9"/>
  <c r="V161" i="9"/>
  <c r="S161" i="9" s="1"/>
  <c r="T160" i="9"/>
  <c r="U160" i="9" s="1"/>
  <c r="J160" i="9"/>
  <c r="F160" i="9" s="1"/>
  <c r="A162" i="9"/>
  <c r="C161" i="9"/>
  <c r="D161" i="9"/>
  <c r="R161" i="9"/>
  <c r="G160" i="9" l="1"/>
  <c r="T161" i="9"/>
  <c r="U161" i="9" s="1"/>
  <c r="E161" i="9"/>
  <c r="V162" i="9"/>
  <c r="S162" i="9" s="1"/>
  <c r="J161" i="9"/>
  <c r="F161" i="9" s="1"/>
  <c r="A163" i="9"/>
  <c r="C162" i="9"/>
  <c r="R162" i="9"/>
  <c r="D162" i="9"/>
  <c r="G161" i="9" l="1"/>
  <c r="V163" i="9"/>
  <c r="S163" i="9" s="1"/>
  <c r="T162" i="9"/>
  <c r="U162" i="9" s="1"/>
  <c r="J162" i="9"/>
  <c r="F162" i="9" s="1"/>
  <c r="E162" i="9"/>
  <c r="A164" i="9"/>
  <c r="C163" i="9"/>
  <c r="D163" i="9"/>
  <c r="R163" i="9"/>
  <c r="T163" i="9" l="1"/>
  <c r="U163" i="9" s="1"/>
  <c r="J163" i="9"/>
  <c r="F163" i="9" s="1"/>
  <c r="V164" i="9"/>
  <c r="S164" i="9" s="1"/>
  <c r="G162" i="9"/>
  <c r="A165" i="9"/>
  <c r="E163" i="9"/>
  <c r="C164" i="9"/>
  <c r="D164" i="9"/>
  <c r="R164" i="9"/>
  <c r="G163" i="9" l="1"/>
  <c r="V165" i="9"/>
  <c r="S165" i="9" s="1"/>
  <c r="J164" i="9"/>
  <c r="F164" i="9" s="1"/>
  <c r="T164" i="9"/>
  <c r="U164" i="9" s="1"/>
  <c r="A166" i="9"/>
  <c r="E164" i="9"/>
  <c r="C165" i="9"/>
  <c r="R165" i="9"/>
  <c r="D165" i="9"/>
  <c r="G164" i="9" l="1"/>
  <c r="J165" i="9"/>
  <c r="F165" i="9" s="1"/>
  <c r="T165" i="9"/>
  <c r="U165" i="9" s="1"/>
  <c r="V166" i="9"/>
  <c r="S166" i="9" s="1"/>
  <c r="A167" i="9"/>
  <c r="E165" i="9"/>
  <c r="C166" i="9"/>
  <c r="D166" i="9"/>
  <c r="R166" i="9"/>
  <c r="G165" i="9" l="1"/>
  <c r="V167" i="9"/>
  <c r="S167" i="9" s="1"/>
  <c r="J166" i="9"/>
  <c r="F166" i="9" s="1"/>
  <c r="T166" i="9"/>
  <c r="U166" i="9" s="1"/>
  <c r="E166" i="9"/>
  <c r="A168" i="9"/>
  <c r="C167" i="9"/>
  <c r="R167" i="9"/>
  <c r="D167" i="9"/>
  <c r="G166" i="9" l="1"/>
  <c r="J167" i="9"/>
  <c r="F167" i="9" s="1"/>
  <c r="E167" i="9"/>
  <c r="T167" i="9"/>
  <c r="U167" i="9" s="1"/>
  <c r="V168" i="9"/>
  <c r="S168" i="9" s="1"/>
  <c r="A169" i="9"/>
  <c r="C168" i="9"/>
  <c r="D168" i="9"/>
  <c r="R168" i="9"/>
  <c r="G167" i="9" l="1"/>
  <c r="V169" i="9"/>
  <c r="S169" i="9" s="1"/>
  <c r="T168" i="9"/>
  <c r="U168" i="9" s="1"/>
  <c r="J168" i="9"/>
  <c r="F168" i="9" s="1"/>
  <c r="E168" i="9"/>
  <c r="A170" i="9"/>
  <c r="C169" i="9"/>
  <c r="D169" i="9"/>
  <c r="R169" i="9"/>
  <c r="T169" i="9" l="1"/>
  <c r="U169" i="9" s="1"/>
  <c r="J169" i="9"/>
  <c r="F169" i="9" s="1"/>
  <c r="V170" i="9"/>
  <c r="S170" i="9" s="1"/>
  <c r="G168" i="9"/>
  <c r="A171" i="9"/>
  <c r="E169" i="9"/>
  <c r="C170" i="9"/>
  <c r="R170" i="9"/>
  <c r="D170" i="9"/>
  <c r="G169" i="9" l="1"/>
  <c r="V171" i="9"/>
  <c r="S171" i="9" s="1"/>
  <c r="J170" i="9"/>
  <c r="F170" i="9" s="1"/>
  <c r="T170" i="9"/>
  <c r="U170" i="9" s="1"/>
  <c r="A172" i="9"/>
  <c r="E170" i="9"/>
  <c r="C171" i="9"/>
  <c r="R171" i="9"/>
  <c r="D171" i="9"/>
  <c r="T171" i="9" l="1"/>
  <c r="U171" i="9" s="1"/>
  <c r="J171" i="9"/>
  <c r="F171" i="9" s="1"/>
  <c r="V172" i="9"/>
  <c r="S172" i="9" s="1"/>
  <c r="G170" i="9"/>
  <c r="E171" i="9"/>
  <c r="A173" i="9"/>
  <c r="C172" i="9"/>
  <c r="D172" i="9"/>
  <c r="R172" i="9"/>
  <c r="G171" i="9" l="1"/>
  <c r="T172" i="9"/>
  <c r="U172" i="9" s="1"/>
  <c r="V173" i="9"/>
  <c r="S173" i="9" s="1"/>
  <c r="J172" i="9"/>
  <c r="F172" i="9" s="1"/>
  <c r="E172" i="9"/>
  <c r="A174" i="9"/>
  <c r="C173" i="9"/>
  <c r="D173" i="9"/>
  <c r="R173" i="9"/>
  <c r="V174" i="9" l="1"/>
  <c r="S174" i="9" s="1"/>
  <c r="J173" i="9"/>
  <c r="F173" i="9" s="1"/>
  <c r="E173" i="9"/>
  <c r="T173" i="9"/>
  <c r="U173" i="9" s="1"/>
  <c r="G172" i="9"/>
  <c r="A175" i="9"/>
  <c r="C174" i="9"/>
  <c r="R174" i="9"/>
  <c r="D174" i="9"/>
  <c r="G173" i="9" l="1"/>
  <c r="J174" i="9"/>
  <c r="F174" i="9" s="1"/>
  <c r="T174" i="9"/>
  <c r="U174" i="9" s="1"/>
  <c r="V175" i="9"/>
  <c r="S175" i="9" s="1"/>
  <c r="E174" i="9"/>
  <c r="A176" i="9"/>
  <c r="C175" i="9"/>
  <c r="R175" i="9"/>
  <c r="D175" i="9"/>
  <c r="G174" i="9" l="1"/>
  <c r="V176" i="9"/>
  <c r="S176" i="9" s="1"/>
  <c r="J175" i="9"/>
  <c r="F175" i="9" s="1"/>
  <c r="T175" i="9"/>
  <c r="U175" i="9" s="1"/>
  <c r="A177" i="9"/>
  <c r="E175" i="9"/>
  <c r="C176" i="9"/>
  <c r="R176" i="9"/>
  <c r="D176" i="9"/>
  <c r="J176" i="9" l="1"/>
  <c r="F176" i="9" s="1"/>
  <c r="T176" i="9"/>
  <c r="U176" i="9" s="1"/>
  <c r="V177" i="9"/>
  <c r="S177" i="9" s="1"/>
  <c r="G175" i="9"/>
  <c r="A178" i="9"/>
  <c r="E176" i="9"/>
  <c r="C177" i="9"/>
  <c r="D177" i="9"/>
  <c r="R177" i="9"/>
  <c r="G176" i="9" l="1"/>
  <c r="J177" i="9"/>
  <c r="F177" i="9" s="1"/>
  <c r="V178" i="9"/>
  <c r="S178" i="9" s="1"/>
  <c r="T177" i="9"/>
  <c r="U177" i="9" s="1"/>
  <c r="A179" i="9"/>
  <c r="E177" i="9"/>
  <c r="C178" i="9"/>
  <c r="R178" i="9"/>
  <c r="D178" i="9"/>
  <c r="G177" i="9" l="1"/>
  <c r="V179" i="9"/>
  <c r="S179" i="9" s="1"/>
  <c r="J178" i="9"/>
  <c r="F178" i="9" s="1"/>
  <c r="T178" i="9"/>
  <c r="U178" i="9" s="1"/>
  <c r="E178" i="9"/>
  <c r="A180" i="9"/>
  <c r="C179" i="9"/>
  <c r="D179" i="9"/>
  <c r="R179" i="9"/>
  <c r="G178" i="9" l="1"/>
  <c r="E179" i="9"/>
  <c r="T179" i="9"/>
  <c r="U179" i="9" s="1"/>
  <c r="J179" i="9"/>
  <c r="F179" i="9" s="1"/>
  <c r="G179" i="9" s="1"/>
  <c r="V180" i="9"/>
  <c r="S180" i="9" s="1"/>
  <c r="A181" i="9"/>
  <c r="C180" i="9"/>
  <c r="D180" i="9"/>
  <c r="R180" i="9"/>
  <c r="T180" i="9" l="1"/>
  <c r="U180" i="9" s="1"/>
  <c r="V181" i="9"/>
  <c r="S181" i="9" s="1"/>
  <c r="J180" i="9"/>
  <c r="F180" i="9" s="1"/>
  <c r="E180" i="9"/>
  <c r="A182" i="9"/>
  <c r="C181" i="9"/>
  <c r="R181" i="9"/>
  <c r="D181" i="9"/>
  <c r="T181" i="9" l="1"/>
  <c r="U181" i="9" s="1"/>
  <c r="V182" i="9"/>
  <c r="S182" i="9" s="1"/>
  <c r="J181" i="9"/>
  <c r="F181" i="9" s="1"/>
  <c r="G180" i="9"/>
  <c r="A183" i="9"/>
  <c r="E181" i="9"/>
  <c r="C182" i="9"/>
  <c r="R182" i="9"/>
  <c r="D182" i="9"/>
  <c r="G181" i="9" l="1"/>
  <c r="J182" i="9"/>
  <c r="F182" i="9" s="1"/>
  <c r="T182" i="9"/>
  <c r="U182" i="9" s="1"/>
  <c r="V183" i="9"/>
  <c r="S183" i="9" s="1"/>
  <c r="A184" i="9"/>
  <c r="E182" i="9"/>
  <c r="G182" i="9" s="1"/>
  <c r="C183" i="9"/>
  <c r="D183" i="9"/>
  <c r="R183" i="9"/>
  <c r="V184" i="9" l="1"/>
  <c r="S184" i="9" s="1"/>
  <c r="T183" i="9"/>
  <c r="U183" i="9" s="1"/>
  <c r="J183" i="9"/>
  <c r="F183" i="9" s="1"/>
  <c r="A185" i="9"/>
  <c r="E183" i="9"/>
  <c r="C184" i="9"/>
  <c r="R184" i="9"/>
  <c r="D184" i="9"/>
  <c r="T184" i="9" l="1"/>
  <c r="U184" i="9" s="1"/>
  <c r="J184" i="9"/>
  <c r="F184" i="9" s="1"/>
  <c r="E184" i="9"/>
  <c r="V185" i="9"/>
  <c r="S185" i="9" s="1"/>
  <c r="G183" i="9"/>
  <c r="A186" i="9"/>
  <c r="C185" i="9"/>
  <c r="D185" i="9"/>
  <c r="R185" i="9"/>
  <c r="G184" i="9" l="1"/>
  <c r="V186" i="9"/>
  <c r="S186" i="9" s="1"/>
  <c r="T185" i="9"/>
  <c r="U185" i="9" s="1"/>
  <c r="J185" i="9"/>
  <c r="F185" i="9" s="1"/>
  <c r="E185" i="9"/>
  <c r="A187" i="9"/>
  <c r="C186" i="9"/>
  <c r="R186" i="9"/>
  <c r="D186" i="9"/>
  <c r="G185" i="9" l="1"/>
  <c r="T186" i="9"/>
  <c r="U186" i="9" s="1"/>
  <c r="J186" i="9"/>
  <c r="F186" i="9" s="1"/>
  <c r="V187" i="9"/>
  <c r="S187" i="9" s="1"/>
  <c r="E186" i="9"/>
  <c r="A188" i="9"/>
  <c r="C187" i="9"/>
  <c r="D187" i="9"/>
  <c r="R187" i="9"/>
  <c r="V188" i="9" l="1"/>
  <c r="S188" i="9" s="1"/>
  <c r="T187" i="9"/>
  <c r="U187" i="9" s="1"/>
  <c r="J187" i="9"/>
  <c r="F187" i="9" s="1"/>
  <c r="G186" i="9"/>
  <c r="A189" i="9"/>
  <c r="E187" i="9"/>
  <c r="C188" i="9"/>
  <c r="R188" i="9"/>
  <c r="D188" i="9"/>
  <c r="J188" i="9" l="1"/>
  <c r="F188" i="9" s="1"/>
  <c r="T188" i="9"/>
  <c r="U188" i="9" s="1"/>
  <c r="V189" i="9"/>
  <c r="S189" i="9" s="1"/>
  <c r="G187" i="9"/>
  <c r="A190" i="9"/>
  <c r="E188" i="9"/>
  <c r="C189" i="9"/>
  <c r="R189" i="9"/>
  <c r="D189" i="9"/>
  <c r="G188" i="9" l="1"/>
  <c r="J189" i="9"/>
  <c r="F189" i="9" s="1"/>
  <c r="V190" i="9"/>
  <c r="S190" i="9" s="1"/>
  <c r="T189" i="9"/>
  <c r="U189" i="9" s="1"/>
  <c r="A191" i="9"/>
  <c r="E189" i="9"/>
  <c r="G189" i="9" s="1"/>
  <c r="C190" i="9"/>
  <c r="D190" i="9"/>
  <c r="R190" i="9"/>
  <c r="T190" i="9" l="1"/>
  <c r="U190" i="9" s="1"/>
  <c r="J190" i="9"/>
  <c r="F190" i="9" s="1"/>
  <c r="V191" i="9"/>
  <c r="S191" i="9" s="1"/>
  <c r="E190" i="9"/>
  <c r="A192" i="9"/>
  <c r="C191" i="9"/>
  <c r="D191" i="9"/>
  <c r="R191" i="9"/>
  <c r="G190" i="9" l="1"/>
  <c r="T191" i="9"/>
  <c r="U191" i="9" s="1"/>
  <c r="V192" i="9"/>
  <c r="S192" i="9" s="1"/>
  <c r="E191" i="9"/>
  <c r="J191" i="9"/>
  <c r="F191" i="9" s="1"/>
  <c r="A193" i="9"/>
  <c r="C192" i="9"/>
  <c r="D192" i="9"/>
  <c r="R192" i="9"/>
  <c r="G191" i="9" l="1"/>
  <c r="T192" i="9"/>
  <c r="U192" i="9" s="1"/>
  <c r="V193" i="9"/>
  <c r="S193" i="9" s="1"/>
  <c r="J192" i="9"/>
  <c r="F192" i="9" s="1"/>
  <c r="E192" i="9"/>
  <c r="A194" i="9"/>
  <c r="C193" i="9"/>
  <c r="R193" i="9"/>
  <c r="D193" i="9"/>
  <c r="J193" i="9" l="1"/>
  <c r="F193" i="9" s="1"/>
  <c r="V194" i="9"/>
  <c r="S194" i="9" s="1"/>
  <c r="T193" i="9"/>
  <c r="U193" i="9" s="1"/>
  <c r="G192" i="9"/>
  <c r="A195" i="9"/>
  <c r="E193" i="9"/>
  <c r="C194" i="9"/>
  <c r="R194" i="9"/>
  <c r="D194" i="9"/>
  <c r="G193" i="9" l="1"/>
  <c r="J194" i="9"/>
  <c r="F194" i="9" s="1"/>
  <c r="T194" i="9"/>
  <c r="U194" i="9" s="1"/>
  <c r="V195" i="9"/>
  <c r="S195" i="9" s="1"/>
  <c r="E194" i="9"/>
  <c r="A196" i="9"/>
  <c r="C195" i="9"/>
  <c r="D195" i="9"/>
  <c r="R195" i="9"/>
  <c r="G194" i="9" l="1"/>
  <c r="V196" i="9"/>
  <c r="S196" i="9" s="1"/>
  <c r="J195" i="9"/>
  <c r="F195" i="9" s="1"/>
  <c r="T195" i="9"/>
  <c r="U195" i="9" s="1"/>
  <c r="A197" i="9"/>
  <c r="E195" i="9"/>
  <c r="C196" i="9"/>
  <c r="D196" i="9"/>
  <c r="R196" i="9"/>
  <c r="G195" i="9" l="1"/>
  <c r="J196" i="9"/>
  <c r="F196" i="9" s="1"/>
  <c r="E196" i="9"/>
  <c r="T196" i="9"/>
  <c r="U196" i="9" s="1"/>
  <c r="V197" i="9"/>
  <c r="S197" i="9" s="1"/>
  <c r="A198" i="9"/>
  <c r="C197" i="9"/>
  <c r="D197" i="9"/>
  <c r="R197" i="9"/>
  <c r="G196" i="9" l="1"/>
  <c r="J197" i="9"/>
  <c r="F197" i="9" s="1"/>
  <c r="T197" i="9"/>
  <c r="U197" i="9" s="1"/>
  <c r="V198" i="9"/>
  <c r="S198" i="9" s="1"/>
  <c r="A199" i="9"/>
  <c r="E197" i="9"/>
  <c r="G197" i="9" s="1"/>
  <c r="C198" i="9"/>
  <c r="R198" i="9"/>
  <c r="D198" i="9"/>
  <c r="V199" i="9" l="1"/>
  <c r="S199" i="9" s="1"/>
  <c r="J198" i="9"/>
  <c r="F198" i="9" s="1"/>
  <c r="T198" i="9"/>
  <c r="U198" i="9" s="1"/>
  <c r="E198" i="9"/>
  <c r="A200" i="9"/>
  <c r="C199" i="9"/>
  <c r="R199" i="9"/>
  <c r="D199" i="9"/>
  <c r="G198" i="9" l="1"/>
  <c r="T199" i="9"/>
  <c r="U199" i="9" s="1"/>
  <c r="J199" i="9"/>
  <c r="F199" i="9" s="1"/>
  <c r="V200" i="9"/>
  <c r="S200" i="9" s="1"/>
  <c r="A201" i="9"/>
  <c r="E199" i="9"/>
  <c r="C200" i="9"/>
  <c r="R200" i="9"/>
  <c r="D200" i="9"/>
  <c r="G199" i="9" l="1"/>
  <c r="J200" i="9"/>
  <c r="F200" i="9" s="1"/>
  <c r="V201" i="9"/>
  <c r="S201" i="9" s="1"/>
  <c r="T200" i="9"/>
  <c r="U200" i="9" s="1"/>
  <c r="E200" i="9"/>
  <c r="A202" i="9"/>
  <c r="C201" i="9"/>
  <c r="D201" i="9"/>
  <c r="R201" i="9"/>
  <c r="G200" i="9" l="1"/>
  <c r="T201" i="9"/>
  <c r="U201" i="9" s="1"/>
  <c r="J201" i="9"/>
  <c r="F201" i="9" s="1"/>
  <c r="V202" i="9"/>
  <c r="S202" i="9" s="1"/>
  <c r="A203" i="9"/>
  <c r="E201" i="9"/>
  <c r="C202" i="9"/>
  <c r="R202" i="9"/>
  <c r="D202" i="9"/>
  <c r="V203" i="9" l="1"/>
  <c r="S203" i="9" s="1"/>
  <c r="J202" i="9"/>
  <c r="F202" i="9" s="1"/>
  <c r="T202" i="9"/>
  <c r="U202" i="9" s="1"/>
  <c r="E202" i="9"/>
  <c r="G201" i="9"/>
  <c r="A204" i="9"/>
  <c r="C203" i="9"/>
  <c r="D203" i="9"/>
  <c r="R203" i="9"/>
  <c r="G202" i="9" l="1"/>
  <c r="T203" i="9"/>
  <c r="U203" i="9" s="1"/>
  <c r="J203" i="9"/>
  <c r="F203" i="9" s="1"/>
  <c r="V204" i="9"/>
  <c r="S204" i="9" s="1"/>
  <c r="A205" i="9"/>
  <c r="E203" i="9"/>
  <c r="C204" i="9"/>
  <c r="D204" i="9"/>
  <c r="R204" i="9"/>
  <c r="G203" i="9" l="1"/>
  <c r="J204" i="9"/>
  <c r="F204" i="9" s="1"/>
  <c r="V205" i="9"/>
  <c r="S205" i="9" s="1"/>
  <c r="E204" i="9"/>
  <c r="T204" i="9"/>
  <c r="U204" i="9" s="1"/>
  <c r="A206" i="9"/>
  <c r="C205" i="9"/>
  <c r="D205" i="9"/>
  <c r="R205" i="9"/>
  <c r="G204" i="9" l="1"/>
  <c r="J205" i="9"/>
  <c r="F205" i="9" s="1"/>
  <c r="V206" i="9"/>
  <c r="S206" i="9" s="1"/>
  <c r="T205" i="9"/>
  <c r="U205" i="9" s="1"/>
  <c r="A207" i="9"/>
  <c r="E205" i="9"/>
  <c r="C206" i="9"/>
  <c r="D206" i="9"/>
  <c r="R206" i="9"/>
  <c r="G205" i="9" l="1"/>
  <c r="T206" i="9"/>
  <c r="U206" i="9" s="1"/>
  <c r="V207" i="9"/>
  <c r="S207" i="9" s="1"/>
  <c r="J206" i="9"/>
  <c r="F206" i="9" s="1"/>
  <c r="E206" i="9"/>
  <c r="A208" i="9"/>
  <c r="C207" i="9"/>
  <c r="D207" i="9"/>
  <c r="R207" i="9"/>
  <c r="G206" i="9" l="1"/>
  <c r="J207" i="9"/>
  <c r="F207" i="9" s="1"/>
  <c r="V208" i="9"/>
  <c r="S208" i="9" s="1"/>
  <c r="T207" i="9"/>
  <c r="U207" i="9" s="1"/>
  <c r="A209" i="9"/>
  <c r="E207" i="9"/>
  <c r="C208" i="9"/>
  <c r="R208" i="9"/>
  <c r="D208" i="9"/>
  <c r="G207" i="9" l="1"/>
  <c r="J208" i="9"/>
  <c r="F208" i="9" s="1"/>
  <c r="T208" i="9"/>
  <c r="U208" i="9" s="1"/>
  <c r="V209" i="9"/>
  <c r="S209" i="9" s="1"/>
  <c r="E208" i="9"/>
  <c r="A210" i="9"/>
  <c r="C209" i="9"/>
  <c r="R209" i="9"/>
  <c r="D209" i="9"/>
  <c r="G208" i="9" l="1"/>
  <c r="V210" i="9"/>
  <c r="S210" i="9" s="1"/>
  <c r="J209" i="9"/>
  <c r="F209" i="9" s="1"/>
  <c r="T209" i="9"/>
  <c r="U209" i="9" s="1"/>
  <c r="A211" i="9"/>
  <c r="E209" i="9"/>
  <c r="C210" i="9"/>
  <c r="D210" i="9"/>
  <c r="R210" i="9"/>
  <c r="T210" i="9" l="1"/>
  <c r="U210" i="9" s="1"/>
  <c r="E210" i="9"/>
  <c r="C211" i="9"/>
  <c r="V211" i="9"/>
  <c r="S211" i="9" s="1"/>
  <c r="D211" i="9"/>
  <c r="J211" i="9" s="1"/>
  <c r="G209" i="9"/>
  <c r="J210" i="9"/>
  <c r="F210" i="9" s="1"/>
  <c r="G210" i="9" s="1"/>
  <c r="F211" i="9" l="1"/>
  <c r="E211" i="9"/>
  <c r="T211" i="9"/>
  <c r="U211" i="9" s="1"/>
  <c r="U4" i="9" s="1"/>
  <c r="G211" i="9" l="1"/>
  <c r="H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14" authorId="0" shapeId="0" xr:uid="{00000000-0006-0000-0000-000001000000}">
      <text>
        <r>
          <rPr>
            <sz val="10"/>
            <color indexed="81"/>
            <rFont val="Calibri"/>
            <family val="2"/>
          </rPr>
          <t>=CallDelta(B14,BS_IVLow,0,BS_r,BS_K,BS_T)</t>
        </r>
      </text>
    </comment>
    <comment ref="E14" authorId="0" shapeId="0" xr:uid="{00000000-0006-0000-0000-000002000000}">
      <text>
        <r>
          <rPr>
            <sz val="10"/>
            <color indexed="81"/>
            <rFont val="Calibri"/>
            <family val="2"/>
          </rPr>
          <t>=CallGamma(B14,BS_IVLow,0,BS_r,BS_K,BS_T)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1C049-5AC8-4504-9B78-E6A2BD9145DC}" keepAlive="1" name="Query - bs" description="Connection to the 'bs' query in the workbook." type="5" refreshedVersion="8" background="1" saveData="1">
    <dbPr connection="Provider=Microsoft.Mashup.OleDb.1;Data Source=$Workbook$;Location=bs;Extended Properties=&quot;&quot;" command="SELECT * FROM [bs]"/>
  </connection>
  <connection id="2" xr16:uid="{25E0E657-9FCB-4136-8DF0-1DDFB8C9FB0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3" xr16:uid="{F7CCB719-DD21-41C9-A52B-03E7F3F05118}" keepAlive="1" name="Query - final" description="Connection to the 'final' query in the workbook." type="5" refreshedVersion="8" background="1" saveData="1">
    <dbPr connection="Provider=Microsoft.Mashup.OleDb.1;Data Source=$Workbook$;Location=final;Extended Properties=&quot;&quot;" command="SELECT * FROM [fi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<sst xmlns="http://schemas.openxmlformats.org/spreadsheetml/2006/main" count="465" uniqueCount="142">
  <si>
    <t>Interest Rate</t>
  </si>
  <si>
    <t>Volatility+</t>
  </si>
  <si>
    <t>Volatility-</t>
  </si>
  <si>
    <t>Asset Price</t>
  </si>
  <si>
    <t>Strike</t>
  </si>
  <si>
    <t>Option Type</t>
  </si>
  <si>
    <t>Call</t>
  </si>
  <si>
    <t>Maturity</t>
  </si>
  <si>
    <t>Bid</t>
  </si>
  <si>
    <t>Ask</t>
  </si>
  <si>
    <t>Quantity</t>
  </si>
  <si>
    <t>Asst Step</t>
  </si>
  <si>
    <t>payoff</t>
  </si>
  <si>
    <t>Worst Case</t>
  </si>
  <si>
    <t>Best Case</t>
  </si>
  <si>
    <t>Const Vol+</t>
  </si>
  <si>
    <t>Const Vol-</t>
  </si>
  <si>
    <t>BS</t>
  </si>
  <si>
    <t>BS Price</t>
  </si>
  <si>
    <t>Shares</t>
  </si>
  <si>
    <t>Delta</t>
  </si>
  <si>
    <t>Week</t>
  </si>
  <si>
    <t>Hedging Cost</t>
  </si>
  <si>
    <t>S</t>
  </si>
  <si>
    <t>Delta+</t>
  </si>
  <si>
    <t>Gamma</t>
  </si>
  <si>
    <t>Gamma+</t>
  </si>
  <si>
    <t>Asset</t>
    <phoneticPr fontId="2" type="noConversion"/>
  </si>
  <si>
    <t>Interest rate</t>
    <phoneticPr fontId="2" type="noConversion"/>
  </si>
  <si>
    <t>Strike</t>
    <phoneticPr fontId="2" type="noConversion"/>
  </si>
  <si>
    <t>Expiry</t>
    <phoneticPr fontId="2" type="noConversion"/>
  </si>
  <si>
    <t>Time Step</t>
    <phoneticPr fontId="2" type="noConversion"/>
  </si>
  <si>
    <t>Time</t>
  </si>
  <si>
    <t>Theoretical P&amp;L</t>
  </si>
  <si>
    <t>Actual P&amp;L</t>
  </si>
  <si>
    <t>These data have been generated by using different inputs to OneOptionPricing() function.</t>
  </si>
  <si>
    <t>UV</t>
  </si>
  <si>
    <t>Used for Black-Scholes</t>
  </si>
  <si>
    <t>Asset Path (sigma_a)</t>
  </si>
  <si>
    <t>Option (sigma_i)</t>
  </si>
  <si>
    <t>dDelta *S</t>
  </si>
  <si>
    <t>Vi</t>
  </si>
  <si>
    <t>Portfolio</t>
  </si>
  <si>
    <t>Ctrl+Q for CQF Macro</t>
  </si>
  <si>
    <t>Portfolio + Cash</t>
  </si>
  <si>
    <t>Delta_BS</t>
  </si>
  <si>
    <t>Rate</t>
  </si>
  <si>
    <t>Volatility</t>
  </si>
  <si>
    <t>dDelta</t>
  </si>
  <si>
    <t>Interest</t>
  </si>
  <si>
    <t>dDelta*S</t>
  </si>
  <si>
    <t>(Bank Account)</t>
  </si>
  <si>
    <t>Bought/Sold</t>
  </si>
  <si>
    <t>Replicating Vol</t>
  </si>
  <si>
    <t>V - Delta*S</t>
  </si>
  <si>
    <t>Actual or Implied? SELECT</t>
  </si>
  <si>
    <t>CallDelta(asset, Vol, DivYld, IntRate, Strike, expiry)</t>
  </si>
  <si>
    <t>CallGamma(asset, Vol, DivYld, IntRate, Strike, expiry)</t>
  </si>
  <si>
    <t>Volatility_BS</t>
  </si>
  <si>
    <t>Total P&amp;L</t>
  </si>
  <si>
    <r>
      <t xml:space="preserve">Example to the right: </t>
    </r>
    <r>
      <rPr>
        <sz val="12"/>
        <rFont val="Arial"/>
        <family val="2"/>
      </rPr>
      <t>use 10% vs 40% IV to observe difference (very low IV gives gamma maximised closer to ATM)</t>
    </r>
  </si>
  <si>
    <t>Value</t>
  </si>
  <si>
    <t>Market Price</t>
  </si>
  <si>
    <t>Delta  Replicating Vol</t>
  </si>
  <si>
    <t>Actual Volatility</t>
  </si>
  <si>
    <t>Implied Volatility</t>
  </si>
  <si>
    <t>Total Profit from selling V_i and replicating (with sigma_a)</t>
  </si>
  <si>
    <t>P&amp;L cumulative</t>
  </si>
  <si>
    <r>
      <rPr>
        <b/>
        <u/>
        <sz val="10"/>
        <rFont val="Arial"/>
        <family val="2"/>
      </rPr>
      <t>Cashflow</t>
    </r>
    <r>
      <rPr>
        <b/>
        <sz val="10"/>
        <rFont val="Arial"/>
        <family val="2"/>
      </rPr>
      <t xml:space="preserve"> from Replication</t>
    </r>
  </si>
  <si>
    <t>Cash on account</t>
  </si>
  <si>
    <r>
      <rPr>
        <b/>
        <sz val="10"/>
        <rFont val="Arial"/>
        <family val="2"/>
      </rPr>
      <t>IF asset UP = we sell even more stock = cashflow positive</t>
    </r>
    <r>
      <rPr>
        <sz val="10"/>
        <rFont val="Arial"/>
        <family val="2"/>
      </rPr>
      <t xml:space="preserve"> = delta increased</t>
    </r>
  </si>
  <si>
    <t>DeltaMin</t>
  </si>
  <si>
    <t>DeltaMax</t>
  </si>
  <si>
    <t>IF asset DOWN = we buy stock back = cashflow negative</t>
  </si>
  <si>
    <t>Call Strike</t>
  </si>
  <si>
    <t>Asset Return</t>
  </si>
  <si>
    <t>if S_T &gt; K this gives call payoff + P&amp;L</t>
  </si>
  <si>
    <t>Gamma_BS</t>
  </si>
  <si>
    <t>Cum P&amp;L</t>
  </si>
  <si>
    <t>Money from replication</t>
  </si>
  <si>
    <t>sigma_a=sigma_i</t>
  </si>
  <si>
    <t>BS option price (premium)</t>
  </si>
  <si>
    <t>IF Delta decreased we reduce position (negative cash flow)</t>
  </si>
  <si>
    <t>IF Delta increased we sell even more (positive cash flow/Cum P&amp;L increases)</t>
  </si>
  <si>
    <t>Replication means that we SELL shares to match call payoff.</t>
  </si>
  <si>
    <t>MtM</t>
  </si>
  <si>
    <t>MtM Notes (P&amp;L over dt)</t>
  </si>
  <si>
    <t xml:space="preserve"> (Forward)</t>
  </si>
  <si>
    <t>dt</t>
  </si>
  <si>
    <t>IF Gamma decreases (over time) we make P&amp;L relatively safely</t>
  </si>
  <si>
    <t>Spikes in Gamma reduce Cum P&amp;L</t>
  </si>
  <si>
    <r>
      <t xml:space="preserve">3.  IF realised &lt; option volatility, </t>
    </r>
    <r>
      <rPr>
        <b/>
        <u/>
        <sz val="11"/>
        <rFont val="Arial"/>
        <family val="2"/>
      </rPr>
      <t>P&amp;L over dt</t>
    </r>
    <r>
      <rPr>
        <b/>
        <sz val="11"/>
        <rFont val="Arial"/>
        <family val="2"/>
      </rPr>
      <t xml:space="preserve"> is NEGATIVE</t>
    </r>
  </si>
  <si>
    <t>1.  Call Gamma &gt; 0 allows to earn money</t>
  </si>
  <si>
    <t>Made Money? r^2 &lt; vol</t>
  </si>
  <si>
    <t>But, the jackpot hit when Gamma high-value and r^2-vol^2 positive.</t>
  </si>
  <si>
    <t>2.  High Gamma/Low Volatility, a risky combination</t>
  </si>
  <si>
    <t xml:space="preserve">  Va</t>
  </si>
  <si>
    <t xml:space="preserve">  Vi</t>
  </si>
  <si>
    <t xml:space="preserve">  Va - Vi</t>
  </si>
  <si>
    <t>Replicating with Implied Vol gives increasing P&amp;L but uncertain cumultive</t>
  </si>
  <si>
    <t>P&amp;L Realized-Implied</t>
  </si>
  <si>
    <t>B</t>
  </si>
  <si>
    <t>Df</t>
  </si>
  <si>
    <t>delta_bs*DS</t>
  </si>
  <si>
    <t>ref_date</t>
  </si>
  <si>
    <t>option_price</t>
  </si>
  <si>
    <t>sigma_impl</t>
  </si>
  <si>
    <t>asset_price</t>
  </si>
  <si>
    <t>option_ticker</t>
  </si>
  <si>
    <t>ticker</t>
  </si>
  <si>
    <t>K</t>
  </si>
  <si>
    <t>expiry</t>
  </si>
  <si>
    <t>r</t>
  </si>
  <si>
    <t>t</t>
  </si>
  <si>
    <t>call_option</t>
  </si>
  <si>
    <t>D_call_option</t>
  </si>
  <si>
    <t>D_sigma_impl</t>
  </si>
  <si>
    <t>sqrt_t</t>
  </si>
  <si>
    <t>D_S</t>
  </si>
  <si>
    <t>delta_bs</t>
  </si>
  <si>
    <t>vega_bs</t>
  </si>
  <si>
    <t>y_serie</t>
  </si>
  <si>
    <t>a</t>
  </si>
  <si>
    <t>b</t>
  </si>
  <si>
    <t>c</t>
  </si>
  <si>
    <t>MSFT US 08/18/23 C320 Equity</t>
  </si>
  <si>
    <t>MSFT US Equity</t>
  </si>
  <si>
    <t>call</t>
  </si>
  <si>
    <t>D_call</t>
  </si>
  <si>
    <t>D_sigma_i</t>
  </si>
  <si>
    <t>y_num</t>
  </si>
  <si>
    <t>y_den</t>
  </si>
  <si>
    <t>y</t>
  </si>
  <si>
    <t>delta_mv</t>
  </si>
  <si>
    <t>portfolio_bs</t>
  </si>
  <si>
    <t>pl_cum_bs</t>
  </si>
  <si>
    <t>portfolio_mv</t>
  </si>
  <si>
    <t>pl_cum_mv</t>
  </si>
  <si>
    <t>cash_delta_bs</t>
  </si>
  <si>
    <t>cash_acc_bs</t>
  </si>
  <si>
    <t>cash_acc_bs2</t>
  </si>
  <si>
    <t>cash_delta_mv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</si>
</sst>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000"/>
    <numFmt numFmtId="166" formatCode="0.000"/>
    <numFmt numFmtId="167" formatCode="#,##0.000"/>
  </numFmts>
  <fonts count="1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NSimSun"/>
      <family val="3"/>
      <charset val="134"/>
    </font>
    <font>
      <i/>
      <sz val="10"/>
      <name val="Arial"/>
      <family val="2"/>
    </font>
    <font>
      <b/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Menlo"/>
      <family val="2"/>
    </font>
    <font>
      <b/>
      <u/>
      <sz val="12"/>
      <name val="Arial"/>
      <family val="2"/>
    </font>
    <font>
      <sz val="10"/>
      <color indexed="81"/>
      <name val="Calibri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2"/>
      <color rgb="FF000000"/>
      <name val="Helvetica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1" fillId="5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 applyAlignment="1">
      <alignment vertical="top" wrapText="1"/>
    </xf>
    <xf numFmtId="0" fontId="0" fillId="2" borderId="0" xfId="0" quotePrefix="1" applyFill="1" applyAlignment="1">
      <alignment horizontal="left" vertical="center"/>
    </xf>
    <xf numFmtId="9" fontId="3" fillId="7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9" borderId="0" xfId="0" applyFont="1" applyFill="1" applyAlignment="1">
      <alignment horizontal="center"/>
    </xf>
    <xf numFmtId="9" fontId="3" fillId="9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0" fontId="3" fillId="8" borderId="0" xfId="0" applyFont="1" applyFill="1"/>
    <xf numFmtId="0" fontId="0" fillId="9" borderId="0" xfId="0" applyFill="1"/>
    <xf numFmtId="2" fontId="0" fillId="9" borderId="0" xfId="0" applyNumberFormat="1" applyFill="1"/>
    <xf numFmtId="0" fontId="0" fillId="8" borderId="0" xfId="0" applyFill="1"/>
    <xf numFmtId="2" fontId="3" fillId="9" borderId="0" xfId="0" applyNumberFormat="1" applyFont="1" applyFill="1"/>
    <xf numFmtId="165" fontId="0" fillId="10" borderId="0" xfId="0" applyNumberFormat="1" applyFill="1"/>
    <xf numFmtId="165" fontId="0" fillId="11" borderId="0" xfId="0" applyNumberFormat="1" applyFill="1"/>
    <xf numFmtId="0" fontId="3" fillId="2" borderId="1" xfId="0" applyFont="1" applyFill="1" applyBorder="1" applyAlignment="1">
      <alignment horizontal="center"/>
    </xf>
    <xf numFmtId="0" fontId="0" fillId="2" borderId="0" xfId="0" applyFill="1" applyAlignment="1">
      <alignment vertical="top"/>
    </xf>
    <xf numFmtId="0" fontId="11" fillId="0" borderId="0" xfId="0" applyFont="1"/>
    <xf numFmtId="9" fontId="3" fillId="2" borderId="0" xfId="11" applyFont="1" applyFill="1" applyAlignment="1">
      <alignment horizontal="center"/>
    </xf>
    <xf numFmtId="9" fontId="3" fillId="9" borderId="0" xfId="11" applyFont="1" applyFill="1" applyAlignment="1">
      <alignment horizontal="center"/>
    </xf>
    <xf numFmtId="2" fontId="0" fillId="8" borderId="0" xfId="0" applyNumberFormat="1" applyFill="1"/>
    <xf numFmtId="0" fontId="0" fillId="11" borderId="0" xfId="0" applyFill="1" applyAlignment="1">
      <alignment horizontal="center"/>
    </xf>
    <xf numFmtId="0" fontId="12" fillId="8" borderId="0" xfId="0" applyFont="1" applyFill="1"/>
    <xf numFmtId="0" fontId="3" fillId="0" borderId="0" xfId="0" applyFont="1" applyAlignment="1">
      <alignment horizontal="center"/>
    </xf>
    <xf numFmtId="10" fontId="3" fillId="9" borderId="0" xfId="0" applyNumberFormat="1" applyFont="1" applyFill="1" applyAlignment="1">
      <alignment horizontal="center"/>
    </xf>
    <xf numFmtId="10" fontId="0" fillId="9" borderId="0" xfId="0" applyNumberFormat="1" applyFill="1"/>
    <xf numFmtId="166" fontId="0" fillId="2" borderId="0" xfId="0" applyNumberFormat="1" applyFill="1" applyAlignment="1">
      <alignment horizontal="center"/>
    </xf>
    <xf numFmtId="166" fontId="0" fillId="12" borderId="0" xfId="0" applyNumberFormat="1" applyFill="1" applyAlignment="1">
      <alignment horizontal="center"/>
    </xf>
    <xf numFmtId="0" fontId="0" fillId="2" borderId="0" xfId="0" applyFill="1" applyAlignment="1">
      <alignment horizontal="left" vertical="top"/>
    </xf>
    <xf numFmtId="2" fontId="0" fillId="2" borderId="0" xfId="0" applyNumberFormat="1" applyFill="1" applyAlignment="1">
      <alignment horizontal="center"/>
    </xf>
    <xf numFmtId="166" fontId="3" fillId="8" borderId="0" xfId="0" applyNumberFormat="1" applyFont="1" applyFill="1" applyAlignment="1">
      <alignment horizontal="center"/>
    </xf>
    <xf numFmtId="166" fontId="3" fillId="6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 vertical="center" wrapText="1"/>
    </xf>
    <xf numFmtId="0" fontId="15" fillId="2" borderId="0" xfId="0" quotePrefix="1" applyFont="1" applyFill="1" applyAlignment="1">
      <alignment horizontal="left" vertical="center"/>
    </xf>
    <xf numFmtId="167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2" borderId="0" xfId="0" quotePrefix="1" applyFill="1"/>
    <xf numFmtId="0" fontId="14" fillId="2" borderId="0" xfId="0" applyFont="1" applyFill="1" applyAlignment="1">
      <alignment horizontal="left" vertical="top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" fontId="0" fillId="12" borderId="0" xfId="0" applyNumberFormat="1" applyFill="1" applyAlignment="1">
      <alignment horizontal="center"/>
    </xf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center" wrapText="1"/>
    </xf>
    <xf numFmtId="0" fontId="10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NumberFormat="1"/>
    <xf numFmtId="15" fontId="0" fillId="0" borderId="0" xfId="0" applyNumberFormat="1"/>
    <xf numFmtId="4" fontId="0" fillId="0" borderId="0" xfId="0" applyNumberFormat="1"/>
    <xf numFmtId="9" fontId="0" fillId="0" borderId="0" xfId="0" applyNumberFormat="1"/>
  </cellXfs>
  <cellStyles count="1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Percent" xfId="11" builtinId="5"/>
  </cellStyles>
  <dxfs count="51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3" formatCode="0%"/>
    </dxf>
    <dxf>
      <numFmt numFmtId="20" formatCode="d\-mmm\-yy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20" formatCode="d\-mmm\-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3" formatCode="0%"/>
    </dxf>
    <dxf>
      <numFmt numFmtId="20" formatCode="d\-mmm\-yy"/>
    </dxf>
    <dxf>
      <numFmt numFmtId="4" formatCode="#,##0.00"/>
    </dxf>
    <dxf>
      <numFmt numFmtId="4" formatCode="#,##0.00"/>
    </dxf>
    <dxf>
      <numFmt numFmtId="4" formatCode="#,##0.00"/>
    </dxf>
    <dxf>
      <numFmt numFmtId="20" formatCode="d\-mmm\-yy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32241654446"/>
          <c:y val="8.2539938429868606E-2"/>
          <c:w val="0.80857988496118804"/>
          <c:h val="0.834836366765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Greeks!$C$13</c:f>
              <c:strCache>
                <c:ptCount val="1"/>
                <c:pt idx="0">
                  <c:v>Delta</c:v>
                </c:pt>
              </c:strCache>
            </c:strRef>
          </c:tx>
          <c:spPr>
            <a:ln w="15875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Greeks!$C$14:$C$113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1.7763568394002505E-15</c:v>
                </c:pt>
                <c:pt idx="10">
                  <c:v>7.0943251273547503E-14</c:v>
                </c:pt>
                <c:pt idx="11">
                  <c:v>1.7051915435217779E-12</c:v>
                </c:pt>
                <c:pt idx="12">
                  <c:v>2.6974533717805116E-11</c:v>
                </c:pt>
                <c:pt idx="13">
                  <c:v>3.023733485818525E-10</c:v>
                </c:pt>
                <c:pt idx="14">
                  <c:v>2.5430513250768172E-9</c:v>
                </c:pt>
                <c:pt idx="15">
                  <c:v>1.6783817557985969E-8</c:v>
                </c:pt>
                <c:pt idx="16">
                  <c:v>9.0096980542853089E-8</c:v>
                </c:pt>
                <c:pt idx="17">
                  <c:v>4.0494857611594881E-7</c:v>
                </c:pt>
                <c:pt idx="18">
                  <c:v>1.5605032926968576E-6</c:v>
                </c:pt>
                <c:pt idx="19">
                  <c:v>5.2581535181506212E-6</c:v>
                </c:pt>
                <c:pt idx="20">
                  <c:v>1.5748253469505258E-5</c:v>
                </c:pt>
                <c:pt idx="21">
                  <c:v>4.2507888714959918E-5</c:v>
                </c:pt>
                <c:pt idx="22">
                  <c:v>1.0462817930068091E-4</c:v>
                </c:pt>
                <c:pt idx="23">
                  <c:v>2.3721246156616083E-4</c:v>
                </c:pt>
                <c:pt idx="24">
                  <c:v>4.9968737837191579E-4</c:v>
                </c:pt>
                <c:pt idx="25">
                  <c:v>9.8535318400039262E-4</c:v>
                </c:pt>
                <c:pt idx="26">
                  <c:v>1.8308797953699996E-3</c:v>
                </c:pt>
                <c:pt idx="27">
                  <c:v>3.223974833830523E-3</c:v>
                </c:pt>
                <c:pt idx="28">
                  <c:v>5.4072817726963374E-3</c:v>
                </c:pt>
                <c:pt idx="29">
                  <c:v>8.6768100215708355E-3</c:v>
                </c:pt>
                <c:pt idx="30">
                  <c:v>1.3373844404928614E-2</c:v>
                </c:pt>
                <c:pt idx="31">
                  <c:v>1.9870211041530972E-2</c:v>
                </c:pt>
                <c:pt idx="32">
                  <c:v>2.8547800039548488E-2</c:v>
                </c:pt>
                <c:pt idx="33">
                  <c:v>3.9774155003621359E-2</c:v>
                </c:pt>
                <c:pt idx="34">
                  <c:v>5.3876563103812392E-2</c:v>
                </c:pt>
                <c:pt idx="35">
                  <c:v>7.1117317743735864E-2</c:v>
                </c:pt>
                <c:pt idx="36">
                  <c:v>9.1672664336472587E-2</c:v>
                </c:pt>
                <c:pt idx="37">
                  <c:v>0.11561743985783657</c:v>
                </c:pt>
                <c:pt idx="38">
                  <c:v>0.14291669145439878</c:v>
                </c:pt>
                <c:pt idx="39">
                  <c:v>0.17342474197829993</c:v>
                </c:pt>
                <c:pt idx="40">
                  <c:v>0.20689138715976574</c:v>
                </c:pt>
                <c:pt idx="41">
                  <c:v>0.24297425892854385</c:v>
                </c:pt>
                <c:pt idx="42">
                  <c:v>0.28125593297578677</c:v>
                </c:pt>
                <c:pt idx="43">
                  <c:v>0.32126411780956554</c:v>
                </c:pt>
                <c:pt idx="44">
                  <c:v>0.36249322583732646</c:v>
                </c:pt>
                <c:pt idx="45">
                  <c:v>0.40442575930731917</c:v>
                </c:pt>
                <c:pt idx="46">
                  <c:v>0.44655219723075135</c:v>
                </c:pt>
                <c:pt idx="47">
                  <c:v>0.48838839242555199</c:v>
                </c:pt>
                <c:pt idx="48">
                  <c:v>0.52948948772755444</c:v>
                </c:pt>
                <c:pt idx="49">
                  <c:v>0.5694601777375784</c:v>
                </c:pt>
                <c:pt idx="50">
                  <c:v>0.60796267377573388</c:v>
                </c:pt>
                <c:pt idx="51">
                  <c:v>0.64471974415599365</c:v>
                </c:pt>
                <c:pt idx="52">
                  <c:v>0.67951553458600267</c:v>
                </c:pt>
                <c:pt idx="53">
                  <c:v>0.71219387801908485</c:v>
                </c:pt>
                <c:pt idx="54">
                  <c:v>0.74265459972125114</c:v>
                </c:pt>
                <c:pt idx="55">
                  <c:v>0.77084836923665034</c:v>
                </c:pt>
                <c:pt idx="56">
                  <c:v>0.79677060951779122</c:v>
                </c:pt>
                <c:pt idx="57">
                  <c:v>0.82045491193554676</c:v>
                </c:pt>
                <c:pt idx="58">
                  <c:v>0.84196633288257072</c:v>
                </c:pt>
                <c:pt idx="59">
                  <c:v>0.8613948706635034</c:v>
                </c:pt>
                <c:pt idx="60">
                  <c:v>0.878849346168592</c:v>
                </c:pt>
                <c:pt idx="61">
                  <c:v>0.89445184164363079</c:v>
                </c:pt>
                <c:pt idx="62">
                  <c:v>0.90833279135367839</c:v>
                </c:pt>
                <c:pt idx="63">
                  <c:v>0.9206267674380274</c:v>
                </c:pt>
                <c:pt idx="64">
                  <c:v>0.93146896408188373</c:v>
                </c:pt>
                <c:pt idx="65">
                  <c:v>0.94099235284194527</c:v>
                </c:pt>
                <c:pt idx="66">
                  <c:v>0.94932546061190171</c:v>
                </c:pt>
                <c:pt idx="67">
                  <c:v>0.95659070806614588</c:v>
                </c:pt>
                <c:pt idx="68">
                  <c:v>0.96290323912519016</c:v>
                </c:pt>
                <c:pt idx="69">
                  <c:v>0.96837016970267209</c:v>
                </c:pt>
                <c:pt idx="70">
                  <c:v>0.97309018547362747</c:v>
                </c:pt>
                <c:pt idx="71">
                  <c:v>0.97715342254464865</c:v>
                </c:pt>
                <c:pt idx="72">
                  <c:v>0.98064157077676761</c:v>
                </c:pt>
                <c:pt idx="73">
                  <c:v>0.98362814635531548</c:v>
                </c:pt>
                <c:pt idx="74">
                  <c:v>0.98617888742905679</c:v>
                </c:pt>
                <c:pt idx="75">
                  <c:v>0.9883522338160714</c:v>
                </c:pt>
                <c:pt idx="76">
                  <c:v>0.99019985858867154</c:v>
                </c:pt>
                <c:pt idx="77">
                  <c:v>0.99176722560426755</c:v>
                </c:pt>
                <c:pt idx="78">
                  <c:v>0.99309415262942236</c:v>
                </c:pt>
                <c:pt idx="79">
                  <c:v>0.99421536456192738</c:v>
                </c:pt>
                <c:pt idx="80">
                  <c:v>0.99516102539035345</c:v>
                </c:pt>
                <c:pt idx="81">
                  <c:v>0.99595724097533522</c:v>
                </c:pt>
                <c:pt idx="82">
                  <c:v>0.99662652754656567</c:v>
                </c:pt>
                <c:pt idx="83">
                  <c:v>0.9971882430510477</c:v>
                </c:pt>
                <c:pt idx="84">
                  <c:v>0.99765898023370114</c:v>
                </c:pt>
                <c:pt idx="85">
                  <c:v>0.99805292165328097</c:v>
                </c:pt>
                <c:pt idx="86">
                  <c:v>0.9983821578037001</c:v>
                </c:pt>
                <c:pt idx="87">
                  <c:v>0.99865697018678878</c:v>
                </c:pt>
                <c:pt idx="88">
                  <c:v>0.99888608162405645</c:v>
                </c:pt>
                <c:pt idx="89">
                  <c:v>0.99907687635173803</c:v>
                </c:pt>
                <c:pt idx="90">
                  <c:v>0.99923559255770567</c:v>
                </c:pt>
                <c:pt idx="91">
                  <c:v>0.99936749002627057</c:v>
                </c:pt>
                <c:pt idx="92">
                  <c:v>0.99947699548675673</c:v>
                </c:pt>
                <c:pt idx="93">
                  <c:v>0.99956782813769129</c:v>
                </c:pt>
                <c:pt idx="94">
                  <c:v>0.99964310765931486</c:v>
                </c:pt>
                <c:pt idx="95">
                  <c:v>0.9997054468475165</c:v>
                </c:pt>
                <c:pt idx="96">
                  <c:v>0.99975703081337397</c:v>
                </c:pt>
                <c:pt idx="97">
                  <c:v>0.99979968450249335</c:v>
                </c:pt>
                <c:pt idx="98">
                  <c:v>0.9998349301032301</c:v>
                </c:pt>
                <c:pt idx="99">
                  <c:v>0.99986403573669724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4-BA46-AA73-F93E84ED71DA}"/>
            </c:ext>
          </c:extLst>
        </c:ser>
        <c:ser>
          <c:idx val="1"/>
          <c:order val="1"/>
          <c:tx>
            <c:strRef>
              <c:f>Greeks!$D$13</c:f>
              <c:strCache>
                <c:ptCount val="1"/>
                <c:pt idx="0">
                  <c:v>Delta+</c:v>
                </c:pt>
              </c:strCache>
            </c:strRef>
          </c:tx>
          <c:spPr>
            <a:ln w="158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Greeks!$D$14:$D$113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1.1102230246251565E-16</c:v>
                </c:pt>
                <c:pt idx="4">
                  <c:v>3.8857805861880479E-14</c:v>
                </c:pt>
                <c:pt idx="5">
                  <c:v>3.2855940190756883E-12</c:v>
                </c:pt>
                <c:pt idx="6">
                  <c:v>1.055658893633904E-10</c:v>
                </c:pt>
                <c:pt idx="7">
                  <c:v>1.7308836586238385E-9</c:v>
                </c:pt>
                <c:pt idx="8">
                  <c:v>1.7383955719374455E-8</c:v>
                </c:pt>
                <c:pt idx="9">
                  <c:v>1.2057497056350286E-7</c:v>
                </c:pt>
                <c:pt idx="10">
                  <c:v>6.2727009886298646E-7</c:v>
                </c:pt>
                <c:pt idx="11">
                  <c:v>2.5963548941909664E-6</c:v>
                </c:pt>
                <c:pt idx="12">
                  <c:v>8.9300945940173904E-6</c:v>
                </c:pt>
                <c:pt idx="13">
                  <c:v>2.6374325522215969E-5</c:v>
                </c:pt>
                <c:pt idx="14">
                  <c:v>6.8601310663440884E-5</c:v>
                </c:pt>
                <c:pt idx="15">
                  <c:v>1.6030364910302186E-4</c:v>
                </c:pt>
                <c:pt idx="16">
                  <c:v>3.4190341720030659E-4</c:v>
                </c:pt>
                <c:pt idx="17">
                  <c:v>6.7419436582238923E-4</c:v>
                </c:pt>
                <c:pt idx="18">
                  <c:v>1.2420840787992216E-3</c:v>
                </c:pt>
                <c:pt idx="19">
                  <c:v>2.156636855717653E-3</c:v>
                </c:pt>
                <c:pt idx="20">
                  <c:v>3.5548262182437673E-3</c:v>
                </c:pt>
                <c:pt idx="21">
                  <c:v>5.5967309987204894E-3</c:v>
                </c:pt>
                <c:pt idx="22">
                  <c:v>8.4602722786122353E-3</c:v>
                </c:pt>
                <c:pt idx="23">
                  <c:v>1.2333915364678649E-2</c:v>
                </c:pt>
                <c:pt idx="24">
                  <c:v>1.7407998105221423E-2</c:v>
                </c:pt>
                <c:pt idx="25">
                  <c:v>2.3865468695874359E-2</c:v>
                </c:pt>
                <c:pt idx="26">
                  <c:v>3.1872823267600991E-2</c:v>
                </c:pt>
                <c:pt idx="27">
                  <c:v>4.1571945509283559E-2</c:v>
                </c:pt>
                <c:pt idx="28">
                  <c:v>5.307339710661052E-2</c:v>
                </c:pt>
                <c:pt idx="29">
                  <c:v>6.6451520980826517E-2</c:v>
                </c:pt>
                <c:pt idx="30">
                  <c:v>8.1741527900126454E-2</c:v>
                </c:pt>
                <c:pt idx="31">
                  <c:v>9.8938563063660778E-2</c:v>
                </c:pt>
                <c:pt idx="32">
                  <c:v>0.1179986069840071</c:v>
                </c:pt>
                <c:pt idx="33">
                  <c:v>0.1388409613158299</c:v>
                </c:pt>
                <c:pt idx="34">
                  <c:v>0.16135200606804967</c:v>
                </c:pt>
                <c:pt idx="35">
                  <c:v>0.18538988644935173</c:v>
                </c:pt>
                <c:pt idx="36">
                  <c:v>0.21078978936497972</c:v>
                </c:pt>
                <c:pt idx="37">
                  <c:v>0.23736949406621743</c:v>
                </c:pt>
                <c:pt idx="38">
                  <c:v>0.26493492134162133</c:v>
                </c:pt>
                <c:pt idx="39">
                  <c:v>0.29328545429089004</c:v>
                </c:pt>
                <c:pt idx="40">
                  <c:v>0.32221885559192176</c:v>
                </c:pt>
                <c:pt idx="41">
                  <c:v>0.3515356569761835</c:v>
                </c:pt>
                <c:pt idx="42">
                  <c:v>0.38104294333641653</c:v>
                </c:pt>
                <c:pt idx="43">
                  <c:v>0.41055749459972135</c:v>
                </c:pt>
                <c:pt idx="44">
                  <c:v>0.43990828224324918</c:v>
                </c:pt>
                <c:pt idx="45">
                  <c:v>0.46893834387547484</c:v>
                </c:pt>
                <c:pt idx="46">
                  <c:v>0.49750607894908017</c:v>
                </c:pt>
                <c:pt idx="47">
                  <c:v>0.52548576474819098</c:v>
                </c:pt>
                <c:pt idx="48">
                  <c:v>0.55276795922856981</c:v>
                </c:pt>
                <c:pt idx="49">
                  <c:v>0.57925968418588936</c:v>
                </c:pt>
                <c:pt idx="50">
                  <c:v>0.60488370713870776</c:v>
                </c:pt>
                <c:pt idx="51">
                  <c:v>0.62957787014960431</c:v>
                </c:pt>
                <c:pt idx="52">
                  <c:v>0.65329421776055885</c:v>
                </c:pt>
                <c:pt idx="53">
                  <c:v>0.67599797440917719</c:v>
                </c:pt>
                <c:pt idx="54">
                  <c:v>0.69766642335182638</c:v>
                </c:pt>
                <c:pt idx="55">
                  <c:v>0.71828773121410616</c:v>
                </c:pt>
                <c:pt idx="56">
                  <c:v>0.73785975480038324</c:v>
                </c:pt>
                <c:pt idx="57">
                  <c:v>0.75638885986171234</c:v>
                </c:pt>
                <c:pt idx="58">
                  <c:v>0.77388877523708854</c:v>
                </c:pt>
                <c:pt idx="59">
                  <c:v>0.79037950019639835</c:v>
                </c:pt>
                <c:pt idx="60">
                  <c:v>0.80588627793943846</c:v>
                </c:pt>
                <c:pt idx="61">
                  <c:v>0.8204386440311543</c:v>
                </c:pt>
                <c:pt idx="62">
                  <c:v>0.83406955504535951</c:v>
                </c:pt>
                <c:pt idx="63">
                  <c:v>0.84681459979984319</c:v>
                </c:pt>
                <c:pt idx="64">
                  <c:v>0.85871129323812656</c:v>
                </c:pt>
                <c:pt idx="65">
                  <c:v>0.86979845118568444</c:v>
                </c:pt>
                <c:pt idx="66">
                  <c:v>0.88011564281846366</c:v>
                </c:pt>
                <c:pt idx="67">
                  <c:v>0.88970271666757361</c:v>
                </c:pt>
                <c:pt idx="68">
                  <c:v>0.89859939528780586</c:v>
                </c:pt>
                <c:pt idx="69">
                  <c:v>0.90684493328530058</c:v>
                </c:pt>
                <c:pt idx="70">
                  <c:v>0.91447783318237097</c:v>
                </c:pt>
                <c:pt idx="71">
                  <c:v>0.9215356135519176</c:v>
                </c:pt>
                <c:pt idx="72">
                  <c:v>0.92805462394207927</c:v>
                </c:pt>
                <c:pt idx="73">
                  <c:v>0.93406990130124701</c:v>
                </c:pt>
                <c:pt idx="74">
                  <c:v>0.93961506287670304</c:v>
                </c:pt>
                <c:pt idx="75">
                  <c:v>0.94472223087395357</c:v>
                </c:pt>
                <c:pt idx="76">
                  <c:v>0.94942198450944681</c:v>
                </c:pt>
                <c:pt idx="77">
                  <c:v>0.95374333545157941</c:v>
                </c:pt>
                <c:pt idx="78">
                  <c:v>0.95771372301168167</c:v>
                </c:pt>
                <c:pt idx="79">
                  <c:v>0.96135902580874</c:v>
                </c:pt>
                <c:pt idx="80">
                  <c:v>0.96470358698197745</c:v>
                </c:pt>
                <c:pt idx="81">
                  <c:v>0.9677702503590363</c:v>
                </c:pt>
                <c:pt idx="82">
                  <c:v>0.97058040530092526</c:v>
                </c:pt>
                <c:pt idx="83">
                  <c:v>0.97315403823595403</c:v>
                </c:pt>
                <c:pt idx="84">
                  <c:v>0.97550978916243924</c:v>
                </c:pt>
                <c:pt idx="85">
                  <c:v>0.97766501164370723</c:v>
                </c:pt>
                <c:pt idx="86">
                  <c:v>0.97963583503912999</c:v>
                </c:pt>
                <c:pt idx="87">
                  <c:v>0.98143722791235843</c:v>
                </c:pt>
                <c:pt idx="88">
                  <c:v>0.9830830617336499</c:v>
                </c:pt>
                <c:pt idx="89">
                  <c:v>0.98458617414852001</c:v>
                </c:pt>
                <c:pt idx="90">
                  <c:v>0.98595843122133209</c:v>
                </c:pt>
                <c:pt idx="91">
                  <c:v>0.98721078818137398</c:v>
                </c:pt>
                <c:pt idx="92">
                  <c:v>0.98835334830200838</c:v>
                </c:pt>
                <c:pt idx="93">
                  <c:v>0.98939541963211264</c:v>
                </c:pt>
                <c:pt idx="94">
                  <c:v>0.99034556937472329</c:v>
                </c:pt>
                <c:pt idx="95">
                  <c:v>0.99121167577195213</c:v>
                </c:pt>
                <c:pt idx="96">
                  <c:v>0.9920009774091525</c:v>
                </c:pt>
                <c:pt idx="97">
                  <c:v>0.99272011989620179</c:v>
                </c:pt>
                <c:pt idx="98">
                  <c:v>0.99337519992074341</c:v>
                </c:pt>
                <c:pt idx="99">
                  <c:v>0.99397180669831686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4-BA46-AA73-F93E84ED7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96752"/>
        <c:axId val="-1003432848"/>
      </c:scatterChart>
      <c:valAx>
        <c:axId val="-97089675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5372163585934699"/>
              <c:y val="0.91871193150036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3432848"/>
        <c:crosses val="autoZero"/>
        <c:crossBetween val="midCat"/>
      </c:valAx>
      <c:valAx>
        <c:axId val="-1003432848"/>
        <c:scaling>
          <c:orientation val="minMax"/>
          <c:max val="1.25"/>
          <c:min val="-0.25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2.58481785521491E-2"/>
              <c:y val="0.40635050126930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96752"/>
        <c:crosses val="autoZero"/>
        <c:crossBetween val="midCat"/>
        <c:majorUnit val="0.2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72166384349704"/>
          <c:y val="0.55445295944545803"/>
          <c:w val="0.13861370283909899"/>
          <c:h val="0.1365084118583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4938388954599"/>
          <c:y val="8.2539938429868606E-2"/>
          <c:w val="0.80432561719258799"/>
          <c:h val="0.8000023330417029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Greeks!$E$13</c:f>
              <c:strCache>
                <c:ptCount val="1"/>
                <c:pt idx="0">
                  <c:v>Gamma</c:v>
                </c:pt>
              </c:strCache>
            </c:strRef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Greeks!$E$14:$E$113</c:f>
              <c:numCache>
                <c:formatCode>General</c:formatCode>
                <c:ptCount val="100"/>
                <c:pt idx="0">
                  <c:v>5.0084911673274488E-82</c:v>
                </c:pt>
                <c:pt idx="1">
                  <c:v>9.2887274480900552E-56</c:v>
                </c:pt>
                <c:pt idx="2">
                  <c:v>8.2356287383920902E-43</c:v>
                </c:pt>
                <c:pt idx="3">
                  <c:v>1.0465336777613854E-34</c:v>
                </c:pt>
                <c:pt idx="4">
                  <c:v>4.8634703532361778E-29</c:v>
                </c:pt>
                <c:pt idx="5">
                  <c:v>8.2426100780573973E-25</c:v>
                </c:pt>
                <c:pt idx="6">
                  <c:v>1.6224143689431844E-21</c:v>
                </c:pt>
                <c:pt idx="7">
                  <c:v>7.1630482801383905E-19</c:v>
                </c:pt>
                <c:pt idx="8">
                  <c:v>1.065135275746814E-16</c:v>
                </c:pt>
                <c:pt idx="9">
                  <c:v>6.965758049653437E-15</c:v>
                </c:pt>
                <c:pt idx="10">
                  <c:v>2.4072251785235818E-13</c:v>
                </c:pt>
                <c:pt idx="11">
                  <c:v>5.0116465228976473E-12</c:v>
                </c:pt>
                <c:pt idx="12">
                  <c:v>6.9224540075018397E-11</c:v>
                </c:pt>
                <c:pt idx="13">
                  <c:v>6.8230412732342997E-10</c:v>
                </c:pt>
                <c:pt idx="14">
                  <c:v>5.0758667977619702E-9</c:v>
                </c:pt>
                <c:pt idx="15">
                  <c:v>2.9784494191315159E-8</c:v>
                </c:pt>
                <c:pt idx="16">
                  <c:v>1.4278203918525825E-7</c:v>
                </c:pt>
                <c:pt idx="17">
                  <c:v>5.7529612809118231E-7</c:v>
                </c:pt>
                <c:pt idx="18">
                  <c:v>1.994032342016128E-6</c:v>
                </c:pt>
                <c:pt idx="19">
                  <c:v>6.0609148017800238E-6</c:v>
                </c:pt>
                <c:pt idx="20">
                  <c:v>1.6416264277605462E-5</c:v>
                </c:pt>
                <c:pt idx="21">
                  <c:v>4.0161131085423058E-5</c:v>
                </c:pt>
                <c:pt idx="22">
                  <c:v>8.9765786773274479E-5</c:v>
                </c:pt>
                <c:pt idx="23">
                  <c:v>1.8511592842770743E-4</c:v>
                </c:pt>
                <c:pt idx="24">
                  <c:v>3.5519350655899962E-4</c:v>
                </c:pt>
                <c:pt idx="25">
                  <c:v>6.3876636209564354E-4</c:v>
                </c:pt>
                <c:pt idx="26">
                  <c:v>1.0835050388420489E-3</c:v>
                </c:pt>
                <c:pt idx="27">
                  <c:v>1.7431786325016383E-3</c:v>
                </c:pt>
                <c:pt idx="28">
                  <c:v>2.6729598579908567E-3</c:v>
                </c:pt>
                <c:pt idx="29">
                  <c:v>3.9232954716652219E-3</c:v>
                </c:pt>
                <c:pt idx="30">
                  <c:v>5.533156513490017E-3</c:v>
                </c:pt>
                <c:pt idx="31">
                  <c:v>7.5236790529149399E-3</c:v>
                </c:pt>
                <c:pt idx="32">
                  <c:v>9.8931942041304809E-3</c:v>
                </c:pt>
                <c:pt idx="33">
                  <c:v>1.2614436966213801E-2</c:v>
                </c:pt>
                <c:pt idx="34">
                  <c:v>1.563437453225024E-2</c:v>
                </c:pt>
                <c:pt idx="35">
                  <c:v>1.8876688756397735E-2</c:v>
                </c:pt>
                <c:pt idx="36">
                  <c:v>2.2246567988949247E-2</c:v>
                </c:pt>
                <c:pt idx="37">
                  <c:v>2.563717556258361E-2</c:v>
                </c:pt>
                <c:pt idx="38">
                  <c:v>2.8937001985425342E-2</c:v>
                </c:pt>
                <c:pt idx="39">
                  <c:v>3.2037281254222796E-2</c:v>
                </c:pt>
                <c:pt idx="40">
                  <c:v>3.4838739892415434E-2</c:v>
                </c:pt>
                <c:pt idx="41">
                  <c:v>3.7257116259317685E-2</c:v>
                </c:pt>
                <c:pt idx="42">
                  <c:v>3.9227097812904552E-2</c:v>
                </c:pt>
                <c:pt idx="43">
                  <c:v>4.0704538488218693E-2</c:v>
                </c:pt>
                <c:pt idx="44">
                  <c:v>4.1667008388513518E-2</c:v>
                </c:pt>
                <c:pt idx="45">
                  <c:v>4.2112875244039207E-2</c:v>
                </c:pt>
                <c:pt idx="46">
                  <c:v>4.205921361966606E-2</c:v>
                </c:pt>
                <c:pt idx="47">
                  <c:v>4.1538884339160621E-2</c:v>
                </c:pt>
                <c:pt idx="48">
                  <c:v>4.0597129829167196E-2</c:v>
                </c:pt>
                <c:pt idx="49">
                  <c:v>3.9288001279828448E-2</c:v>
                </c:pt>
                <c:pt idx="50">
                  <c:v>3.7670881971642839E-2</c:v>
                </c:pt>
                <c:pt idx="51">
                  <c:v>3.5807308474253681E-2</c:v>
                </c:pt>
                <c:pt idx="52">
                  <c:v>3.3758226572263079E-2</c:v>
                </c:pt>
                <c:pt idx="53">
                  <c:v>3.1581758334776756E-2</c:v>
                </c:pt>
                <c:pt idx="54">
                  <c:v>2.933150500522556E-2</c:v>
                </c:pt>
                <c:pt idx="55">
                  <c:v>2.7055369542696904E-2</c:v>
                </c:pt>
                <c:pt idx="56">
                  <c:v>2.4794853213882643E-2</c:v>
                </c:pt>
                <c:pt idx="57">
                  <c:v>2.2584761924138205E-2</c:v>
                </c:pt>
                <c:pt idx="58">
                  <c:v>2.0453248533361779E-2</c:v>
                </c:pt>
                <c:pt idx="59">
                  <c:v>1.8422115393202303E-2</c:v>
                </c:pt>
                <c:pt idx="60">
                  <c:v>1.6507304845899923E-2</c:v>
                </c:pt>
                <c:pt idx="61">
                  <c:v>1.4719512639483826E-2</c:v>
                </c:pt>
                <c:pt idx="62">
                  <c:v>1.3064868579177239E-2</c:v>
                </c:pt>
                <c:pt idx="63">
                  <c:v>1.154563899221649E-2</c:v>
                </c:pt>
                <c:pt idx="64">
                  <c:v>1.01609157866172E-2</c:v>
                </c:pt>
                <c:pt idx="65">
                  <c:v>8.9072663781394629E-3</c:v>
                </c:pt>
                <c:pt idx="66">
                  <c:v>7.7793271386688446E-3</c:v>
                </c:pt>
                <c:pt idx="67">
                  <c:v>6.7703300802239141E-3</c:v>
                </c:pt>
                <c:pt idx="68">
                  <c:v>5.8725581812406015E-3</c:v>
                </c:pt>
                <c:pt idx="69">
                  <c:v>5.0777291424090798E-3</c:v>
                </c:pt>
                <c:pt idx="70">
                  <c:v>4.3773105535196335E-3</c:v>
                </c:pt>
                <c:pt idx="71">
                  <c:v>3.7627716234435327E-3</c:v>
                </c:pt>
                <c:pt idx="72">
                  <c:v>3.2257779495648087E-3</c:v>
                </c:pt>
                <c:pt idx="73">
                  <c:v>2.7583364551895823E-3</c:v>
                </c:pt>
                <c:pt idx="74">
                  <c:v>2.3528977648414238E-3</c:v>
                </c:pt>
                <c:pt idx="75">
                  <c:v>2.0024230594804411E-3</c:v>
                </c:pt>
                <c:pt idx="76">
                  <c:v>1.7004219758287615E-3</c:v>
                </c:pt>
                <c:pt idx="77">
                  <c:v>1.4409674828225996E-3</c:v>
                </c:pt>
                <c:pt idx="78">
                  <c:v>1.2186929591767579E-3</c:v>
                </c:pt>
                <c:pt idx="79">
                  <c:v>1.0287759656336323E-3</c:v>
                </c:pt>
                <c:pt idx="80">
                  <c:v>8.6691249398593241E-4</c:v>
                </c:pt>
                <c:pt idx="81">
                  <c:v>7.2928480940597906E-4</c:v>
                </c:pt>
                <c:pt idx="82">
                  <c:v>6.1252539940318961E-4</c:v>
                </c:pt>
                <c:pt idx="83">
                  <c:v>5.1367901018025655E-4</c:v>
                </c:pt>
                <c:pt idx="84">
                  <c:v>4.3016429161391744E-4</c:v>
                </c:pt>
                <c:pt idx="85">
                  <c:v>3.5973618370293528E-4</c:v>
                </c:pt>
                <c:pt idx="86">
                  <c:v>3.0044985549615351E-4</c:v>
                </c:pt>
                <c:pt idx="87">
                  <c:v>2.5062674598046674E-4</c:v>
                </c:pt>
                <c:pt idx="88">
                  <c:v>2.0882304810264558E-4</c:v>
                </c:pt>
                <c:pt idx="89">
                  <c:v>1.7380081474370853E-4</c:v>
                </c:pt>
                <c:pt idx="90">
                  <c:v>1.445017419939534E-4</c:v>
                </c:pt>
                <c:pt idx="91">
                  <c:v>1.2002359390473972E-4</c:v>
                </c:pt>
                <c:pt idx="92">
                  <c:v>9.9599168069981102E-5</c:v>
                </c:pt>
                <c:pt idx="93">
                  <c:v>8.2577657675860744E-5</c:v>
                </c:pt>
                <c:pt idx="94">
                  <c:v>6.8408238534677294E-5</c:v>
                </c:pt>
                <c:pt idx="95">
                  <c:v>5.6625695268417235E-5</c:v>
                </c:pt>
                <c:pt idx="96">
                  <c:v>4.6837896056140886E-5</c:v>
                </c:pt>
                <c:pt idx="97">
                  <c:v>3.8714927613947964E-5</c:v>
                </c:pt>
                <c:pt idx="98">
                  <c:v>3.1979709254048464E-5</c:v>
                </c:pt>
                <c:pt idx="99">
                  <c:v>2.6399915325170486E-5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6-7942-BE73-A49A39653526}"/>
            </c:ext>
          </c:extLst>
        </c:ser>
        <c:ser>
          <c:idx val="3"/>
          <c:order val="1"/>
          <c:tx>
            <c:strRef>
              <c:f>Greeks!$F$13</c:f>
              <c:strCache>
                <c:ptCount val="1"/>
                <c:pt idx="0">
                  <c:v>Gamma+</c:v>
                </c:pt>
              </c:strCache>
            </c:strRef>
          </c:tx>
          <c:spPr>
            <a:ln w="158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Greeks!$F$14:$F$113</c:f>
              <c:numCache>
                <c:formatCode>General</c:formatCode>
                <c:ptCount val="100"/>
                <c:pt idx="0">
                  <c:v>2.1049947902087335E-36</c:v>
                </c:pt>
                <c:pt idx="1">
                  <c:v>5.5868905792686009E-25</c:v>
                </c:pt>
                <c:pt idx="2">
                  <c:v>2.2645337680339111E-19</c:v>
                </c:pt>
                <c:pt idx="3">
                  <c:v>7.1230509888636144E-16</c:v>
                </c:pt>
                <c:pt idx="4">
                  <c:v>1.9528108615958928E-13</c:v>
                </c:pt>
                <c:pt idx="5">
                  <c:v>1.2714053216316235E-11</c:v>
                </c:pt>
                <c:pt idx="6">
                  <c:v>3.2549037989507448E-10</c:v>
                </c:pt>
                <c:pt idx="7">
                  <c:v>4.3625326244918549E-9</c:v>
                </c:pt>
                <c:pt idx="8">
                  <c:v>3.6524250652014322E-8</c:v>
                </c:pt>
                <c:pt idx="9">
                  <c:v>2.1447033771891672E-7</c:v>
                </c:pt>
                <c:pt idx="10">
                  <c:v>9.564727246342566E-7</c:v>
                </c:pt>
                <c:pt idx="11">
                  <c:v>3.4289882409020124E-6</c:v>
                </c:pt>
                <c:pt idx="12">
                  <c:v>1.0303589030426439E-5</c:v>
                </c:pt>
                <c:pt idx="13">
                  <c:v>2.6780603969057632E-5</c:v>
                </c:pt>
                <c:pt idx="14">
                  <c:v>6.1687712630331936E-5</c:v>
                </c:pt>
                <c:pt idx="15">
                  <c:v>1.2834769380510469E-4</c:v>
                </c:pt>
                <c:pt idx="16">
                  <c:v>2.4489122351713965E-4</c:v>
                </c:pt>
                <c:pt idx="17">
                  <c:v>4.3378309359817633E-4</c:v>
                </c:pt>
                <c:pt idx="18">
                  <c:v>7.2050046038419464E-4</c:v>
                </c:pt>
                <c:pt idx="19">
                  <c:v>1.1314908243522483E-3</c:v>
                </c:pt>
                <c:pt idx="20">
                  <c:v>1.6916887749530585E-3</c:v>
                </c:pt>
                <c:pt idx="21">
                  <c:v>2.4219491680991011E-3</c:v>
                </c:pt>
                <c:pt idx="22">
                  <c:v>3.3367526919931144E-3</c:v>
                </c:pt>
                <c:pt idx="23">
                  <c:v>4.4424721491793826E-3</c:v>
                </c:pt>
                <c:pt idx="24">
                  <c:v>5.7363805399154337E-3</c:v>
                </c:pt>
                <c:pt idx="25">
                  <c:v>7.2064633128603181E-3</c:v>
                </c:pt>
                <c:pt idx="26">
                  <c:v>8.8319899349429618E-3</c:v>
                </c:pt>
                <c:pt idx="27">
                  <c:v>1.0584718789079526E-2</c:v>
                </c:pt>
                <c:pt idx="28">
                  <c:v>1.243056029836833E-2</c:v>
                </c:pt>
                <c:pt idx="29">
                  <c:v>1.4331505149343865E-2</c:v>
                </c:pt>
                <c:pt idx="30">
                  <c:v>1.6247632122943275E-2</c:v>
                </c:pt>
                <c:pt idx="31">
                  <c:v>1.8139035819036722E-2</c:v>
                </c:pt>
                <c:pt idx="32">
                  <c:v>1.9967550725160488E-2</c:v>
                </c:pt>
                <c:pt idx="33">
                  <c:v>2.1698187862371453E-2</c:v>
                </c:pt>
                <c:pt idx="34">
                  <c:v>2.3300238466598282E-2</c:v>
                </c:pt>
                <c:pt idx="35">
                  <c:v>2.4748032402144446E-2</c:v>
                </c:pt>
                <c:pt idx="36">
                  <c:v>2.6021365414559964E-2</c:v>
                </c:pt>
                <c:pt idx="37">
                  <c:v>2.7105628349424322E-2</c:v>
                </c:pt>
                <c:pt idx="38">
                  <c:v>2.7991683441833011E-2</c:v>
                </c:pt>
                <c:pt idx="39">
                  <c:v>2.8675538638672005E-2</c:v>
                </c:pt>
                <c:pt idx="40">
                  <c:v>2.9157871855842326E-2</c:v>
                </c:pt>
                <c:pt idx="41">
                  <c:v>2.9443454367821725E-2</c:v>
                </c:pt>
                <c:pt idx="42">
                  <c:v>2.9540517373126074E-2</c:v>
                </c:pt>
                <c:pt idx="43">
                  <c:v>2.9460099210310241E-2</c:v>
                </c:pt>
                <c:pt idx="44">
                  <c:v>2.9215403548493515E-2</c:v>
                </c:pt>
                <c:pt idx="45">
                  <c:v>2.8821191771089182E-2</c:v>
                </c:pt>
                <c:pt idx="46">
                  <c:v>2.8293226147726089E-2</c:v>
                </c:pt>
                <c:pt idx="47">
                  <c:v>2.7647774519859444E-2</c:v>
                </c:pt>
                <c:pt idx="48">
                  <c:v>2.6901182251041794E-2</c:v>
                </c:pt>
                <c:pt idx="49">
                  <c:v>2.6069513154046032E-2</c:v>
                </c:pt>
                <c:pt idx="50">
                  <c:v>2.5168257973773599E-2</c:v>
                </c:pt>
                <c:pt idx="51">
                  <c:v>2.4212106700534339E-2</c:v>
                </c:pt>
                <c:pt idx="52">
                  <c:v>2.3214779409627313E-2</c:v>
                </c:pt>
                <c:pt idx="53">
                  <c:v>2.2188909355409958E-2</c:v>
                </c:pt>
                <c:pt idx="54">
                  <c:v>2.1145971575717421E-2</c:v>
                </c:pt>
                <c:pt idx="55">
                  <c:v>2.0096250176641534E-2</c:v>
                </c:pt>
                <c:pt idx="56">
                  <c:v>1.9048837670345431E-2</c:v>
                </c:pt>
                <c:pt idx="57">
                  <c:v>1.8011660145076283E-2</c:v>
                </c:pt>
                <c:pt idx="58">
                  <c:v>1.6991522586093426E-2</c:v>
                </c:pt>
                <c:pt idx="59">
                  <c:v>1.5994169281665242E-2</c:v>
                </c:pt>
                <c:pt idx="60">
                  <c:v>1.5024354894916148E-2</c:v>
                </c:pt>
                <c:pt idx="61">
                  <c:v>1.4085922426483965E-2</c:v>
                </c:pt>
                <c:pt idx="62">
                  <c:v>1.3181884910482453E-2</c:v>
                </c:pt>
                <c:pt idx="63">
                  <c:v>1.2314508260778428E-2</c:v>
                </c:pt>
                <c:pt idx="64">
                  <c:v>1.1485393206015179E-2</c:v>
                </c:pt>
                <c:pt idx="65">
                  <c:v>1.0695554714988668E-2</c:v>
                </c:pt>
                <c:pt idx="66">
                  <c:v>9.9454977174777363E-3</c:v>
                </c:pt>
                <c:pt idx="67">
                  <c:v>9.2352882707186293E-3</c:v>
                </c:pt>
                <c:pt idx="68">
                  <c:v>8.5646196115461565E-3</c:v>
                </c:pt>
                <c:pt idx="69">
                  <c:v>7.9328727731510142E-3</c:v>
                </c:pt>
                <c:pt idx="70">
                  <c:v>7.3391716384648351E-3</c:v>
                </c:pt>
                <c:pt idx="71">
                  <c:v>6.7824324547056903E-3</c:v>
                </c:pt>
                <c:pt idx="72">
                  <c:v>6.261407950925597E-3</c:v>
                </c:pt>
                <c:pt idx="73">
                  <c:v>5.7747262876173631E-3</c:v>
                </c:pt>
                <c:pt idx="74">
                  <c:v>5.3209251293448168E-3</c:v>
                </c:pt>
                <c:pt idx="75">
                  <c:v>4.8984811723197077E-3</c:v>
                </c:pt>
                <c:pt idx="76">
                  <c:v>4.5058354827609811E-3</c:v>
                </c:pt>
                <c:pt idx="77">
                  <c:v>4.1414150121673226E-3</c:v>
                </c:pt>
                <c:pt idx="78">
                  <c:v>3.8036506552792432E-3</c:v>
                </c:pt>
                <c:pt idx="79">
                  <c:v>3.4909922080341451E-3</c:v>
                </c:pt>
                <c:pt idx="80">
                  <c:v>3.2019205683557761E-3</c:v>
                </c:pt>
                <c:pt idx="81">
                  <c:v>2.9349575039334208E-3</c:v>
                </c:pt>
                <c:pt idx="82">
                  <c:v>2.6886732896791708E-3</c:v>
                </c:pt>
                <c:pt idx="83">
                  <c:v>2.4616924944637032E-3</c:v>
                </c:pt>
                <c:pt idx="84">
                  <c:v>2.2526981729397147E-3</c:v>
                </c:pt>
                <c:pt idx="85">
                  <c:v>2.0604346944779238E-3</c:v>
                </c:pt>
                <c:pt idx="86">
                  <c:v>1.8837094179992343E-3</c:v>
                </c:pt>
                <c:pt idx="87">
                  <c:v>1.7213933991809039E-3</c:v>
                </c:pt>
                <c:pt idx="88">
                  <c:v>1.5724212954178059E-3</c:v>
                </c:pt>
                <c:pt idx="89">
                  <c:v>1.4357906142104184E-3</c:v>
                </c:pt>
                <c:pt idx="90">
                  <c:v>1.3105604324315722E-3</c:v>
                </c:pt>
                <c:pt idx="91">
                  <c:v>1.195849697236484E-3</c:v>
                </c:pt>
                <c:pt idx="92">
                  <c:v>1.0908352042227529E-3</c:v>
                </c:pt>
                <c:pt idx="93">
                  <c:v>9.9474933478141056E-4</c:v>
                </c:pt>
                <c:pt idx="94">
                  <c:v>9.0687762234530447E-4</c:v>
                </c:pt>
                <c:pt idx="95">
                  <c:v>8.2655620635819344E-4</c:v>
                </c:pt>
                <c:pt idx="96">
                  <c:v>7.5316922316741677E-4</c:v>
                </c:pt>
                <c:pt idx="97">
                  <c:v>6.8614617458907323E-4</c:v>
                </c:pt>
                <c:pt idx="98">
                  <c:v>6.2495930750941303E-4</c:v>
                </c:pt>
                <c:pt idx="99">
                  <c:v>5.6912103147197998E-4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6-7942-BE73-A49A39653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98176"/>
        <c:axId val="-968694784"/>
      </c:scatterChart>
      <c:valAx>
        <c:axId val="-96869817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78739971662834"/>
              <c:y val="0.90476465951960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4784"/>
        <c:crosses val="autoZero"/>
        <c:crossBetween val="midCat"/>
      </c:valAx>
      <c:valAx>
        <c:axId val="-968694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Gamma</a:t>
                </a:r>
              </a:p>
            </c:rich>
          </c:tx>
          <c:layout>
            <c:manualLayout>
              <c:xMode val="edge"/>
              <c:yMode val="edge"/>
              <c:x val="2.5848140663833001E-2"/>
              <c:y val="0.377779206170657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8176"/>
        <c:crosses val="autoZero"/>
        <c:crossBetween val="midCat"/>
        <c:majorUnit val="0.0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863637048558398"/>
          <c:y val="0.49477909181851099"/>
          <c:w val="0.145396046733096"/>
          <c:h val="0.136508344620187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1"/>
          <c:tx>
            <c:strRef>
              <c:f>'Delta Hedge'!$F$11</c:f>
              <c:strCache>
                <c:ptCount val="1"/>
                <c:pt idx="0">
                  <c:v>Cum P&amp;L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Hedge'!$F$12:$F$112</c:f>
              <c:numCache>
                <c:formatCode>#,##0.00</c:formatCode>
                <c:ptCount val="101"/>
                <c:pt idx="0">
                  <c:v>63.683058735763588</c:v>
                </c:pt>
                <c:pt idx="1">
                  <c:v>65.435708933699317</c:v>
                </c:pt>
                <c:pt idx="2">
                  <c:v>61.072407081455992</c:v>
                </c:pt>
                <c:pt idx="3">
                  <c:v>61.30201683091596</c:v>
                </c:pt>
                <c:pt idx="4">
                  <c:v>54.353285856561605</c:v>
                </c:pt>
                <c:pt idx="5">
                  <c:v>58.403686105987305</c:v>
                </c:pt>
                <c:pt idx="6">
                  <c:v>57.579087285557776</c:v>
                </c:pt>
                <c:pt idx="7">
                  <c:v>54.898566789802423</c:v>
                </c:pt>
                <c:pt idx="8">
                  <c:v>62.910878387306127</c:v>
                </c:pt>
                <c:pt idx="9">
                  <c:v>69.88131293617235</c:v>
                </c:pt>
                <c:pt idx="10">
                  <c:v>67.718253800402508</c:v>
                </c:pt>
                <c:pt idx="11">
                  <c:v>61.094046416877191</c:v>
                </c:pt>
                <c:pt idx="12">
                  <c:v>58.39970970438128</c:v>
                </c:pt>
                <c:pt idx="13">
                  <c:v>57.848637828844112</c:v>
                </c:pt>
                <c:pt idx="14">
                  <c:v>54.594021906191074</c:v>
                </c:pt>
                <c:pt idx="15">
                  <c:v>57.403312003208477</c:v>
                </c:pt>
                <c:pt idx="16">
                  <c:v>60.538012788800998</c:v>
                </c:pt>
                <c:pt idx="17">
                  <c:v>66.213352531419446</c:v>
                </c:pt>
                <c:pt idx="18">
                  <c:v>60.989552208681083</c:v>
                </c:pt>
                <c:pt idx="19">
                  <c:v>59.550021889648875</c:v>
                </c:pt>
                <c:pt idx="20">
                  <c:v>59.284963218239071</c:v>
                </c:pt>
                <c:pt idx="21">
                  <c:v>51.247218817139974</c:v>
                </c:pt>
                <c:pt idx="22">
                  <c:v>49.78525951709053</c:v>
                </c:pt>
                <c:pt idx="23">
                  <c:v>53.414567384609754</c:v>
                </c:pt>
                <c:pt idx="24">
                  <c:v>47.814486485389743</c:v>
                </c:pt>
                <c:pt idx="25">
                  <c:v>45.980181341617929</c:v>
                </c:pt>
                <c:pt idx="26">
                  <c:v>47.390914150554714</c:v>
                </c:pt>
                <c:pt idx="27">
                  <c:v>47.075068716267666</c:v>
                </c:pt>
                <c:pt idx="28">
                  <c:v>56.035848821216284</c:v>
                </c:pt>
                <c:pt idx="29">
                  <c:v>52.514372182996546</c:v>
                </c:pt>
                <c:pt idx="30">
                  <c:v>48.292858949048927</c:v>
                </c:pt>
                <c:pt idx="31">
                  <c:v>51.088930965877516</c:v>
                </c:pt>
                <c:pt idx="32">
                  <c:v>57.87613607715052</c:v>
                </c:pt>
                <c:pt idx="33">
                  <c:v>53.98915857095313</c:v>
                </c:pt>
                <c:pt idx="34">
                  <c:v>54.18867531767745</c:v>
                </c:pt>
                <c:pt idx="35">
                  <c:v>47.45548668830493</c:v>
                </c:pt>
                <c:pt idx="36">
                  <c:v>48.827061463827832</c:v>
                </c:pt>
                <c:pt idx="37">
                  <c:v>42.715154145412662</c:v>
                </c:pt>
                <c:pt idx="38">
                  <c:v>46.052205007541168</c:v>
                </c:pt>
                <c:pt idx="39">
                  <c:v>52.242454338698408</c:v>
                </c:pt>
                <c:pt idx="40">
                  <c:v>48.808066362095452</c:v>
                </c:pt>
                <c:pt idx="41">
                  <c:v>52.373547153603191</c:v>
                </c:pt>
                <c:pt idx="42">
                  <c:v>54.593652071020202</c:v>
                </c:pt>
                <c:pt idx="43">
                  <c:v>53.726123794802277</c:v>
                </c:pt>
                <c:pt idx="44">
                  <c:v>51.52811170539097</c:v>
                </c:pt>
                <c:pt idx="45">
                  <c:v>48.295961720102447</c:v>
                </c:pt>
                <c:pt idx="46">
                  <c:v>48.159036181057431</c:v>
                </c:pt>
                <c:pt idx="47">
                  <c:v>55.095054970250857</c:v>
                </c:pt>
                <c:pt idx="48">
                  <c:v>52.652442281115029</c:v>
                </c:pt>
                <c:pt idx="49">
                  <c:v>47.167170256039192</c:v>
                </c:pt>
                <c:pt idx="50">
                  <c:v>51.062794093725444</c:v>
                </c:pt>
                <c:pt idx="51">
                  <c:v>63.39916888406961</c:v>
                </c:pt>
                <c:pt idx="52">
                  <c:v>61.221534859012301</c:v>
                </c:pt>
                <c:pt idx="53">
                  <c:v>73.646928590341247</c:v>
                </c:pt>
                <c:pt idx="54">
                  <c:v>86.673357704996704</c:v>
                </c:pt>
                <c:pt idx="55">
                  <c:v>83.435425528664865</c:v>
                </c:pt>
                <c:pt idx="56">
                  <c:v>91.375375688792843</c:v>
                </c:pt>
                <c:pt idx="57">
                  <c:v>92.789852250388591</c:v>
                </c:pt>
                <c:pt idx="58">
                  <c:v>91.42896289199993</c:v>
                </c:pt>
                <c:pt idx="59">
                  <c:v>95.076384353353262</c:v>
                </c:pt>
                <c:pt idx="60">
                  <c:v>97.70261115134673</c:v>
                </c:pt>
                <c:pt idx="61">
                  <c:v>99.413327108428263</c:v>
                </c:pt>
                <c:pt idx="62">
                  <c:v>100.08680247812623</c:v>
                </c:pt>
                <c:pt idx="63">
                  <c:v>104.99355964725956</c:v>
                </c:pt>
                <c:pt idx="64">
                  <c:v>105.20354152514896</c:v>
                </c:pt>
                <c:pt idx="65">
                  <c:v>105.4967469037429</c:v>
                </c:pt>
                <c:pt idx="66">
                  <c:v>105.27224618139164</c:v>
                </c:pt>
                <c:pt idx="67">
                  <c:v>103.3831000088387</c:v>
                </c:pt>
                <c:pt idx="68">
                  <c:v>104.23412550497335</c:v>
                </c:pt>
                <c:pt idx="69">
                  <c:v>104.35263647160119</c:v>
                </c:pt>
                <c:pt idx="70">
                  <c:v>103.891935510672</c:v>
                </c:pt>
                <c:pt idx="71">
                  <c:v>102.09476723297313</c:v>
                </c:pt>
                <c:pt idx="72">
                  <c:v>100.20708851403096</c:v>
                </c:pt>
                <c:pt idx="73">
                  <c:v>104.90486160366557</c:v>
                </c:pt>
                <c:pt idx="74">
                  <c:v>104.95651475535244</c:v>
                </c:pt>
                <c:pt idx="75">
                  <c:v>104.10698353382882</c:v>
                </c:pt>
                <c:pt idx="76">
                  <c:v>104.75900877890093</c:v>
                </c:pt>
                <c:pt idx="77">
                  <c:v>103.14986569530426</c:v>
                </c:pt>
                <c:pt idx="78">
                  <c:v>102.22801274475421</c:v>
                </c:pt>
                <c:pt idx="79">
                  <c:v>99.674385888049798</c:v>
                </c:pt>
                <c:pt idx="80">
                  <c:v>105.85504861277778</c:v>
                </c:pt>
                <c:pt idx="81">
                  <c:v>106.9296334960501</c:v>
                </c:pt>
                <c:pt idx="82">
                  <c:v>106.85388311389018</c:v>
                </c:pt>
                <c:pt idx="83">
                  <c:v>104.02139272523509</c:v>
                </c:pt>
                <c:pt idx="84">
                  <c:v>106.86736999883215</c:v>
                </c:pt>
                <c:pt idx="85">
                  <c:v>106.76846971209828</c:v>
                </c:pt>
                <c:pt idx="86">
                  <c:v>104.91997381180369</c:v>
                </c:pt>
                <c:pt idx="87">
                  <c:v>100.77776591445499</c:v>
                </c:pt>
                <c:pt idx="88">
                  <c:v>100.26698085191049</c:v>
                </c:pt>
                <c:pt idx="89">
                  <c:v>93.51349565936944</c:v>
                </c:pt>
                <c:pt idx="90">
                  <c:v>101.30752291231617</c:v>
                </c:pt>
                <c:pt idx="91">
                  <c:v>98.991398237828577</c:v>
                </c:pt>
                <c:pt idx="92">
                  <c:v>103.32158120295824</c:v>
                </c:pt>
                <c:pt idx="93">
                  <c:v>99.075386975593801</c:v>
                </c:pt>
                <c:pt idx="94">
                  <c:v>101.89977726043965</c:v>
                </c:pt>
                <c:pt idx="95">
                  <c:v>104.17783840077919</c:v>
                </c:pt>
                <c:pt idx="96">
                  <c:v>90.165228915532964</c:v>
                </c:pt>
                <c:pt idx="97">
                  <c:v>100.12586702174696</c:v>
                </c:pt>
                <c:pt idx="98">
                  <c:v>91.887408603012148</c:v>
                </c:pt>
                <c:pt idx="99">
                  <c:v>98.70325964821987</c:v>
                </c:pt>
                <c:pt idx="100">
                  <c:v>110.68318698261494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934192"/>
        <c:axId val="-1002525520"/>
      </c:scatterChart>
      <c:scatterChart>
        <c:scatterStyle val="lineMarker"/>
        <c:varyColors val="0"/>
        <c:ser>
          <c:idx val="1"/>
          <c:order val="0"/>
          <c:tx>
            <c:strRef>
              <c:f>'Delta Hedge'!$I$11</c:f>
              <c:strCache>
                <c:ptCount val="1"/>
                <c:pt idx="0">
                  <c:v>Gamma_BS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Hedge'!$I$12:$I$112</c:f>
              <c:numCache>
                <c:formatCode>0.000</c:formatCode>
                <c:ptCount val="101"/>
                <c:pt idx="0">
                  <c:v>1.8762017505869651E-2</c:v>
                </c:pt>
                <c:pt idx="1">
                  <c:v>1.8362546210183257E-2</c:v>
                </c:pt>
                <c:pt idx="2">
                  <c:v>1.9654926301450357E-2</c:v>
                </c:pt>
                <c:pt idx="3">
                  <c:v>1.9698270433585342E-2</c:v>
                </c:pt>
                <c:pt idx="4">
                  <c:v>2.1272232564672953E-2</c:v>
                </c:pt>
                <c:pt idx="5">
                  <c:v>2.0616343904585364E-2</c:v>
                </c:pt>
                <c:pt idx="6">
                  <c:v>2.0894653864461373E-2</c:v>
                </c:pt>
                <c:pt idx="7">
                  <c:v>2.1506486798337495E-2</c:v>
                </c:pt>
                <c:pt idx="8">
                  <c:v>1.9898342970535096E-2</c:v>
                </c:pt>
                <c:pt idx="9">
                  <c:v>1.7936490633142156E-2</c:v>
                </c:pt>
                <c:pt idx="10">
                  <c:v>1.875781717897056E-2</c:v>
                </c:pt>
                <c:pt idx="11">
                  <c:v>2.0758667714323126E-2</c:v>
                </c:pt>
                <c:pt idx="12">
                  <c:v>2.1486773764199961E-2</c:v>
                </c:pt>
                <c:pt idx="13">
                  <c:v>2.1718363415326868E-2</c:v>
                </c:pt>
                <c:pt idx="14">
                  <c:v>2.242858044145702E-2</c:v>
                </c:pt>
                <c:pt idx="15">
                  <c:v>2.2058606637620999E-2</c:v>
                </c:pt>
                <c:pt idx="16">
                  <c:v>2.1513264249869674E-2</c:v>
                </c:pt>
                <c:pt idx="17">
                  <c:v>2.0131655817945262E-2</c:v>
                </c:pt>
                <c:pt idx="18">
                  <c:v>2.1695791288300105E-2</c:v>
                </c:pt>
                <c:pt idx="19">
                  <c:v>2.2160113777669896E-2</c:v>
                </c:pt>
                <c:pt idx="20">
                  <c:v>2.2352434540771376E-2</c:v>
                </c:pt>
                <c:pt idx="21">
                  <c:v>2.3802520028347769E-2</c:v>
                </c:pt>
                <c:pt idx="22">
                  <c:v>2.4066863660524591E-2</c:v>
                </c:pt>
                <c:pt idx="23">
                  <c:v>2.3835323842894912E-2</c:v>
                </c:pt>
                <c:pt idx="24">
                  <c:v>2.446234330392439E-2</c:v>
                </c:pt>
                <c:pt idx="25">
                  <c:v>2.4641165203760248E-2</c:v>
                </c:pt>
                <c:pt idx="26">
                  <c:v>2.4764632305953313E-2</c:v>
                </c:pt>
                <c:pt idx="27">
                  <c:v>2.4920416065166779E-2</c:v>
                </c:pt>
                <c:pt idx="28">
                  <c:v>2.4238810758389826E-2</c:v>
                </c:pt>
                <c:pt idx="29">
                  <c:v>2.488709302495061E-2</c:v>
                </c:pt>
                <c:pt idx="30">
                  <c:v>2.5358501825494855E-2</c:v>
                </c:pt>
                <c:pt idx="31">
                  <c:v>2.535748869098273E-2</c:v>
                </c:pt>
                <c:pt idx="32">
                  <c:v>2.4608377314754706E-2</c:v>
                </c:pt>
                <c:pt idx="33">
                  <c:v>2.5407475049610464E-2</c:v>
                </c:pt>
                <c:pt idx="34">
                  <c:v>2.5559899280938814E-2</c:v>
                </c:pt>
                <c:pt idx="35">
                  <c:v>2.6229804855623758E-2</c:v>
                </c:pt>
                <c:pt idx="36">
                  <c:v>2.6382279046686535E-2</c:v>
                </c:pt>
                <c:pt idx="37">
                  <c:v>2.6389121281526325E-2</c:v>
                </c:pt>
                <c:pt idx="38">
                  <c:v>2.677067664700317E-2</c:v>
                </c:pt>
                <c:pt idx="39">
                  <c:v>2.6762747981508583E-2</c:v>
                </c:pt>
                <c:pt idx="40">
                  <c:v>2.7165007517444526E-2</c:v>
                </c:pt>
                <c:pt idx="41">
                  <c:v>2.7170016208614513E-2</c:v>
                </c:pt>
                <c:pt idx="42">
                  <c:v>2.7145489743514679E-2</c:v>
                </c:pt>
                <c:pt idx="43">
                  <c:v>2.7472120380033261E-2</c:v>
                </c:pt>
                <c:pt idx="44">
                  <c:v>2.7902143195551371E-2</c:v>
                </c:pt>
                <c:pt idx="45">
                  <c:v>2.8260566942795943E-2</c:v>
                </c:pt>
                <c:pt idx="46">
                  <c:v>2.849628616861535E-2</c:v>
                </c:pt>
                <c:pt idx="47">
                  <c:v>2.8272336907815047E-2</c:v>
                </c:pt>
                <c:pt idx="48">
                  <c:v>2.8796300304281212E-2</c:v>
                </c:pt>
                <c:pt idx="49">
                  <c:v>2.9226329501925184E-2</c:v>
                </c:pt>
                <c:pt idx="50">
                  <c:v>2.9442198685123246E-2</c:v>
                </c:pt>
                <c:pt idx="51">
                  <c:v>2.7742394047975339E-2</c:v>
                </c:pt>
                <c:pt idx="52">
                  <c:v>2.8579757316368862E-2</c:v>
                </c:pt>
                <c:pt idx="53">
                  <c:v>2.480512678717478E-2</c:v>
                </c:pt>
                <c:pt idx="54">
                  <c:v>1.8344825106733853E-2</c:v>
                </c:pt>
                <c:pt idx="55">
                  <c:v>2.0572040735011583E-2</c:v>
                </c:pt>
                <c:pt idx="56">
                  <c:v>1.5766800762394836E-2</c:v>
                </c:pt>
                <c:pt idx="57">
                  <c:v>1.4964030645438497E-2</c:v>
                </c:pt>
                <c:pt idx="58">
                  <c:v>1.6202652135598371E-2</c:v>
                </c:pt>
                <c:pt idx="59">
                  <c:v>1.3669171175576035E-2</c:v>
                </c:pt>
                <c:pt idx="60">
                  <c:v>1.1715782875808139E-2</c:v>
                </c:pt>
                <c:pt idx="61">
                  <c:v>1.0410579549377096E-2</c:v>
                </c:pt>
                <c:pt idx="62">
                  <c:v>9.9855731207948509E-3</c:v>
                </c:pt>
                <c:pt idx="63">
                  <c:v>5.3573744938525516E-3</c:v>
                </c:pt>
                <c:pt idx="64">
                  <c:v>5.2714417931901177E-3</c:v>
                </c:pt>
                <c:pt idx="65">
                  <c:v>5.0894542164754177E-3</c:v>
                </c:pt>
                <c:pt idx="66">
                  <c:v>5.4933912241674947E-3</c:v>
                </c:pt>
                <c:pt idx="67">
                  <c:v>7.796034114516316E-3</c:v>
                </c:pt>
                <c:pt idx="68">
                  <c:v>7.0365126213215229E-3</c:v>
                </c:pt>
                <c:pt idx="69">
                  <c:v>7.0885220131319121E-3</c:v>
                </c:pt>
                <c:pt idx="70">
                  <c:v>7.8293990584368048E-3</c:v>
                </c:pt>
                <c:pt idx="71">
                  <c:v>1.0149399168857726E-2</c:v>
                </c:pt>
                <c:pt idx="72">
                  <c:v>1.2549459378915283E-2</c:v>
                </c:pt>
                <c:pt idx="73">
                  <c:v>7.3529425427903737E-3</c:v>
                </c:pt>
                <c:pt idx="74">
                  <c:v>7.5140003550132461E-3</c:v>
                </c:pt>
                <c:pt idx="75">
                  <c:v>8.8792028168971446E-3</c:v>
                </c:pt>
                <c:pt idx="76">
                  <c:v>8.280460345109637E-3</c:v>
                </c:pt>
                <c:pt idx="77">
                  <c:v>1.0752893956798969E-2</c:v>
                </c:pt>
                <c:pt idx="78">
                  <c:v>1.2329261453311464E-2</c:v>
                </c:pt>
                <c:pt idx="79">
                  <c:v>1.6068628580963987E-2</c:v>
                </c:pt>
                <c:pt idx="80">
                  <c:v>8.0203663030709461E-3</c:v>
                </c:pt>
                <c:pt idx="81">
                  <c:v>6.5883363560854911E-3</c:v>
                </c:pt>
                <c:pt idx="82">
                  <c:v>7.0172934698451333E-3</c:v>
                </c:pt>
                <c:pt idx="83">
                  <c:v>1.2163031005461055E-2</c:v>
                </c:pt>
                <c:pt idx="84">
                  <c:v>7.7679944131215208E-3</c:v>
                </c:pt>
                <c:pt idx="85">
                  <c:v>8.345533524550492E-3</c:v>
                </c:pt>
                <c:pt idx="86">
                  <c:v>1.2317206804639857E-2</c:v>
                </c:pt>
                <c:pt idx="87">
                  <c:v>2.0353432425973286E-2</c:v>
                </c:pt>
                <c:pt idx="88">
                  <c:v>2.2212839985070482E-2</c:v>
                </c:pt>
                <c:pt idx="89">
                  <c:v>3.4266579747536406E-2</c:v>
                </c:pt>
                <c:pt idx="90">
                  <c:v>2.2968571767588212E-2</c:v>
                </c:pt>
                <c:pt idx="91">
                  <c:v>2.8961604302923605E-2</c:v>
                </c:pt>
                <c:pt idx="92">
                  <c:v>2.1640451929383544E-2</c:v>
                </c:pt>
                <c:pt idx="93">
                  <c:v>3.3285043157441616E-2</c:v>
                </c:pt>
                <c:pt idx="94">
                  <c:v>2.9322645658853553E-2</c:v>
                </c:pt>
                <c:pt idx="95">
                  <c:v>2.5701398827412483E-2</c:v>
                </c:pt>
                <c:pt idx="96">
                  <c:v>6.7573751254083186E-2</c:v>
                </c:pt>
                <c:pt idx="97">
                  <c:v>4.9841868377272121E-2</c:v>
                </c:pt>
                <c:pt idx="98">
                  <c:v>9.1965040764242126E-2</c:v>
                </c:pt>
                <c:pt idx="99">
                  <c:v>9.6764189704680648E-2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2705616"/>
        <c:axId val="-1002703296"/>
      </c:scatterChart>
      <c:valAx>
        <c:axId val="-97093419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525520"/>
        <c:crosses val="autoZero"/>
        <c:crossBetween val="midCat"/>
      </c:valAx>
      <c:valAx>
        <c:axId val="-100252552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934192"/>
        <c:crosses val="autoZero"/>
        <c:crossBetween val="midCat"/>
      </c:valAx>
      <c:valAx>
        <c:axId val="-100270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2703296"/>
        <c:crosses val="autoZero"/>
        <c:crossBetween val="midCat"/>
      </c:valAx>
      <c:valAx>
        <c:axId val="-1002703296"/>
        <c:scaling>
          <c:orientation val="minMax"/>
        </c:scaling>
        <c:delete val="0"/>
        <c:axPos val="r"/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70561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106.05913065497754</c:v>
                </c:pt>
                <c:pt idx="2">
                  <c:v>108.86133945698943</c:v>
                </c:pt>
                <c:pt idx="3">
                  <c:v>106.71915066947629</c:v>
                </c:pt>
                <c:pt idx="4">
                  <c:v>107.10219052214622</c:v>
                </c:pt>
                <c:pt idx="5">
                  <c:v>107.2345641331967</c:v>
                </c:pt>
                <c:pt idx="6">
                  <c:v>108.71789023449425</c:v>
                </c:pt>
                <c:pt idx="7">
                  <c:v>108.5679628235071</c:v>
                </c:pt>
                <c:pt idx="8">
                  <c:v>108.01035611531945</c:v>
                </c:pt>
                <c:pt idx="9">
                  <c:v>106.90919715747205</c:v>
                </c:pt>
                <c:pt idx="10">
                  <c:v>105.21091691948398</c:v>
                </c:pt>
                <c:pt idx="11">
                  <c:v>106.55687375264074</c:v>
                </c:pt>
                <c:pt idx="12">
                  <c:v>106.27150971896603</c:v>
                </c:pt>
                <c:pt idx="13">
                  <c:v>106.28852612476101</c:v>
                </c:pt>
                <c:pt idx="14">
                  <c:v>110.92486936788501</c:v>
                </c:pt>
                <c:pt idx="15">
                  <c:v>110.69849403738593</c:v>
                </c:pt>
                <c:pt idx="16">
                  <c:v>111.42368430521698</c:v>
                </c:pt>
                <c:pt idx="17">
                  <c:v>110.74806131235003</c:v>
                </c:pt>
                <c:pt idx="18">
                  <c:v>113.79314612145266</c:v>
                </c:pt>
                <c:pt idx="19">
                  <c:v>113.26698401805409</c:v>
                </c:pt>
                <c:pt idx="20">
                  <c:v>118.05011129125134</c:v>
                </c:pt>
                <c:pt idx="21">
                  <c:v>120.33822753700005</c:v>
                </c:pt>
                <c:pt idx="22">
                  <c:v>116.90149916665912</c:v>
                </c:pt>
                <c:pt idx="23">
                  <c:v>111.84554079438578</c:v>
                </c:pt>
                <c:pt idx="24">
                  <c:v>109.44075947665736</c:v>
                </c:pt>
                <c:pt idx="25">
                  <c:v>109.57111608054947</c:v>
                </c:pt>
                <c:pt idx="26">
                  <c:v>109.17096020315992</c:v>
                </c:pt>
                <c:pt idx="27">
                  <c:v>107.28611444618382</c:v>
                </c:pt>
                <c:pt idx="28">
                  <c:v>104.37504661053859</c:v>
                </c:pt>
                <c:pt idx="29">
                  <c:v>107.2808847088057</c:v>
                </c:pt>
                <c:pt idx="30">
                  <c:v>107.72523741061501</c:v>
                </c:pt>
                <c:pt idx="31">
                  <c:v>103.4675431440088</c:v>
                </c:pt>
                <c:pt idx="32">
                  <c:v>103.94156383880787</c:v>
                </c:pt>
                <c:pt idx="33">
                  <c:v>104.70142153213469</c:v>
                </c:pt>
                <c:pt idx="34">
                  <c:v>106.0554466216135</c:v>
                </c:pt>
                <c:pt idx="35">
                  <c:v>110.7717111152209</c:v>
                </c:pt>
                <c:pt idx="36">
                  <c:v>113.63578185001649</c:v>
                </c:pt>
                <c:pt idx="37">
                  <c:v>118.41529523950531</c:v>
                </c:pt>
                <c:pt idx="38">
                  <c:v>124.1440796948097</c:v>
                </c:pt>
                <c:pt idx="39">
                  <c:v>120.3456056101456</c:v>
                </c:pt>
                <c:pt idx="40">
                  <c:v>121.25064076199224</c:v>
                </c:pt>
                <c:pt idx="41">
                  <c:v>119.93173747015612</c:v>
                </c:pt>
                <c:pt idx="42">
                  <c:v>120.83547852124042</c:v>
                </c:pt>
                <c:pt idx="43">
                  <c:v>123.09147704427784</c:v>
                </c:pt>
                <c:pt idx="44">
                  <c:v>124.0051598797219</c:v>
                </c:pt>
                <c:pt idx="45">
                  <c:v>120.99177807743155</c:v>
                </c:pt>
                <c:pt idx="46">
                  <c:v>116.47967722280387</c:v>
                </c:pt>
                <c:pt idx="47">
                  <c:v>109.54120200835705</c:v>
                </c:pt>
                <c:pt idx="48">
                  <c:v>108.30714373096494</c:v>
                </c:pt>
                <c:pt idx="49">
                  <c:v>109.57044145268056</c:v>
                </c:pt>
                <c:pt idx="50">
                  <c:v>111.71295461780345</c:v>
                </c:pt>
                <c:pt idx="51">
                  <c:v>112.45339155807028</c:v>
                </c:pt>
                <c:pt idx="52">
                  <c:v>110.99733436303991</c:v>
                </c:pt>
                <c:pt idx="53">
                  <c:v>110.40148213703804</c:v>
                </c:pt>
                <c:pt idx="54">
                  <c:v>108.90828425069409</c:v>
                </c:pt>
                <c:pt idx="55">
                  <c:v>110.44108907062883</c:v>
                </c:pt>
                <c:pt idx="56">
                  <c:v>109.97905753221011</c:v>
                </c:pt>
                <c:pt idx="57">
                  <c:v>110.67993773318585</c:v>
                </c:pt>
                <c:pt idx="58">
                  <c:v>106.34441385385719</c:v>
                </c:pt>
                <c:pt idx="59">
                  <c:v>100.15936564269802</c:v>
                </c:pt>
                <c:pt idx="60">
                  <c:v>98.939022832478713</c:v>
                </c:pt>
                <c:pt idx="61">
                  <c:v>101.91801518678581</c:v>
                </c:pt>
                <c:pt idx="62">
                  <c:v>101.87214095528601</c:v>
                </c:pt>
                <c:pt idx="63">
                  <c:v>99.71090129475175</c:v>
                </c:pt>
                <c:pt idx="64">
                  <c:v>104.9544751802416</c:v>
                </c:pt>
                <c:pt idx="65">
                  <c:v>105.24212012301021</c:v>
                </c:pt>
                <c:pt idx="66">
                  <c:v>101.47501917122223</c:v>
                </c:pt>
                <c:pt idx="67">
                  <c:v>106.49991578365356</c:v>
                </c:pt>
                <c:pt idx="68">
                  <c:v>109.96638632138836</c:v>
                </c:pt>
                <c:pt idx="69">
                  <c:v>113.78809697470011</c:v>
                </c:pt>
                <c:pt idx="70">
                  <c:v>116.2821774383364</c:v>
                </c:pt>
                <c:pt idx="71">
                  <c:v>117.50297968936192</c:v>
                </c:pt>
                <c:pt idx="72">
                  <c:v>113.24816845649634</c:v>
                </c:pt>
                <c:pt idx="73">
                  <c:v>110.79414889613163</c:v>
                </c:pt>
                <c:pt idx="74">
                  <c:v>111.22719606097314</c:v>
                </c:pt>
                <c:pt idx="75">
                  <c:v>110.77347776936244</c:v>
                </c:pt>
                <c:pt idx="76">
                  <c:v>111.90221390925269</c:v>
                </c:pt>
                <c:pt idx="77">
                  <c:v>114.56326317074326</c:v>
                </c:pt>
                <c:pt idx="78">
                  <c:v>114.83719708820915</c:v>
                </c:pt>
                <c:pt idx="79">
                  <c:v>114.37527472171878</c:v>
                </c:pt>
                <c:pt idx="80">
                  <c:v>112.95672277478415</c:v>
                </c:pt>
                <c:pt idx="81">
                  <c:v>116.50197644978921</c:v>
                </c:pt>
                <c:pt idx="82">
                  <c:v>118.89814378143119</c:v>
                </c:pt>
                <c:pt idx="83">
                  <c:v>116.0321139716734</c:v>
                </c:pt>
                <c:pt idx="84">
                  <c:v>120.22687215990148</c:v>
                </c:pt>
                <c:pt idx="85">
                  <c:v>124.46481814394913</c:v>
                </c:pt>
                <c:pt idx="86">
                  <c:v>129.94725962589058</c:v>
                </c:pt>
                <c:pt idx="87">
                  <c:v>129.12397958294642</c:v>
                </c:pt>
                <c:pt idx="88">
                  <c:v>133.79773426985153</c:v>
                </c:pt>
                <c:pt idx="89">
                  <c:v>131.47681905978453</c:v>
                </c:pt>
                <c:pt idx="90">
                  <c:v>128.89964543892808</c:v>
                </c:pt>
                <c:pt idx="91">
                  <c:v>126.6865261444003</c:v>
                </c:pt>
                <c:pt idx="92">
                  <c:v>119.45367182596036</c:v>
                </c:pt>
                <c:pt idx="93">
                  <c:v>118.97948641494825</c:v>
                </c:pt>
                <c:pt idx="94">
                  <c:v>118.25602013783167</c:v>
                </c:pt>
                <c:pt idx="95">
                  <c:v>115.35339862233778</c:v>
                </c:pt>
                <c:pt idx="96">
                  <c:v>112.08997894589852</c:v>
                </c:pt>
                <c:pt idx="97">
                  <c:v>115.25572776734819</c:v>
                </c:pt>
                <c:pt idx="98">
                  <c:v>111.60876476114576</c:v>
                </c:pt>
                <c:pt idx="99">
                  <c:v>115.11973815232247</c:v>
                </c:pt>
                <c:pt idx="100">
                  <c:v>117.97809795211961</c:v>
                </c:pt>
                <c:pt idx="101">
                  <c:v>117.5570804139016</c:v>
                </c:pt>
                <c:pt idx="102">
                  <c:v>119.23513566865309</c:v>
                </c:pt>
                <c:pt idx="103">
                  <c:v>116.51138124369722</c:v>
                </c:pt>
                <c:pt idx="104">
                  <c:v>114.63227807810428</c:v>
                </c:pt>
                <c:pt idx="105">
                  <c:v>116.40284731893871</c:v>
                </c:pt>
                <c:pt idx="106">
                  <c:v>119.30290622271339</c:v>
                </c:pt>
                <c:pt idx="107">
                  <c:v>122.68863544557311</c:v>
                </c:pt>
                <c:pt idx="108">
                  <c:v>121.94478629402447</c:v>
                </c:pt>
                <c:pt idx="109">
                  <c:v>121.64014185281802</c:v>
                </c:pt>
                <c:pt idx="110">
                  <c:v>119.02530393829565</c:v>
                </c:pt>
                <c:pt idx="111">
                  <c:v>122.5208794289036</c:v>
                </c:pt>
                <c:pt idx="112">
                  <c:v>119.31888846349622</c:v>
                </c:pt>
                <c:pt idx="113">
                  <c:v>119.07797117336861</c:v>
                </c:pt>
                <c:pt idx="114">
                  <c:v>117.27260435446074</c:v>
                </c:pt>
                <c:pt idx="115">
                  <c:v>114.83278774482534</c:v>
                </c:pt>
                <c:pt idx="116">
                  <c:v>119.28863809233637</c:v>
                </c:pt>
                <c:pt idx="117">
                  <c:v>118.33750082024432</c:v>
                </c:pt>
                <c:pt idx="118">
                  <c:v>117.34484602378278</c:v>
                </c:pt>
                <c:pt idx="119">
                  <c:v>117.1100319779343</c:v>
                </c:pt>
                <c:pt idx="120">
                  <c:v>121.35659113551688</c:v>
                </c:pt>
                <c:pt idx="121">
                  <c:v>118.68999648482055</c:v>
                </c:pt>
                <c:pt idx="122">
                  <c:v>121.55565987051916</c:v>
                </c:pt>
                <c:pt idx="123">
                  <c:v>120.13852308777588</c:v>
                </c:pt>
                <c:pt idx="124">
                  <c:v>115.63063381562526</c:v>
                </c:pt>
                <c:pt idx="125">
                  <c:v>118.74633419380368</c:v>
                </c:pt>
                <c:pt idx="126">
                  <c:v>117.61185902190168</c:v>
                </c:pt>
                <c:pt idx="127">
                  <c:v>114.31656279326657</c:v>
                </c:pt>
                <c:pt idx="128">
                  <c:v>116.70062180811234</c:v>
                </c:pt>
                <c:pt idx="129">
                  <c:v>116.72900754125816</c:v>
                </c:pt>
                <c:pt idx="130">
                  <c:v>118.42599677768216</c:v>
                </c:pt>
                <c:pt idx="131">
                  <c:v>118.2154608990713</c:v>
                </c:pt>
                <c:pt idx="132">
                  <c:v>120.19761210566226</c:v>
                </c:pt>
                <c:pt idx="133">
                  <c:v>116.27267170368962</c:v>
                </c:pt>
                <c:pt idx="134">
                  <c:v>121.39891498933254</c:v>
                </c:pt>
                <c:pt idx="135">
                  <c:v>121.48537594196782</c:v>
                </c:pt>
                <c:pt idx="136">
                  <c:v>124.47841524035418</c:v>
                </c:pt>
                <c:pt idx="137">
                  <c:v>121.78500608688613</c:v>
                </c:pt>
                <c:pt idx="138">
                  <c:v>123.00957534928719</c:v>
                </c:pt>
                <c:pt idx="139">
                  <c:v>126.01200494893925</c:v>
                </c:pt>
                <c:pt idx="140">
                  <c:v>130.7989637328435</c:v>
                </c:pt>
                <c:pt idx="141">
                  <c:v>128.27156853192432</c:v>
                </c:pt>
                <c:pt idx="142">
                  <c:v>133.27809062638954</c:v>
                </c:pt>
                <c:pt idx="143">
                  <c:v>138.50541972194603</c:v>
                </c:pt>
                <c:pt idx="144">
                  <c:v>144.58617377835523</c:v>
                </c:pt>
                <c:pt idx="145">
                  <c:v>144.91669080834856</c:v>
                </c:pt>
                <c:pt idx="146">
                  <c:v>147.36964793510575</c:v>
                </c:pt>
                <c:pt idx="147">
                  <c:v>146.30115193002882</c:v>
                </c:pt>
                <c:pt idx="148">
                  <c:v>147.5715434823685</c:v>
                </c:pt>
                <c:pt idx="149">
                  <c:v>148.14036839083033</c:v>
                </c:pt>
                <c:pt idx="150">
                  <c:v>150.58706980213677</c:v>
                </c:pt>
                <c:pt idx="151">
                  <c:v>153.75801318170053</c:v>
                </c:pt>
                <c:pt idx="152">
                  <c:v>157.84987274338275</c:v>
                </c:pt>
                <c:pt idx="153">
                  <c:v>156.86006865064934</c:v>
                </c:pt>
                <c:pt idx="154">
                  <c:v>156.26286406843212</c:v>
                </c:pt>
                <c:pt idx="155">
                  <c:v>152.60640079379084</c:v>
                </c:pt>
                <c:pt idx="156">
                  <c:v>149.37427169333321</c:v>
                </c:pt>
                <c:pt idx="157">
                  <c:v>144.95733985787683</c:v>
                </c:pt>
                <c:pt idx="158">
                  <c:v>142.33788829351789</c:v>
                </c:pt>
                <c:pt idx="159">
                  <c:v>147.14023384958321</c:v>
                </c:pt>
                <c:pt idx="160">
                  <c:v>151.23857853085323</c:v>
                </c:pt>
                <c:pt idx="161">
                  <c:v>145.25085441360011</c:v>
                </c:pt>
                <c:pt idx="162">
                  <c:v>143.27422725866916</c:v>
                </c:pt>
                <c:pt idx="163">
                  <c:v>143.29220844588508</c:v>
                </c:pt>
                <c:pt idx="164">
                  <c:v>142.20921028529705</c:v>
                </c:pt>
                <c:pt idx="165">
                  <c:v>146.94884348314875</c:v>
                </c:pt>
                <c:pt idx="166">
                  <c:v>153.71652125472266</c:v>
                </c:pt>
                <c:pt idx="167">
                  <c:v>160.19479267184627</c:v>
                </c:pt>
                <c:pt idx="168">
                  <c:v>158.70952833779418</c:v>
                </c:pt>
                <c:pt idx="169">
                  <c:v>170.30998392577271</c:v>
                </c:pt>
                <c:pt idx="170">
                  <c:v>171.63558117000755</c:v>
                </c:pt>
                <c:pt idx="171">
                  <c:v>170.00346032271284</c:v>
                </c:pt>
                <c:pt idx="172">
                  <c:v>171.16730147043489</c:v>
                </c:pt>
                <c:pt idx="173">
                  <c:v>169.47460049591555</c:v>
                </c:pt>
                <c:pt idx="174">
                  <c:v>168.11565651384552</c:v>
                </c:pt>
                <c:pt idx="175">
                  <c:v>163.78255783117424</c:v>
                </c:pt>
                <c:pt idx="176">
                  <c:v>162.87070134464082</c:v>
                </c:pt>
                <c:pt idx="177">
                  <c:v>164.26351787301428</c:v>
                </c:pt>
                <c:pt idx="178">
                  <c:v>161.0187521631544</c:v>
                </c:pt>
                <c:pt idx="179">
                  <c:v>165.49016308057313</c:v>
                </c:pt>
                <c:pt idx="180">
                  <c:v>164.75280893463926</c:v>
                </c:pt>
                <c:pt idx="181">
                  <c:v>166.12964066319012</c:v>
                </c:pt>
                <c:pt idx="182">
                  <c:v>160.16737865734277</c:v>
                </c:pt>
                <c:pt idx="183">
                  <c:v>161.60396636251483</c:v>
                </c:pt>
                <c:pt idx="184">
                  <c:v>158.50996786013485</c:v>
                </c:pt>
                <c:pt idx="185">
                  <c:v>153.13722512837518</c:v>
                </c:pt>
                <c:pt idx="186">
                  <c:v>152.46588954599298</c:v>
                </c:pt>
                <c:pt idx="187">
                  <c:v>153.19700761916263</c:v>
                </c:pt>
                <c:pt idx="188">
                  <c:v>153.26386671522468</c:v>
                </c:pt>
                <c:pt idx="189">
                  <c:v>154.95058365554672</c:v>
                </c:pt>
                <c:pt idx="190">
                  <c:v>155.59973381111482</c:v>
                </c:pt>
                <c:pt idx="191">
                  <c:v>154.76881391054368</c:v>
                </c:pt>
                <c:pt idx="192">
                  <c:v>159.31313609134997</c:v>
                </c:pt>
                <c:pt idx="193">
                  <c:v>153.97831093331632</c:v>
                </c:pt>
                <c:pt idx="194">
                  <c:v>157.40283497053017</c:v>
                </c:pt>
                <c:pt idx="195">
                  <c:v>162.07803006930698</c:v>
                </c:pt>
                <c:pt idx="196">
                  <c:v>159.69229647209164</c:v>
                </c:pt>
                <c:pt idx="197">
                  <c:v>162.47555156250942</c:v>
                </c:pt>
                <c:pt idx="198">
                  <c:v>162.78337858552555</c:v>
                </c:pt>
                <c:pt idx="199">
                  <c:v>159.68270185243696</c:v>
                </c:pt>
                <c:pt idx="200">
                  <c:v>159.76442960543957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71488"/>
        <c:axId val="-968669168"/>
      </c:scatterChart>
      <c:scatterChart>
        <c:scatterStyle val="lineMarker"/>
        <c:varyColors val="0"/>
        <c:ser>
          <c:idx val="1"/>
          <c:order val="1"/>
          <c:tx>
            <c:strRef>
              <c:f>'P&amp;L Study'!$G$10</c:f>
              <c:strCache>
                <c:ptCount val="1"/>
                <c:pt idx="0">
                  <c:v>P&amp;L cumulative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Study'!$G$11:$G$211</c:f>
              <c:numCache>
                <c:formatCode>0.00</c:formatCode>
                <c:ptCount val="201"/>
                <c:pt idx="0">
                  <c:v>0</c:v>
                </c:pt>
                <c:pt idx="1">
                  <c:v>0.32272000820685776</c:v>
                </c:pt>
                <c:pt idx="2">
                  <c:v>0.36782332412398944</c:v>
                </c:pt>
                <c:pt idx="3">
                  <c:v>0.38524863161069334</c:v>
                </c:pt>
                <c:pt idx="4">
                  <c:v>0.36783206923443146</c:v>
                </c:pt>
                <c:pt idx="5">
                  <c:v>0.3493981690234591</c:v>
                </c:pt>
                <c:pt idx="6">
                  <c:v>0.34853635496452284</c:v>
                </c:pt>
                <c:pt idx="7">
                  <c:v>0.33053965016945597</c:v>
                </c:pt>
                <c:pt idx="8">
                  <c:v>0.31462506133374291</c:v>
                </c:pt>
                <c:pt idx="9">
                  <c:v>0.30571565878878459</c:v>
                </c:pt>
                <c:pt idx="10">
                  <c:v>0.31096193251317317</c:v>
                </c:pt>
                <c:pt idx="11">
                  <c:v>0.30734046757527267</c:v>
                </c:pt>
                <c:pt idx="12">
                  <c:v>0.28890964730501167</c:v>
                </c:pt>
                <c:pt idx="13">
                  <c:v>0.26969603115572482</c:v>
                </c:pt>
                <c:pt idx="14">
                  <c:v>0.42475644891359821</c:v>
                </c:pt>
                <c:pt idx="15">
                  <c:v>0.40751117398130532</c:v>
                </c:pt>
                <c:pt idx="16">
                  <c:v>0.39379391852183687</c:v>
                </c:pt>
                <c:pt idx="17">
                  <c:v>0.37943341322032609</c:v>
                </c:pt>
                <c:pt idx="18">
                  <c:v>0.42687274681183851</c:v>
                </c:pt>
                <c:pt idx="19">
                  <c:v>0.41214528383004279</c:v>
                </c:pt>
                <c:pt idx="20">
                  <c:v>0.53449696532094038</c:v>
                </c:pt>
                <c:pt idx="21">
                  <c:v>0.54681123118845676</c:v>
                </c:pt>
                <c:pt idx="22">
                  <c:v>0.58852998201447804</c:v>
                </c:pt>
                <c:pt idx="23">
                  <c:v>0.72285942267426151</c:v>
                </c:pt>
                <c:pt idx="24">
                  <c:v>0.74657162303820712</c:v>
                </c:pt>
                <c:pt idx="25">
                  <c:v>0.72817737910628466</c:v>
                </c:pt>
                <c:pt idx="26">
                  <c:v>0.71077015383227149</c:v>
                </c:pt>
                <c:pt idx="27">
                  <c:v>0.72034431790737585</c:v>
                </c:pt>
                <c:pt idx="28">
                  <c:v>0.77523543284866747</c:v>
                </c:pt>
                <c:pt idx="29">
                  <c:v>0.83237220094900266</c:v>
                </c:pt>
                <c:pt idx="30">
                  <c:v>0.81447266387854711</c:v>
                </c:pt>
                <c:pt idx="31">
                  <c:v>0.95580882049027593</c:v>
                </c:pt>
                <c:pt idx="32">
                  <c:v>0.93710102361303882</c:v>
                </c:pt>
                <c:pt idx="33">
                  <c:v>0.92182548615141968</c:v>
                </c:pt>
                <c:pt idx="34">
                  <c:v>0.91837952409624535</c:v>
                </c:pt>
                <c:pt idx="35">
                  <c:v>1.0897215031872349</c:v>
                </c:pt>
                <c:pt idx="36">
                  <c:v>1.1314079452218948</c:v>
                </c:pt>
                <c:pt idx="37">
                  <c:v>1.2541868799474543</c:v>
                </c:pt>
                <c:pt idx="38">
                  <c:v>1.3892010956709555</c:v>
                </c:pt>
                <c:pt idx="39">
                  <c:v>1.4310407228824147</c:v>
                </c:pt>
                <c:pt idx="40">
                  <c:v>1.4223601138538129</c:v>
                </c:pt>
                <c:pt idx="41">
                  <c:v>1.4170205896872687</c:v>
                </c:pt>
                <c:pt idx="42">
                  <c:v>1.4081756420661833</c:v>
                </c:pt>
                <c:pt idx="43">
                  <c:v>1.417727943553686</c:v>
                </c:pt>
                <c:pt idx="44">
                  <c:v>1.4101958509094601</c:v>
                </c:pt>
                <c:pt idx="45">
                  <c:v>1.4317936097187527</c:v>
                </c:pt>
                <c:pt idx="46">
                  <c:v>1.5126510118919043</c:v>
                </c:pt>
                <c:pt idx="47">
                  <c:v>1.8055912777134182</c:v>
                </c:pt>
                <c:pt idx="48">
                  <c:v>1.7984058477134397</c:v>
                </c:pt>
                <c:pt idx="49">
                  <c:v>1.7922377066552286</c:v>
                </c:pt>
                <c:pt idx="50">
                  <c:v>1.8099738055676795</c:v>
                </c:pt>
                <c:pt idx="51">
                  <c:v>1.795987344669399</c:v>
                </c:pt>
                <c:pt idx="52">
                  <c:v>1.792957150259781</c:v>
                </c:pt>
                <c:pt idx="53">
                  <c:v>1.7766168735679742</c:v>
                </c:pt>
                <c:pt idx="54">
                  <c:v>1.7749645385204644</c:v>
                </c:pt>
                <c:pt idx="55">
                  <c:v>1.7750516374221945</c:v>
                </c:pt>
                <c:pt idx="56">
                  <c:v>1.7572478026303742</c:v>
                </c:pt>
                <c:pt idx="57">
                  <c:v>1.7418684128412991</c:v>
                </c:pt>
                <c:pt idx="58">
                  <c:v>1.8808504555462093</c:v>
                </c:pt>
                <c:pt idx="59">
                  <c:v>2.2561970436062211</c:v>
                </c:pt>
                <c:pt idx="60">
                  <c:v>2.2508295140704178</c:v>
                </c:pt>
                <c:pt idx="61">
                  <c:v>2.3313164074186972</c:v>
                </c:pt>
                <c:pt idx="62">
                  <c:v>2.3080888784937414</c:v>
                </c:pt>
                <c:pt idx="63">
                  <c:v>2.3390321104400726</c:v>
                </c:pt>
                <c:pt idx="64">
                  <c:v>2.6308915386548293</c:v>
                </c:pt>
                <c:pt idx="65">
                  <c:v>2.6091630333764328</c:v>
                </c:pt>
                <c:pt idx="66">
                  <c:v>2.7390262565239425</c:v>
                </c:pt>
                <c:pt idx="67">
                  <c:v>2.9956244088686503</c:v>
                </c:pt>
                <c:pt idx="68">
                  <c:v>3.0877663050278272</c:v>
                </c:pt>
                <c:pt idx="69">
                  <c:v>3.1850967207792849</c:v>
                </c:pt>
                <c:pt idx="70">
                  <c:v>3.2096644523282265</c:v>
                </c:pt>
                <c:pt idx="71">
                  <c:v>3.2034672117152354</c:v>
                </c:pt>
                <c:pt idx="72">
                  <c:v>3.2933438650567695</c:v>
                </c:pt>
                <c:pt idx="73">
                  <c:v>3.3188753404009503</c:v>
                </c:pt>
                <c:pt idx="74">
                  <c:v>3.3008464448829784</c:v>
                </c:pt>
                <c:pt idx="75">
                  <c:v>3.2827323291905373</c:v>
                </c:pt>
                <c:pt idx="76">
                  <c:v>3.2737585900002131</c:v>
                </c:pt>
                <c:pt idx="77">
                  <c:v>3.3084130867540722</c:v>
                </c:pt>
                <c:pt idx="78">
                  <c:v>3.2921522959412499</c:v>
                </c:pt>
                <c:pt idx="79">
                  <c:v>3.2764966109913587</c:v>
                </c:pt>
                <c:pt idx="80">
                  <c:v>3.2722321130793688</c:v>
                </c:pt>
                <c:pt idx="81">
                  <c:v>3.3416866049449254</c:v>
                </c:pt>
                <c:pt idx="82">
                  <c:v>3.3593537561725242</c:v>
                </c:pt>
                <c:pt idx="83">
                  <c:v>3.386560932864171</c:v>
                </c:pt>
                <c:pt idx="84">
                  <c:v>3.4687996230903479</c:v>
                </c:pt>
                <c:pt idx="85">
                  <c:v>3.5284699274929494</c:v>
                </c:pt>
                <c:pt idx="86">
                  <c:v>3.5980757963145038</c:v>
                </c:pt>
                <c:pt idx="87">
                  <c:v>3.5934598665919992</c:v>
                </c:pt>
                <c:pt idx="88">
                  <c:v>3.6242493098772712</c:v>
                </c:pt>
                <c:pt idx="89">
                  <c:v>3.6262865086749798</c:v>
                </c:pt>
                <c:pt idx="90">
                  <c:v>3.6309348569951965</c:v>
                </c:pt>
                <c:pt idx="91">
                  <c:v>3.633779889169972</c:v>
                </c:pt>
                <c:pt idx="92">
                  <c:v>3.7765813647289548</c:v>
                </c:pt>
                <c:pt idx="93">
                  <c:v>3.7647018865536097</c:v>
                </c:pt>
                <c:pt idx="94">
                  <c:v>3.7536912187613609</c:v>
                </c:pt>
                <c:pt idx="95">
                  <c:v>3.783294556320854</c:v>
                </c:pt>
                <c:pt idx="96">
                  <c:v>3.8369988044823771</c:v>
                </c:pt>
                <c:pt idx="97">
                  <c:v>3.8942995575135058</c:v>
                </c:pt>
                <c:pt idx="98">
                  <c:v>3.9673418212029787</c:v>
                </c:pt>
                <c:pt idx="99">
                  <c:v>4.0441855721738449</c:v>
                </c:pt>
                <c:pt idx="100">
                  <c:v>4.0787489058537716</c:v>
                </c:pt>
                <c:pt idx="101">
                  <c:v>4.0656008555424989</c:v>
                </c:pt>
                <c:pt idx="102">
                  <c:v>4.0670528915966315</c:v>
                </c:pt>
                <c:pt idx="103">
                  <c:v>4.0885704867678072</c:v>
                </c:pt>
                <c:pt idx="104">
                  <c:v>4.0930016751306084</c:v>
                </c:pt>
                <c:pt idx="105">
                  <c:v>4.0974872828165587</c:v>
                </c:pt>
                <c:pt idx="106">
                  <c:v>4.1295483747695414</c:v>
                </c:pt>
                <c:pt idx="107">
                  <c:v>4.1657308173758736</c:v>
                </c:pt>
                <c:pt idx="108">
                  <c:v>4.1579483797165295</c:v>
                </c:pt>
                <c:pt idx="109">
                  <c:v>4.1484582486858415</c:v>
                </c:pt>
                <c:pt idx="110">
                  <c:v>4.1622611573077677</c:v>
                </c:pt>
                <c:pt idx="111">
                  <c:v>4.2018523013459657</c:v>
                </c:pt>
                <c:pt idx="112">
                  <c:v>4.2259658475109347</c:v>
                </c:pt>
                <c:pt idx="113">
                  <c:v>4.2141489607623868</c:v>
                </c:pt>
                <c:pt idx="114">
                  <c:v>4.2155783901917232</c:v>
                </c:pt>
                <c:pt idx="115">
                  <c:v>4.2327621445787571</c:v>
                </c:pt>
                <c:pt idx="116">
                  <c:v>4.3345119563199574</c:v>
                </c:pt>
                <c:pt idx="117">
                  <c:v>4.3259113327082162</c:v>
                </c:pt>
                <c:pt idx="118">
                  <c:v>4.3170220422672543</c:v>
                </c:pt>
                <c:pt idx="119">
                  <c:v>4.3033418078229602</c:v>
                </c:pt>
                <c:pt idx="120">
                  <c:v>4.3757323608181196</c:v>
                </c:pt>
                <c:pt idx="121">
                  <c:v>4.3899249111783121</c:v>
                </c:pt>
                <c:pt idx="122">
                  <c:v>4.4134121464542773</c:v>
                </c:pt>
                <c:pt idx="123">
                  <c:v>4.4099506525793402</c:v>
                </c:pt>
                <c:pt idx="124">
                  <c:v>4.4844800850673607</c:v>
                </c:pt>
                <c:pt idx="125">
                  <c:v>4.5249223003279582</c:v>
                </c:pt>
                <c:pt idx="126">
                  <c:v>4.5178312637385147</c:v>
                </c:pt>
                <c:pt idx="127">
                  <c:v>4.560207226544577</c:v>
                </c:pt>
                <c:pt idx="128">
                  <c:v>4.5815865661400323</c:v>
                </c:pt>
                <c:pt idx="129">
                  <c:v>4.5676899316825939</c:v>
                </c:pt>
                <c:pt idx="130">
                  <c:v>4.5700625116170812</c:v>
                </c:pt>
                <c:pt idx="131">
                  <c:v>4.5584535706882008</c:v>
                </c:pt>
                <c:pt idx="132">
                  <c:v>4.5647654216160873</c:v>
                </c:pt>
                <c:pt idx="133">
                  <c:v>4.6128094088928435</c:v>
                </c:pt>
                <c:pt idx="134">
                  <c:v>4.7217916658869115</c:v>
                </c:pt>
                <c:pt idx="135">
                  <c:v>4.7141154773221672</c:v>
                </c:pt>
                <c:pt idx="136">
                  <c:v>4.7303999216247945</c:v>
                </c:pt>
                <c:pt idx="137">
                  <c:v>4.7378885759350737</c:v>
                </c:pt>
                <c:pt idx="138">
                  <c:v>4.7355118903872579</c:v>
                </c:pt>
                <c:pt idx="139">
                  <c:v>4.747992835617282</c:v>
                </c:pt>
                <c:pt idx="140">
                  <c:v>4.7689895120948051</c:v>
                </c:pt>
                <c:pt idx="141">
                  <c:v>4.7707592166925537</c:v>
                </c:pt>
                <c:pt idx="142">
                  <c:v>4.7852128436454251</c:v>
                </c:pt>
                <c:pt idx="143">
                  <c:v>4.7911293185921124</c:v>
                </c:pt>
                <c:pt idx="144">
                  <c:v>4.7937812429576923</c:v>
                </c:pt>
                <c:pt idx="145">
                  <c:v>4.7941862030652942</c:v>
                </c:pt>
                <c:pt idx="146">
                  <c:v>4.7947124225577227</c:v>
                </c:pt>
                <c:pt idx="147">
                  <c:v>4.7951582598302451</c:v>
                </c:pt>
                <c:pt idx="148">
                  <c:v>4.7956231408686278</c:v>
                </c:pt>
                <c:pt idx="149">
                  <c:v>4.7960828695550504</c:v>
                </c:pt>
                <c:pt idx="150">
                  <c:v>4.7965748995848116</c:v>
                </c:pt>
                <c:pt idx="151">
                  <c:v>4.7970663306421386</c:v>
                </c:pt>
                <c:pt idx="152">
                  <c:v>4.7975529634376244</c:v>
                </c:pt>
                <c:pt idx="153">
                  <c:v>4.7980319644284322</c:v>
                </c:pt>
                <c:pt idx="154">
                  <c:v>4.7985109402972057</c:v>
                </c:pt>
                <c:pt idx="155">
                  <c:v>4.7989920066285521</c:v>
                </c:pt>
                <c:pt idx="156">
                  <c:v>4.7994736554601332</c:v>
                </c:pt>
                <c:pt idx="157">
                  <c:v>4.7999713814265164</c:v>
                </c:pt>
                <c:pt idx="158">
                  <c:v>4.8004542420461149</c:v>
                </c:pt>
                <c:pt idx="159">
                  <c:v>4.8010237433182681</c:v>
                </c:pt>
                <c:pt idx="160">
                  <c:v>4.8015153909561263</c:v>
                </c:pt>
                <c:pt idx="161">
                  <c:v>4.8020070272517472</c:v>
                </c:pt>
                <c:pt idx="162">
                  <c:v>4.8024840408044867</c:v>
                </c:pt>
                <c:pt idx="163">
                  <c:v>4.8029560730219458</c:v>
                </c:pt>
                <c:pt idx="164">
                  <c:v>4.8034292723349239</c:v>
                </c:pt>
                <c:pt idx="165">
                  <c:v>4.8039370540532786</c:v>
                </c:pt>
                <c:pt idx="166">
                  <c:v>4.8044236554115258</c:v>
                </c:pt>
                <c:pt idx="167">
                  <c:v>4.8049043751761928</c:v>
                </c:pt>
                <c:pt idx="168">
                  <c:v>4.8053848872541494</c:v>
                </c:pt>
                <c:pt idx="169">
                  <c:v>4.8058654727428518</c:v>
                </c:pt>
                <c:pt idx="170">
                  <c:v>4.8063460833196672</c:v>
                </c:pt>
                <c:pt idx="171">
                  <c:v>4.8068267419590853</c:v>
                </c:pt>
                <c:pt idx="172">
                  <c:v>4.807307448668027</c:v>
                </c:pt>
                <c:pt idx="173">
                  <c:v>4.8077882034498742</c:v>
                </c:pt>
                <c:pt idx="174">
                  <c:v>4.8082690063096294</c:v>
                </c:pt>
                <c:pt idx="175">
                  <c:v>4.8087498572528204</c:v>
                </c:pt>
                <c:pt idx="176">
                  <c:v>4.8092307562816927</c:v>
                </c:pt>
                <c:pt idx="177">
                  <c:v>4.809711703404318</c:v>
                </c:pt>
                <c:pt idx="178">
                  <c:v>4.8101926986239505</c:v>
                </c:pt>
                <c:pt idx="179">
                  <c:v>4.8106737419462462</c:v>
                </c:pt>
                <c:pt idx="180">
                  <c:v>4.8111548333746157</c:v>
                </c:pt>
                <c:pt idx="181">
                  <c:v>4.8116359729145586</c:v>
                </c:pt>
                <c:pt idx="182">
                  <c:v>4.8121171605708213</c:v>
                </c:pt>
                <c:pt idx="183">
                  <c:v>4.8125983963482639</c:v>
                </c:pt>
                <c:pt idx="184">
                  <c:v>4.8130796802517182</c:v>
                </c:pt>
                <c:pt idx="185">
                  <c:v>4.8135610122859589</c:v>
                </c:pt>
                <c:pt idx="186">
                  <c:v>4.8140423924557751</c:v>
                </c:pt>
                <c:pt idx="187">
                  <c:v>4.8145238207660555</c:v>
                </c:pt>
                <c:pt idx="188">
                  <c:v>4.8150052972215605</c:v>
                </c:pt>
                <c:pt idx="189">
                  <c:v>4.8154868218271218</c:v>
                </c:pt>
                <c:pt idx="190">
                  <c:v>4.8159683945875429</c:v>
                </c:pt>
                <c:pt idx="191">
                  <c:v>4.8164500155076411</c:v>
                </c:pt>
                <c:pt idx="192">
                  <c:v>4.8169316845922481</c:v>
                </c:pt>
                <c:pt idx="193">
                  <c:v>4.8174134018461814</c:v>
                </c:pt>
                <c:pt idx="194">
                  <c:v>4.8178951672742301</c:v>
                </c:pt>
                <c:pt idx="195">
                  <c:v>4.81837698088124</c:v>
                </c:pt>
                <c:pt idx="196">
                  <c:v>4.8188588426720145</c:v>
                </c:pt>
                <c:pt idx="197">
                  <c:v>4.8193407526513994</c:v>
                </c:pt>
                <c:pt idx="198">
                  <c:v>4.8198227108241696</c:v>
                </c:pt>
                <c:pt idx="199">
                  <c:v>4.820304717195171</c:v>
                </c:pt>
                <c:pt idx="200">
                  <c:v>4.820786771769221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66336"/>
        <c:axId val="-968664016"/>
      </c:scatterChart>
      <c:valAx>
        <c:axId val="-968671488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9168"/>
        <c:crosses val="autoZero"/>
        <c:crossBetween val="midCat"/>
      </c:valAx>
      <c:valAx>
        <c:axId val="-9686691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71488"/>
        <c:crosses val="autoZero"/>
        <c:crossBetween val="midCat"/>
      </c:valAx>
      <c:valAx>
        <c:axId val="-96866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664016"/>
        <c:crosses val="autoZero"/>
        <c:crossBetween val="midCat"/>
      </c:valAx>
      <c:valAx>
        <c:axId val="-96866401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633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106.05913065497754</c:v>
                </c:pt>
                <c:pt idx="2">
                  <c:v>108.86133945698943</c:v>
                </c:pt>
                <c:pt idx="3">
                  <c:v>106.71915066947629</c:v>
                </c:pt>
                <c:pt idx="4">
                  <c:v>107.10219052214622</c:v>
                </c:pt>
                <c:pt idx="5">
                  <c:v>107.2345641331967</c:v>
                </c:pt>
                <c:pt idx="6">
                  <c:v>108.71789023449425</c:v>
                </c:pt>
                <c:pt idx="7">
                  <c:v>108.5679628235071</c:v>
                </c:pt>
                <c:pt idx="8">
                  <c:v>108.01035611531945</c:v>
                </c:pt>
                <c:pt idx="9">
                  <c:v>106.90919715747205</c:v>
                </c:pt>
                <c:pt idx="10">
                  <c:v>105.21091691948398</c:v>
                </c:pt>
                <c:pt idx="11">
                  <c:v>106.55687375264074</c:v>
                </c:pt>
                <c:pt idx="12">
                  <c:v>106.27150971896603</c:v>
                </c:pt>
                <c:pt idx="13">
                  <c:v>106.28852612476101</c:v>
                </c:pt>
                <c:pt idx="14">
                  <c:v>110.92486936788501</c:v>
                </c:pt>
                <c:pt idx="15">
                  <c:v>110.69849403738593</c:v>
                </c:pt>
                <c:pt idx="16">
                  <c:v>111.42368430521698</c:v>
                </c:pt>
                <c:pt idx="17">
                  <c:v>110.74806131235003</c:v>
                </c:pt>
                <c:pt idx="18">
                  <c:v>113.79314612145266</c:v>
                </c:pt>
                <c:pt idx="19">
                  <c:v>113.26698401805409</c:v>
                </c:pt>
                <c:pt idx="20">
                  <c:v>118.05011129125134</c:v>
                </c:pt>
                <c:pt idx="21">
                  <c:v>120.33822753700005</c:v>
                </c:pt>
                <c:pt idx="22">
                  <c:v>116.90149916665912</c:v>
                </c:pt>
                <c:pt idx="23">
                  <c:v>111.84554079438578</c:v>
                </c:pt>
                <c:pt idx="24">
                  <c:v>109.44075947665736</c:v>
                </c:pt>
                <c:pt idx="25">
                  <c:v>109.57111608054947</c:v>
                </c:pt>
                <c:pt idx="26">
                  <c:v>109.17096020315992</c:v>
                </c:pt>
                <c:pt idx="27">
                  <c:v>107.28611444618382</c:v>
                </c:pt>
                <c:pt idx="28">
                  <c:v>104.37504661053859</c:v>
                </c:pt>
                <c:pt idx="29">
                  <c:v>107.2808847088057</c:v>
                </c:pt>
                <c:pt idx="30">
                  <c:v>107.72523741061501</c:v>
                </c:pt>
                <c:pt idx="31">
                  <c:v>103.4675431440088</c:v>
                </c:pt>
                <c:pt idx="32">
                  <c:v>103.94156383880787</c:v>
                </c:pt>
                <c:pt idx="33">
                  <c:v>104.70142153213469</c:v>
                </c:pt>
                <c:pt idx="34">
                  <c:v>106.0554466216135</c:v>
                </c:pt>
                <c:pt idx="35">
                  <c:v>110.7717111152209</c:v>
                </c:pt>
                <c:pt idx="36">
                  <c:v>113.63578185001649</c:v>
                </c:pt>
                <c:pt idx="37">
                  <c:v>118.41529523950531</c:v>
                </c:pt>
                <c:pt idx="38">
                  <c:v>124.1440796948097</c:v>
                </c:pt>
                <c:pt idx="39">
                  <c:v>120.3456056101456</c:v>
                </c:pt>
                <c:pt idx="40">
                  <c:v>121.25064076199224</c:v>
                </c:pt>
                <c:pt idx="41">
                  <c:v>119.93173747015612</c:v>
                </c:pt>
                <c:pt idx="42">
                  <c:v>120.83547852124042</c:v>
                </c:pt>
                <c:pt idx="43">
                  <c:v>123.09147704427784</c:v>
                </c:pt>
                <c:pt idx="44">
                  <c:v>124.0051598797219</c:v>
                </c:pt>
                <c:pt idx="45">
                  <c:v>120.99177807743155</c:v>
                </c:pt>
                <c:pt idx="46">
                  <c:v>116.47967722280387</c:v>
                </c:pt>
                <c:pt idx="47">
                  <c:v>109.54120200835705</c:v>
                </c:pt>
                <c:pt idx="48">
                  <c:v>108.30714373096494</c:v>
                </c:pt>
                <c:pt idx="49">
                  <c:v>109.57044145268056</c:v>
                </c:pt>
                <c:pt idx="50">
                  <c:v>111.71295461780345</c:v>
                </c:pt>
                <c:pt idx="51">
                  <c:v>112.45339155807028</c:v>
                </c:pt>
                <c:pt idx="52">
                  <c:v>110.99733436303991</c:v>
                </c:pt>
                <c:pt idx="53">
                  <c:v>110.40148213703804</c:v>
                </c:pt>
                <c:pt idx="54">
                  <c:v>108.90828425069409</c:v>
                </c:pt>
                <c:pt idx="55">
                  <c:v>110.44108907062883</c:v>
                </c:pt>
                <c:pt idx="56">
                  <c:v>109.97905753221011</c:v>
                </c:pt>
                <c:pt idx="57">
                  <c:v>110.67993773318585</c:v>
                </c:pt>
                <c:pt idx="58">
                  <c:v>106.34441385385719</c:v>
                </c:pt>
                <c:pt idx="59">
                  <c:v>100.15936564269802</c:v>
                </c:pt>
                <c:pt idx="60">
                  <c:v>98.939022832478713</c:v>
                </c:pt>
                <c:pt idx="61">
                  <c:v>101.91801518678581</c:v>
                </c:pt>
                <c:pt idx="62">
                  <c:v>101.87214095528601</c:v>
                </c:pt>
                <c:pt idx="63">
                  <c:v>99.71090129475175</c:v>
                </c:pt>
                <c:pt idx="64">
                  <c:v>104.9544751802416</c:v>
                </c:pt>
                <c:pt idx="65">
                  <c:v>105.24212012301021</c:v>
                </c:pt>
                <c:pt idx="66">
                  <c:v>101.47501917122223</c:v>
                </c:pt>
                <c:pt idx="67">
                  <c:v>106.49991578365356</c:v>
                </c:pt>
                <c:pt idx="68">
                  <c:v>109.96638632138836</c:v>
                </c:pt>
                <c:pt idx="69">
                  <c:v>113.78809697470011</c:v>
                </c:pt>
                <c:pt idx="70">
                  <c:v>116.2821774383364</c:v>
                </c:pt>
                <c:pt idx="71">
                  <c:v>117.50297968936192</c:v>
                </c:pt>
                <c:pt idx="72">
                  <c:v>113.24816845649634</c:v>
                </c:pt>
                <c:pt idx="73">
                  <c:v>110.79414889613163</c:v>
                </c:pt>
                <c:pt idx="74">
                  <c:v>111.22719606097314</c:v>
                </c:pt>
                <c:pt idx="75">
                  <c:v>110.77347776936244</c:v>
                </c:pt>
                <c:pt idx="76">
                  <c:v>111.90221390925269</c:v>
                </c:pt>
                <c:pt idx="77">
                  <c:v>114.56326317074326</c:v>
                </c:pt>
                <c:pt idx="78">
                  <c:v>114.83719708820915</c:v>
                </c:pt>
                <c:pt idx="79">
                  <c:v>114.37527472171878</c:v>
                </c:pt>
                <c:pt idx="80">
                  <c:v>112.95672277478415</c:v>
                </c:pt>
                <c:pt idx="81">
                  <c:v>116.50197644978921</c:v>
                </c:pt>
                <c:pt idx="82">
                  <c:v>118.89814378143119</c:v>
                </c:pt>
                <c:pt idx="83">
                  <c:v>116.0321139716734</c:v>
                </c:pt>
                <c:pt idx="84">
                  <c:v>120.22687215990148</c:v>
                </c:pt>
                <c:pt idx="85">
                  <c:v>124.46481814394913</c:v>
                </c:pt>
                <c:pt idx="86">
                  <c:v>129.94725962589058</c:v>
                </c:pt>
                <c:pt idx="87">
                  <c:v>129.12397958294642</c:v>
                </c:pt>
                <c:pt idx="88">
                  <c:v>133.79773426985153</c:v>
                </c:pt>
                <c:pt idx="89">
                  <c:v>131.47681905978453</c:v>
                </c:pt>
                <c:pt idx="90">
                  <c:v>128.89964543892808</c:v>
                </c:pt>
                <c:pt idx="91">
                  <c:v>126.6865261444003</c:v>
                </c:pt>
                <c:pt idx="92">
                  <c:v>119.45367182596036</c:v>
                </c:pt>
                <c:pt idx="93">
                  <c:v>118.97948641494825</c:v>
                </c:pt>
                <c:pt idx="94">
                  <c:v>118.25602013783167</c:v>
                </c:pt>
                <c:pt idx="95">
                  <c:v>115.35339862233778</c:v>
                </c:pt>
                <c:pt idx="96">
                  <c:v>112.08997894589852</c:v>
                </c:pt>
                <c:pt idx="97">
                  <c:v>115.25572776734819</c:v>
                </c:pt>
                <c:pt idx="98">
                  <c:v>111.60876476114576</c:v>
                </c:pt>
                <c:pt idx="99">
                  <c:v>115.11973815232247</c:v>
                </c:pt>
                <c:pt idx="100">
                  <c:v>117.97809795211961</c:v>
                </c:pt>
                <c:pt idx="101">
                  <c:v>117.5570804139016</c:v>
                </c:pt>
                <c:pt idx="102">
                  <c:v>119.23513566865309</c:v>
                </c:pt>
                <c:pt idx="103">
                  <c:v>116.51138124369722</c:v>
                </c:pt>
                <c:pt idx="104">
                  <c:v>114.63227807810428</c:v>
                </c:pt>
                <c:pt idx="105">
                  <c:v>116.40284731893871</c:v>
                </c:pt>
                <c:pt idx="106">
                  <c:v>119.30290622271339</c:v>
                </c:pt>
                <c:pt idx="107">
                  <c:v>122.68863544557311</c:v>
                </c:pt>
                <c:pt idx="108">
                  <c:v>121.94478629402447</c:v>
                </c:pt>
                <c:pt idx="109">
                  <c:v>121.64014185281802</c:v>
                </c:pt>
                <c:pt idx="110">
                  <c:v>119.02530393829565</c:v>
                </c:pt>
                <c:pt idx="111">
                  <c:v>122.5208794289036</c:v>
                </c:pt>
                <c:pt idx="112">
                  <c:v>119.31888846349622</c:v>
                </c:pt>
                <c:pt idx="113">
                  <c:v>119.07797117336861</c:v>
                </c:pt>
                <c:pt idx="114">
                  <c:v>117.27260435446074</c:v>
                </c:pt>
                <c:pt idx="115">
                  <c:v>114.83278774482534</c:v>
                </c:pt>
                <c:pt idx="116">
                  <c:v>119.28863809233637</c:v>
                </c:pt>
                <c:pt idx="117">
                  <c:v>118.33750082024432</c:v>
                </c:pt>
                <c:pt idx="118">
                  <c:v>117.34484602378278</c:v>
                </c:pt>
                <c:pt idx="119">
                  <c:v>117.1100319779343</c:v>
                </c:pt>
                <c:pt idx="120">
                  <c:v>121.35659113551688</c:v>
                </c:pt>
                <c:pt idx="121">
                  <c:v>118.68999648482055</c:v>
                </c:pt>
                <c:pt idx="122">
                  <c:v>121.55565987051916</c:v>
                </c:pt>
                <c:pt idx="123">
                  <c:v>120.13852308777588</c:v>
                </c:pt>
                <c:pt idx="124">
                  <c:v>115.63063381562526</c:v>
                </c:pt>
                <c:pt idx="125">
                  <c:v>118.74633419380368</c:v>
                </c:pt>
                <c:pt idx="126">
                  <c:v>117.61185902190168</c:v>
                </c:pt>
                <c:pt idx="127">
                  <c:v>114.31656279326657</c:v>
                </c:pt>
                <c:pt idx="128">
                  <c:v>116.70062180811234</c:v>
                </c:pt>
                <c:pt idx="129">
                  <c:v>116.72900754125816</c:v>
                </c:pt>
                <c:pt idx="130">
                  <c:v>118.42599677768216</c:v>
                </c:pt>
                <c:pt idx="131">
                  <c:v>118.2154608990713</c:v>
                </c:pt>
                <c:pt idx="132">
                  <c:v>120.19761210566226</c:v>
                </c:pt>
                <c:pt idx="133">
                  <c:v>116.27267170368962</c:v>
                </c:pt>
                <c:pt idx="134">
                  <c:v>121.39891498933254</c:v>
                </c:pt>
                <c:pt idx="135">
                  <c:v>121.48537594196782</c:v>
                </c:pt>
                <c:pt idx="136">
                  <c:v>124.47841524035418</c:v>
                </c:pt>
                <c:pt idx="137">
                  <c:v>121.78500608688613</c:v>
                </c:pt>
                <c:pt idx="138">
                  <c:v>123.00957534928719</c:v>
                </c:pt>
                <c:pt idx="139">
                  <c:v>126.01200494893925</c:v>
                </c:pt>
                <c:pt idx="140">
                  <c:v>130.7989637328435</c:v>
                </c:pt>
                <c:pt idx="141">
                  <c:v>128.27156853192432</c:v>
                </c:pt>
                <c:pt idx="142">
                  <c:v>133.27809062638954</c:v>
                </c:pt>
                <c:pt idx="143">
                  <c:v>138.50541972194603</c:v>
                </c:pt>
                <c:pt idx="144">
                  <c:v>144.58617377835523</c:v>
                </c:pt>
                <c:pt idx="145">
                  <c:v>144.91669080834856</c:v>
                </c:pt>
                <c:pt idx="146">
                  <c:v>147.36964793510575</c:v>
                </c:pt>
                <c:pt idx="147">
                  <c:v>146.30115193002882</c:v>
                </c:pt>
                <c:pt idx="148">
                  <c:v>147.5715434823685</c:v>
                </c:pt>
                <c:pt idx="149">
                  <c:v>148.14036839083033</c:v>
                </c:pt>
                <c:pt idx="150">
                  <c:v>150.58706980213677</c:v>
                </c:pt>
                <c:pt idx="151">
                  <c:v>153.75801318170053</c:v>
                </c:pt>
                <c:pt idx="152">
                  <c:v>157.84987274338275</c:v>
                </c:pt>
                <c:pt idx="153">
                  <c:v>156.86006865064934</c:v>
                </c:pt>
                <c:pt idx="154">
                  <c:v>156.26286406843212</c:v>
                </c:pt>
                <c:pt idx="155">
                  <c:v>152.60640079379084</c:v>
                </c:pt>
                <c:pt idx="156">
                  <c:v>149.37427169333321</c:v>
                </c:pt>
                <c:pt idx="157">
                  <c:v>144.95733985787683</c:v>
                </c:pt>
                <c:pt idx="158">
                  <c:v>142.33788829351789</c:v>
                </c:pt>
                <c:pt idx="159">
                  <c:v>147.14023384958321</c:v>
                </c:pt>
                <c:pt idx="160">
                  <c:v>151.23857853085323</c:v>
                </c:pt>
                <c:pt idx="161">
                  <c:v>145.25085441360011</c:v>
                </c:pt>
                <c:pt idx="162">
                  <c:v>143.27422725866916</c:v>
                </c:pt>
                <c:pt idx="163">
                  <c:v>143.29220844588508</c:v>
                </c:pt>
                <c:pt idx="164">
                  <c:v>142.20921028529705</c:v>
                </c:pt>
                <c:pt idx="165">
                  <c:v>146.94884348314875</c:v>
                </c:pt>
                <c:pt idx="166">
                  <c:v>153.71652125472266</c:v>
                </c:pt>
                <c:pt idx="167">
                  <c:v>160.19479267184627</c:v>
                </c:pt>
                <c:pt idx="168">
                  <c:v>158.70952833779418</c:v>
                </c:pt>
                <c:pt idx="169">
                  <c:v>170.30998392577271</c:v>
                </c:pt>
                <c:pt idx="170">
                  <c:v>171.63558117000755</c:v>
                </c:pt>
                <c:pt idx="171">
                  <c:v>170.00346032271284</c:v>
                </c:pt>
                <c:pt idx="172">
                  <c:v>171.16730147043489</c:v>
                </c:pt>
                <c:pt idx="173">
                  <c:v>169.47460049591555</c:v>
                </c:pt>
                <c:pt idx="174">
                  <c:v>168.11565651384552</c:v>
                </c:pt>
                <c:pt idx="175">
                  <c:v>163.78255783117424</c:v>
                </c:pt>
                <c:pt idx="176">
                  <c:v>162.87070134464082</c:v>
                </c:pt>
                <c:pt idx="177">
                  <c:v>164.26351787301428</c:v>
                </c:pt>
                <c:pt idx="178">
                  <c:v>161.0187521631544</c:v>
                </c:pt>
                <c:pt idx="179">
                  <c:v>165.49016308057313</c:v>
                </c:pt>
                <c:pt idx="180">
                  <c:v>164.75280893463926</c:v>
                </c:pt>
                <c:pt idx="181">
                  <c:v>166.12964066319012</c:v>
                </c:pt>
                <c:pt idx="182">
                  <c:v>160.16737865734277</c:v>
                </c:pt>
                <c:pt idx="183">
                  <c:v>161.60396636251483</c:v>
                </c:pt>
                <c:pt idx="184">
                  <c:v>158.50996786013485</c:v>
                </c:pt>
                <c:pt idx="185">
                  <c:v>153.13722512837518</c:v>
                </c:pt>
                <c:pt idx="186">
                  <c:v>152.46588954599298</c:v>
                </c:pt>
                <c:pt idx="187">
                  <c:v>153.19700761916263</c:v>
                </c:pt>
                <c:pt idx="188">
                  <c:v>153.26386671522468</c:v>
                </c:pt>
                <c:pt idx="189">
                  <c:v>154.95058365554672</c:v>
                </c:pt>
                <c:pt idx="190">
                  <c:v>155.59973381111482</c:v>
                </c:pt>
                <c:pt idx="191">
                  <c:v>154.76881391054368</c:v>
                </c:pt>
                <c:pt idx="192">
                  <c:v>159.31313609134997</c:v>
                </c:pt>
                <c:pt idx="193">
                  <c:v>153.97831093331632</c:v>
                </c:pt>
                <c:pt idx="194">
                  <c:v>157.40283497053017</c:v>
                </c:pt>
                <c:pt idx="195">
                  <c:v>162.07803006930698</c:v>
                </c:pt>
                <c:pt idx="196">
                  <c:v>159.69229647209164</c:v>
                </c:pt>
                <c:pt idx="197">
                  <c:v>162.47555156250942</c:v>
                </c:pt>
                <c:pt idx="198">
                  <c:v>162.78337858552555</c:v>
                </c:pt>
                <c:pt idx="199">
                  <c:v>159.68270185243696</c:v>
                </c:pt>
                <c:pt idx="200">
                  <c:v>159.76442960543957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831056"/>
        <c:axId val="-968923120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1.9552134865534521E-2</c:v>
                </c:pt>
                <c:pt idx="1">
                  <c:v>1.6685884238364358E-2</c:v>
                </c:pt>
                <c:pt idx="2">
                  <c:v>1.5142110677592498E-2</c:v>
                </c:pt>
                <c:pt idx="3">
                  <c:v>1.6398886676111817E-2</c:v>
                </c:pt>
                <c:pt idx="4">
                  <c:v>1.6221072458388282E-2</c:v>
                </c:pt>
                <c:pt idx="5">
                  <c:v>1.6183589556083962E-2</c:v>
                </c:pt>
                <c:pt idx="6">
                  <c:v>1.5359091659518513E-2</c:v>
                </c:pt>
                <c:pt idx="7">
                  <c:v>1.5481545928781745E-2</c:v>
                </c:pt>
                <c:pt idx="8">
                  <c:v>1.5845204708677913E-2</c:v>
                </c:pt>
                <c:pt idx="9">
                  <c:v>1.6526479960595346E-2</c:v>
                </c:pt>
                <c:pt idx="10">
                  <c:v>1.7534769578613611E-2</c:v>
                </c:pt>
                <c:pt idx="11">
                  <c:v>1.6812136977779241E-2</c:v>
                </c:pt>
                <c:pt idx="12">
                  <c:v>1.7019621784226089E-2</c:v>
                </c:pt>
                <c:pt idx="13">
                  <c:v>1.7052375248678496E-2</c:v>
                </c:pt>
                <c:pt idx="14">
                  <c:v>1.4280753002422278E-2</c:v>
                </c:pt>
                <c:pt idx="15">
                  <c:v>1.4449807639899014E-2</c:v>
                </c:pt>
                <c:pt idx="16">
                  <c:v>1.4028052539165925E-2</c:v>
                </c:pt>
                <c:pt idx="17">
                  <c:v>1.4478270516691854E-2</c:v>
                </c:pt>
                <c:pt idx="18">
                  <c:v>1.2607326694243654E-2</c:v>
                </c:pt>
                <c:pt idx="19">
                  <c:v>1.2953693716716721E-2</c:v>
                </c:pt>
                <c:pt idx="20">
                  <c:v>1.0109197048381816E-2</c:v>
                </c:pt>
                <c:pt idx="21">
                  <c:v>8.8611034993810976E-3</c:v>
                </c:pt>
                <c:pt idx="22">
                  <c:v>1.0791108736821946E-2</c:v>
                </c:pt>
                <c:pt idx="23">
                  <c:v>1.3951100138130773E-2</c:v>
                </c:pt>
                <c:pt idx="24">
                  <c:v>1.5539297759531508E-2</c:v>
                </c:pt>
                <c:pt idx="25">
                  <c:v>1.5489946858082514E-2</c:v>
                </c:pt>
                <c:pt idx="26">
                  <c:v>1.5787294137048522E-2</c:v>
                </c:pt>
                <c:pt idx="27">
                  <c:v>1.7050214073883029E-2</c:v>
                </c:pt>
                <c:pt idx="28">
                  <c:v>1.8897015788648462E-2</c:v>
                </c:pt>
                <c:pt idx="29">
                  <c:v>1.7142118376174603E-2</c:v>
                </c:pt>
                <c:pt idx="30">
                  <c:v>1.6896123302666662E-2</c:v>
                </c:pt>
                <c:pt idx="31">
                  <c:v>1.9590195808592108E-2</c:v>
                </c:pt>
                <c:pt idx="32">
                  <c:v>1.9373465295852644E-2</c:v>
                </c:pt>
                <c:pt idx="33">
                  <c:v>1.8973888090134963E-2</c:v>
                </c:pt>
                <c:pt idx="34">
                  <c:v>1.8174329174295747E-2</c:v>
                </c:pt>
                <c:pt idx="35">
                  <c:v>1.5023251464196348E-2</c:v>
                </c:pt>
                <c:pt idx="36">
                  <c:v>1.3081082941721894E-2</c:v>
                </c:pt>
                <c:pt idx="37">
                  <c:v>1.0002317621105539E-2</c:v>
                </c:pt>
                <c:pt idx="38">
                  <c:v>6.8749267271749756E-3</c:v>
                </c:pt>
                <c:pt idx="39">
                  <c:v>8.8681557020421093E-3</c:v>
                </c:pt>
                <c:pt idx="40">
                  <c:v>8.3572698245838479E-3</c:v>
                </c:pt>
                <c:pt idx="41">
                  <c:v>9.106456673693919E-3</c:v>
                </c:pt>
                <c:pt idx="42">
                  <c:v>8.5837063320331648E-3</c:v>
                </c:pt>
                <c:pt idx="43">
                  <c:v>7.3565609380745935E-3</c:v>
                </c:pt>
                <c:pt idx="44">
                  <c:v>6.8865434637282764E-3</c:v>
                </c:pt>
                <c:pt idx="45">
                  <c:v>8.4848063908071827E-3</c:v>
                </c:pt>
                <c:pt idx="46">
                  <c:v>1.1307951839402241E-2</c:v>
                </c:pt>
                <c:pt idx="47">
                  <c:v>1.6342417822557645E-2</c:v>
                </c:pt>
                <c:pt idx="48">
                  <c:v>1.7300944758548573E-2</c:v>
                </c:pt>
                <c:pt idx="49">
                  <c:v>1.6402035286340318E-2</c:v>
                </c:pt>
                <c:pt idx="50">
                  <c:v>1.4819270318695767E-2</c:v>
                </c:pt>
                <c:pt idx="51">
                  <c:v>1.4289168795430072E-2</c:v>
                </c:pt>
                <c:pt idx="52">
                  <c:v>1.5429478612217554E-2</c:v>
                </c:pt>
                <c:pt idx="53">
                  <c:v>1.5925051317681762E-2</c:v>
                </c:pt>
                <c:pt idx="54">
                  <c:v>1.7123854851542223E-2</c:v>
                </c:pt>
                <c:pt idx="55">
                  <c:v>1.5969847529487012E-2</c:v>
                </c:pt>
                <c:pt idx="56">
                  <c:v>1.6372737319774702E-2</c:v>
                </c:pt>
                <c:pt idx="57">
                  <c:v>1.5856264925797399E-2</c:v>
                </c:pt>
                <c:pt idx="58">
                  <c:v>1.930737771728543E-2</c:v>
                </c:pt>
                <c:pt idx="59">
                  <c:v>2.3348517315257757E-2</c:v>
                </c:pt>
                <c:pt idx="60">
                  <c:v>2.3968086107188279E-2</c:v>
                </c:pt>
                <c:pt idx="61">
                  <c:v>2.2569903890500592E-2</c:v>
                </c:pt>
                <c:pt idx="62">
                  <c:v>2.2680081381048909E-2</c:v>
                </c:pt>
                <c:pt idx="63">
                  <c:v>2.3907449199607966E-2</c:v>
                </c:pt>
                <c:pt idx="64">
                  <c:v>2.0751495667121578E-2</c:v>
                </c:pt>
                <c:pt idx="65">
                  <c:v>2.0605863345556381E-2</c:v>
                </c:pt>
                <c:pt idx="66">
                  <c:v>2.3257747425555586E-2</c:v>
                </c:pt>
                <c:pt idx="67">
                  <c:v>1.9752436806107429E-2</c:v>
                </c:pt>
                <c:pt idx="68">
                  <c:v>1.6889441702628398E-2</c:v>
                </c:pt>
                <c:pt idx="69">
                  <c:v>1.3664569214661668E-2</c:v>
                </c:pt>
                <c:pt idx="70">
                  <c:v>1.1660054928391526E-2</c:v>
                </c:pt>
                <c:pt idx="71">
                  <c:v>1.0726011233942878E-2</c:v>
                </c:pt>
                <c:pt idx="72">
                  <c:v>1.4186583140936912E-2</c:v>
                </c:pt>
                <c:pt idx="73">
                  <c:v>1.6372627195392429E-2</c:v>
                </c:pt>
                <c:pt idx="74">
                  <c:v>1.6023405975988007E-2</c:v>
                </c:pt>
                <c:pt idx="75">
                  <c:v>1.6470580210477915E-2</c:v>
                </c:pt>
                <c:pt idx="76">
                  <c:v>1.5484333106688956E-2</c:v>
                </c:pt>
                <c:pt idx="77">
                  <c:v>1.3147606199003129E-2</c:v>
                </c:pt>
                <c:pt idx="78">
                  <c:v>1.2924711034107956E-2</c:v>
                </c:pt>
                <c:pt idx="79">
                  <c:v>1.3341531743047192E-2</c:v>
                </c:pt>
                <c:pt idx="80">
                  <c:v>1.4637476875179094E-2</c:v>
                </c:pt>
                <c:pt idx="81">
                  <c:v>1.1532880252702141E-2</c:v>
                </c:pt>
                <c:pt idx="82">
                  <c:v>9.6225235555705661E-3</c:v>
                </c:pt>
                <c:pt idx="83">
                  <c:v>1.1936618113498443E-2</c:v>
                </c:pt>
                <c:pt idx="84">
                  <c:v>8.6201520079395924E-3</c:v>
                </c:pt>
                <c:pt idx="85">
                  <c:v>5.9259498552666481E-3</c:v>
                </c:pt>
                <c:pt idx="86">
                  <c:v>3.4347807199872691E-3</c:v>
                </c:pt>
                <c:pt idx="87">
                  <c:v>3.7084996918905645E-3</c:v>
                </c:pt>
                <c:pt idx="88">
                  <c:v>2.2193364905704399E-3</c:v>
                </c:pt>
                <c:pt idx="89">
                  <c:v>2.8358612021587336E-3</c:v>
                </c:pt>
                <c:pt idx="90">
                  <c:v>3.7008864683949882E-3</c:v>
                </c:pt>
                <c:pt idx="91">
                  <c:v>4.6146412782304266E-3</c:v>
                </c:pt>
                <c:pt idx="92">
                  <c:v>9.055969583022903E-3</c:v>
                </c:pt>
                <c:pt idx="93">
                  <c:v>9.4117981239159789E-3</c:v>
                </c:pt>
                <c:pt idx="94">
                  <c:v>9.9883491482342379E-3</c:v>
                </c:pt>
                <c:pt idx="95">
                  <c:v>1.2595966751452978E-2</c:v>
                </c:pt>
                <c:pt idx="96">
                  <c:v>1.593085648558451E-2</c:v>
                </c:pt>
                <c:pt idx="97">
                  <c:v>1.2696300513297745E-2</c:v>
                </c:pt>
                <c:pt idx="98">
                  <c:v>1.6514661004774101E-2</c:v>
                </c:pt>
                <c:pt idx="99">
                  <c:v>1.2835960598128847E-2</c:v>
                </c:pt>
                <c:pt idx="100">
                  <c:v>1.0131608168359273E-2</c:v>
                </c:pt>
                <c:pt idx="101">
                  <c:v>1.0491453693637784E-2</c:v>
                </c:pt>
                <c:pt idx="102">
                  <c:v>9.011968808201265E-3</c:v>
                </c:pt>
                <c:pt idx="103">
                  <c:v>1.144615403633043E-2</c:v>
                </c:pt>
                <c:pt idx="104">
                  <c:v>1.3352645350053621E-2</c:v>
                </c:pt>
                <c:pt idx="105">
                  <c:v>1.1529814848841883E-2</c:v>
                </c:pt>
                <c:pt idx="106">
                  <c:v>8.8439153653465854E-3</c:v>
                </c:pt>
                <c:pt idx="107">
                  <c:v>6.2570510584543278E-3</c:v>
                </c:pt>
                <c:pt idx="108">
                  <c:v>6.7243636331011979E-3</c:v>
                </c:pt>
                <c:pt idx="109">
                  <c:v>6.9008579103661694E-3</c:v>
                </c:pt>
                <c:pt idx="110">
                  <c:v>8.9566995005211075E-3</c:v>
                </c:pt>
                <c:pt idx="111">
                  <c:v>6.1964520774500133E-3</c:v>
                </c:pt>
                <c:pt idx="112">
                  <c:v>8.6297022636274805E-3</c:v>
                </c:pt>
                <c:pt idx="113">
                  <c:v>8.8046388196315311E-3</c:v>
                </c:pt>
                <c:pt idx="114">
                  <c:v>1.0483806436274522E-2</c:v>
                </c:pt>
                <c:pt idx="115">
                  <c:v>1.3107602047818375E-2</c:v>
                </c:pt>
                <c:pt idx="116">
                  <c:v>8.4980437636840711E-3</c:v>
                </c:pt>
                <c:pt idx="117">
                  <c:v>9.3362737038798025E-3</c:v>
                </c:pt>
                <c:pt idx="118">
                  <c:v>1.0286382053218631E-2</c:v>
                </c:pt>
                <c:pt idx="119">
                  <c:v>1.0496960717299832E-2</c:v>
                </c:pt>
                <c:pt idx="120">
                  <c:v>6.5881373522335418E-3</c:v>
                </c:pt>
                <c:pt idx="121">
                  <c:v>8.82726837731607E-3</c:v>
                </c:pt>
                <c:pt idx="122">
                  <c:v>6.3243503217057621E-3</c:v>
                </c:pt>
                <c:pt idx="123">
                  <c:v>7.4092555777807876E-3</c:v>
                </c:pt>
                <c:pt idx="124">
                  <c:v>1.2001124536928259E-2</c:v>
                </c:pt>
                <c:pt idx="125">
                  <c:v>8.5702503821811424E-3</c:v>
                </c:pt>
                <c:pt idx="126">
                  <c:v>9.6730466014267949E-3</c:v>
                </c:pt>
                <c:pt idx="127">
                  <c:v>1.3585484214154685E-2</c:v>
                </c:pt>
                <c:pt idx="128">
                  <c:v>1.0586972191311297E-2</c:v>
                </c:pt>
                <c:pt idx="129">
                  <c:v>1.0505709367298589E-2</c:v>
                </c:pt>
                <c:pt idx="130">
                  <c:v>8.5960068884745507E-3</c:v>
                </c:pt>
                <c:pt idx="131">
                  <c:v>8.7498660534212E-3</c:v>
                </c:pt>
                <c:pt idx="132">
                  <c:v>6.7767411286185726E-3</c:v>
                </c:pt>
                <c:pt idx="133">
                  <c:v>1.084269284788048E-2</c:v>
                </c:pt>
                <c:pt idx="134">
                  <c:v>5.6332292662990549E-3</c:v>
                </c:pt>
                <c:pt idx="135">
                  <c:v>5.4873259767698034E-3</c:v>
                </c:pt>
                <c:pt idx="136">
                  <c:v>3.4751874545201089E-3</c:v>
                </c:pt>
                <c:pt idx="137">
                  <c:v>5.0977564919833284E-3</c:v>
                </c:pt>
                <c:pt idx="138">
                  <c:v>4.1744110829317962E-3</c:v>
                </c:pt>
                <c:pt idx="139">
                  <c:v>2.5280416460230588E-3</c:v>
                </c:pt>
                <c:pt idx="140">
                  <c:v>1.0496307645678593E-3</c:v>
                </c:pt>
                <c:pt idx="141">
                  <c:v>1.6046215350391639E-3</c:v>
                </c:pt>
                <c:pt idx="142">
                  <c:v>5.9136188265584207E-4</c:v>
                </c:pt>
                <c:pt idx="143">
                  <c:v>1.8447596187173425E-4</c:v>
                </c:pt>
                <c:pt idx="144">
                  <c:v>4.1487588191122108E-5</c:v>
                </c:pt>
                <c:pt idx="145">
                  <c:v>3.4564297513105206E-5</c:v>
                </c:pt>
                <c:pt idx="146">
                  <c:v>1.6660674692097621E-5</c:v>
                </c:pt>
                <c:pt idx="147">
                  <c:v>1.9480408334096119E-5</c:v>
                </c:pt>
                <c:pt idx="148">
                  <c:v>1.2311037437195206E-5</c:v>
                </c:pt>
                <c:pt idx="149">
                  <c:v>9.2290722660286876E-6</c:v>
                </c:pt>
                <c:pt idx="150">
                  <c:v>4.0188775993598199E-6</c:v>
                </c:pt>
                <c:pt idx="151">
                  <c:v>1.3443165505559411E-6</c:v>
                </c:pt>
                <c:pt idx="152">
                  <c:v>3.1477795126686863E-7</c:v>
                </c:pt>
                <c:pt idx="153">
                  <c:v>3.4637708919481396E-7</c:v>
                </c:pt>
                <c:pt idx="154">
                  <c:v>3.3613917486556006E-7</c:v>
                </c:pt>
                <c:pt idx="155">
                  <c:v>8.7876299824873799E-7</c:v>
                </c:pt>
                <c:pt idx="156">
                  <c:v>2.0168325606239353E-6</c:v>
                </c:pt>
                <c:pt idx="157">
                  <c:v>6.7433317863156962E-6</c:v>
                </c:pt>
                <c:pt idx="158">
                  <c:v>1.2836396622348315E-5</c:v>
                </c:pt>
                <c:pt idx="159">
                  <c:v>2.2736622192364605E-6</c:v>
                </c:pt>
                <c:pt idx="160">
                  <c:v>4.3957429036110884E-7</c:v>
                </c:pt>
                <c:pt idx="161">
                  <c:v>2.8157659824082947E-6</c:v>
                </c:pt>
                <c:pt idx="162">
                  <c:v>4.4875446725747128E-6</c:v>
                </c:pt>
                <c:pt idx="163">
                  <c:v>3.5911514223504715E-6</c:v>
                </c:pt>
                <c:pt idx="164">
                  <c:v>4.2191076821010592E-6</c:v>
                </c:pt>
                <c:pt idx="165">
                  <c:v>5.5777852487648428E-7</c:v>
                </c:pt>
                <c:pt idx="166">
                  <c:v>2.5521019341734099E-8</c:v>
                </c:pt>
                <c:pt idx="167">
                  <c:v>9.4355062366972701E-10</c:v>
                </c:pt>
                <c:pt idx="168">
                  <c:v>1.1381279904620805E-9</c:v>
                </c:pt>
                <c:pt idx="169">
                  <c:v>2.0490326354418859E-12</c:v>
                </c:pt>
                <c:pt idx="170">
                  <c:v>4.7864340910425962E-13</c:v>
                </c:pt>
                <c:pt idx="171">
                  <c:v>5.1832191399319838E-13</c:v>
                </c:pt>
                <c:pt idx="172">
                  <c:v>1.1408875892971214E-13</c:v>
                </c:pt>
                <c:pt idx="173">
                  <c:v>1.2149832821692558E-13</c:v>
                </c:pt>
                <c:pt idx="174">
                  <c:v>1.0504905321353248E-13</c:v>
                </c:pt>
                <c:pt idx="175">
                  <c:v>5.6297853220512497E-13</c:v>
                </c:pt>
                <c:pt idx="176">
                  <c:v>3.7289738140747825E-13</c:v>
                </c:pt>
                <c:pt idx="177">
                  <c:v>5.1274607309976938E-14</c:v>
                </c:pt>
                <c:pt idx="178">
                  <c:v>1.465873681050915E-13</c:v>
                </c:pt>
                <c:pt idx="179">
                  <c:v>1.7030548915412861E-15</c:v>
                </c:pt>
                <c:pt idx="180">
                  <c:v>6.8063842427565898E-16</c:v>
                </c:pt>
                <c:pt idx="181">
                  <c:v>4.4238630433063423E-17</c:v>
                </c:pt>
                <c:pt idx="182">
                  <c:v>1.0687532586423405E-15</c:v>
                </c:pt>
                <c:pt idx="183">
                  <c:v>5.0573998570808498E-17</c:v>
                </c:pt>
                <c:pt idx="184">
                  <c:v>1.117446794917479E-16</c:v>
                </c:pt>
                <c:pt idx="185">
                  <c:v>2.2168463165752606E-15</c:v>
                </c:pt>
                <c:pt idx="186">
                  <c:v>5.1821130777661295E-16</c:v>
                </c:pt>
                <c:pt idx="187">
                  <c:v>2.1199696748964116E-17</c:v>
                </c:pt>
                <c:pt idx="188">
                  <c:v>1.104950680088408E-18</c:v>
                </c:pt>
                <c:pt idx="189">
                  <c:v>4.1565023286494928E-21</c:v>
                </c:pt>
                <c:pt idx="190">
                  <c:v>2.2047665279716029E-23</c:v>
                </c:pt>
                <c:pt idx="191">
                  <c:v>3.8069480946581179E-25</c:v>
                </c:pt>
                <c:pt idx="192">
                  <c:v>1.4453702832276854E-31</c:v>
                </c:pt>
                <c:pt idx="193">
                  <c:v>5.6792253936621743E-31</c:v>
                </c:pt>
                <c:pt idx="194">
                  <c:v>2.6824349874000739E-39</c:v>
                </c:pt>
                <c:pt idx="195">
                  <c:v>1.1029129580257583E-52</c:v>
                </c:pt>
                <c:pt idx="196">
                  <c:v>1.8709968534620981E-61</c:v>
                </c:pt>
                <c:pt idx="197">
                  <c:v>3.4187343375858849E-87</c:v>
                </c:pt>
                <c:pt idx="198">
                  <c:v>9.8350914835538584E-131</c:v>
                </c:pt>
                <c:pt idx="199">
                  <c:v>1.6699397146147182E-239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904304"/>
        <c:axId val="-968917920"/>
      </c:scatterChart>
      <c:valAx>
        <c:axId val="-96783105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23120"/>
        <c:crosses val="autoZero"/>
        <c:crossBetween val="midCat"/>
      </c:valAx>
      <c:valAx>
        <c:axId val="-968923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831056"/>
        <c:crosses val="autoZero"/>
        <c:crossBetween val="midCat"/>
      </c:valAx>
      <c:valAx>
        <c:axId val="-96890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917920"/>
        <c:crosses val="autoZero"/>
        <c:crossBetween val="midCat"/>
      </c:valAx>
      <c:valAx>
        <c:axId val="-968917920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0430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Study'!$T$10</c:f>
              <c:strCache>
                <c:ptCount val="1"/>
                <c:pt idx="0">
                  <c:v>P&amp;L Realized-Implied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Study'!$T$11:$T$211</c:f>
              <c:numCache>
                <c:formatCode>0.0000</c:formatCode>
                <c:ptCount val="201"/>
                <c:pt idx="1">
                  <c:v>0.32576791572643132</c:v>
                </c:pt>
                <c:pt idx="2">
                  <c:v>4.4689181518759308E-2</c:v>
                </c:pt>
                <c:pt idx="3">
                  <c:v>1.7484078526353062E-2</c:v>
                </c:pt>
                <c:pt idx="4">
                  <c:v>-1.740846471965497E-2</c:v>
                </c:pt>
                <c:pt idx="5">
                  <c:v>-1.8467775651053082E-2</c:v>
                </c:pt>
                <c:pt idx="6">
                  <c:v>-7.8614250106151247E-4</c:v>
                </c:pt>
                <c:pt idx="7">
                  <c:v>-1.8074582848006022E-2</c:v>
                </c:pt>
                <c:pt idx="8">
                  <c:v>-1.6047292836173004E-2</c:v>
                </c:pt>
                <c:pt idx="9">
                  <c:v>-9.0727232927935234E-3</c:v>
                </c:pt>
                <c:pt idx="10">
                  <c:v>5.0796915066802437E-3</c:v>
                </c:pt>
                <c:pt idx="11">
                  <c:v>-3.4685608684633185E-3</c:v>
                </c:pt>
                <c:pt idx="12">
                  <c:v>-1.8532067923219601E-2</c:v>
                </c:pt>
                <c:pt idx="13">
                  <c:v>-1.9262026350654146E-2</c:v>
                </c:pt>
                <c:pt idx="14">
                  <c:v>0.14959811516610977</c:v>
                </c:pt>
                <c:pt idx="15">
                  <c:v>-1.7338284287037514E-2</c:v>
                </c:pt>
                <c:pt idx="16">
                  <c:v>-1.367898966438433E-2</c:v>
                </c:pt>
                <c:pt idx="17">
                  <c:v>-1.449332081621731E-2</c:v>
                </c:pt>
                <c:pt idx="18">
                  <c:v>4.5384383162497717E-2</c:v>
                </c:pt>
                <c:pt idx="19">
                  <c:v>-1.4842275212167714E-2</c:v>
                </c:pt>
                <c:pt idx="20">
                  <c:v>0.11152559795214205</c:v>
                </c:pt>
                <c:pt idx="21">
                  <c:v>1.12719401598809E-2</c:v>
                </c:pt>
                <c:pt idx="22">
                  <c:v>4.5392360310256882E-2</c:v>
                </c:pt>
                <c:pt idx="23">
                  <c:v>0.14577145316342632</c:v>
                </c:pt>
                <c:pt idx="24">
                  <c:v>2.4408446832178552E-2</c:v>
                </c:pt>
                <c:pt idx="25">
                  <c:v>-1.8465043225150735E-2</c:v>
                </c:pt>
                <c:pt idx="26">
                  <c:v>-1.7561015624048177E-2</c:v>
                </c:pt>
                <c:pt idx="27">
                  <c:v>9.6245650692386633E-3</c:v>
                </c:pt>
                <c:pt idx="28">
                  <c:v>5.5196729057022033E-2</c:v>
                </c:pt>
                <c:pt idx="29">
                  <c:v>5.672981951986425E-2</c:v>
                </c:pt>
                <c:pt idx="30">
                  <c:v>-1.7925578677102996E-2</c:v>
                </c:pt>
                <c:pt idx="31">
                  <c:v>0.14283413320274804</c:v>
                </c:pt>
                <c:pt idx="32">
                  <c:v>-1.8734243488498618E-2</c:v>
                </c:pt>
                <c:pt idx="33">
                  <c:v>-1.52419246194524E-2</c:v>
                </c:pt>
                <c:pt idx="34">
                  <c:v>-3.3480878629136711E-3</c:v>
                </c:pt>
                <c:pt idx="35">
                  <c:v>0.16383877709275449</c:v>
                </c:pt>
                <c:pt idx="36">
                  <c:v>3.9569941333258467E-2</c:v>
                </c:pt>
                <c:pt idx="37">
                  <c:v>0.11003217696819785</c:v>
                </c:pt>
                <c:pt idx="38">
                  <c:v>0.11339818895315854</c:v>
                </c:pt>
                <c:pt idx="39">
                  <c:v>4.7277732622443905E-2</c:v>
                </c:pt>
                <c:pt idx="40">
                  <c:v>-8.8122773762035079E-3</c:v>
                </c:pt>
                <c:pt idx="41">
                  <c:v>-5.3493856000324013E-3</c:v>
                </c:pt>
                <c:pt idx="42">
                  <c:v>-8.9748622397871937E-3</c:v>
                </c:pt>
                <c:pt idx="43">
                  <c:v>8.2799714771161822E-3</c:v>
                </c:pt>
                <c:pt idx="44">
                  <c:v>-7.6722990150595895E-3</c:v>
                </c:pt>
                <c:pt idx="45">
                  <c:v>2.4252592344982508E-2</c:v>
                </c:pt>
                <c:pt idx="46">
                  <c:v>9.1342130272790728E-2</c:v>
                </c:pt>
                <c:pt idx="47">
                  <c:v>0.32830202361733085</c:v>
                </c:pt>
                <c:pt idx="48">
                  <c:v>-7.4161142299236198E-3</c:v>
                </c:pt>
                <c:pt idx="49">
                  <c:v>-6.2964815996747426E-3</c:v>
                </c:pt>
                <c:pt idx="50">
                  <c:v>1.6861947857079597E-2</c:v>
                </c:pt>
                <c:pt idx="51">
                  <c:v>-1.4100655453909226E-2</c:v>
                </c:pt>
                <c:pt idx="52">
                  <c:v>-3.0745259599533952E-3</c:v>
                </c:pt>
                <c:pt idx="53">
                  <c:v>-1.6613484691527781E-2</c:v>
                </c:pt>
                <c:pt idx="54">
                  <c:v>-1.733512559320863E-3</c:v>
                </c:pt>
                <c:pt idx="55">
                  <c:v>-1.8649648370294147E-4</c:v>
                </c:pt>
                <c:pt idx="56">
                  <c:v>-1.8070490920686133E-2</c:v>
                </c:pt>
                <c:pt idx="57">
                  <c:v>-1.5479643797678203E-2</c:v>
                </c:pt>
                <c:pt idx="58">
                  <c:v>0.14568554768873404</c:v>
                </c:pt>
                <c:pt idx="59">
                  <c:v>0.37273575800054914</c:v>
                </c:pt>
                <c:pt idx="60">
                  <c:v>-6.047365581732145E-3</c:v>
                </c:pt>
                <c:pt idx="61">
                  <c:v>8.2824656953939021E-2</c:v>
                </c:pt>
                <c:pt idx="62">
                  <c:v>-2.3513393719065332E-2</c:v>
                </c:pt>
                <c:pt idx="63">
                  <c:v>2.9721928491818862E-2</c:v>
                </c:pt>
                <c:pt idx="64">
                  <c:v>0.29321680864481331</c:v>
                </c:pt>
                <c:pt idx="65">
                  <c:v>-2.1965716512670302E-2</c:v>
                </c:pt>
                <c:pt idx="66">
                  <c:v>0.12947436546860686</c:v>
                </c:pt>
                <c:pt idx="67">
                  <c:v>0.25227515921795685</c:v>
                </c:pt>
                <c:pt idx="68">
                  <c:v>8.7764913855376034E-2</c:v>
                </c:pt>
                <c:pt idx="69">
                  <c:v>8.9152757109848241E-2</c:v>
                </c:pt>
                <c:pt idx="70">
                  <c:v>2.2106321077275996E-2</c:v>
                </c:pt>
                <c:pt idx="71">
                  <c:v>-6.6478436037056936E-3</c:v>
                </c:pt>
                <c:pt idx="72">
                  <c:v>0.10108697806964366</c:v>
                </c:pt>
                <c:pt idx="73">
                  <c:v>2.7088312880632171E-2</c:v>
                </c:pt>
                <c:pt idx="74">
                  <c:v>-1.8309138174073068E-2</c:v>
                </c:pt>
                <c:pt idx="75">
                  <c:v>-1.8529142942398227E-2</c:v>
                </c:pt>
                <c:pt idx="76">
                  <c:v>-9.3237328302554871E-3</c:v>
                </c:pt>
                <c:pt idx="77">
                  <c:v>3.1534679476731838E-2</c:v>
                </c:pt>
                <c:pt idx="78">
                  <c:v>-1.6557312800024957E-2</c:v>
                </c:pt>
                <c:pt idx="79">
                  <c:v>-1.6041067351211063E-2</c:v>
                </c:pt>
                <c:pt idx="80">
                  <c:v>-4.3119106131900313E-3</c:v>
                </c:pt>
                <c:pt idx="81">
                  <c:v>6.1445061856119608E-2</c:v>
                </c:pt>
                <c:pt idx="82">
                  <c:v>1.5169310565031879E-2</c:v>
                </c:pt>
                <c:pt idx="83">
                  <c:v>3.0618665003840317E-2</c:v>
                </c:pt>
                <c:pt idx="84">
                  <c:v>6.8962696430281342E-2</c:v>
                </c:pt>
                <c:pt idx="85">
                  <c:v>4.7853176630114583E-2</c:v>
                </c:pt>
                <c:pt idx="86">
                  <c:v>5.0467487071101116E-2</c:v>
                </c:pt>
                <c:pt idx="87">
                  <c:v>-4.9422646098133943E-3</c:v>
                </c:pt>
                <c:pt idx="88">
                  <c:v>2.2053057041702046E-2</c:v>
                </c:pt>
                <c:pt idx="89">
                  <c:v>2.4730965330313371E-3</c:v>
                </c:pt>
                <c:pt idx="90">
                  <c:v>5.6641504853572116E-3</c:v>
                </c:pt>
                <c:pt idx="91">
                  <c:v>3.5100312151714465E-3</c:v>
                </c:pt>
                <c:pt idx="92">
                  <c:v>0.19767990161304497</c:v>
                </c:pt>
                <c:pt idx="93">
                  <c:v>-1.2273706834822836E-2</c:v>
                </c:pt>
                <c:pt idx="94">
                  <c:v>-1.1385917283891872E-2</c:v>
                </c:pt>
                <c:pt idx="95">
                  <c:v>3.3728275041084173E-2</c:v>
                </c:pt>
                <c:pt idx="96">
                  <c:v>6.0083336504127005E-2</c:v>
                </c:pt>
                <c:pt idx="97">
                  <c:v>5.0399757796146971E-2</c:v>
                </c:pt>
                <c:pt idx="98">
                  <c:v>8.2413480442737538E-2</c:v>
                </c:pt>
                <c:pt idx="99">
                  <c:v>6.7158901586174852E-2</c:v>
                </c:pt>
                <c:pt idx="100">
                  <c:v>2.9367558247314095E-2</c:v>
                </c:pt>
                <c:pt idx="101">
                  <c:v>-1.3575629057531348E-2</c:v>
                </c:pt>
                <c:pt idx="102">
                  <c:v>2.4075158627219603E-4</c:v>
                </c:pt>
                <c:pt idx="103">
                  <c:v>2.5002886461728629E-2</c:v>
                </c:pt>
                <c:pt idx="104">
                  <c:v>5.2738811150145615E-3</c:v>
                </c:pt>
                <c:pt idx="105">
                  <c:v>3.0126271847411134E-3</c:v>
                </c:pt>
                <c:pt idx="106">
                  <c:v>2.6478663065170695E-2</c:v>
                </c:pt>
                <c:pt idx="107">
                  <c:v>2.8508772354566343E-2</c:v>
                </c:pt>
                <c:pt idx="108">
                  <c:v>-8.1616413169861776E-3</c:v>
                </c:pt>
                <c:pt idx="109">
                  <c:v>-9.8921028047184029E-3</c:v>
                </c:pt>
                <c:pt idx="110">
                  <c:v>1.6628886673092442E-2</c:v>
                </c:pt>
                <c:pt idx="111">
                  <c:v>3.0811920055185432E-2</c:v>
                </c:pt>
                <c:pt idx="112">
                  <c:v>2.9670874120895314E-2</c:v>
                </c:pt>
                <c:pt idx="113">
                  <c:v>-1.2230108419756257E-2</c:v>
                </c:pt>
                <c:pt idx="114">
                  <c:v>2.1528203424899641E-3</c:v>
                </c:pt>
                <c:pt idx="115">
                  <c:v>2.0122002811906275E-2</c:v>
                </c:pt>
                <c:pt idx="116">
                  <c:v>7.8944171001096006E-2</c:v>
                </c:pt>
                <c:pt idx="117">
                  <c:v>-8.9182872372828778E-3</c:v>
                </c:pt>
                <c:pt idx="118">
                  <c:v>-9.1809087950662695E-3</c:v>
                </c:pt>
                <c:pt idx="119">
                  <c:v>-1.4108097475738261E-2</c:v>
                </c:pt>
                <c:pt idx="120">
                  <c:v>5.4086335355351435E-2</c:v>
                </c:pt>
                <c:pt idx="121">
                  <c:v>1.7584828284695285E-2</c:v>
                </c:pt>
                <c:pt idx="122">
                  <c:v>1.7892226036643925E-2</c:v>
                </c:pt>
                <c:pt idx="123">
                  <c:v>-3.4265201081083736E-3</c:v>
                </c:pt>
                <c:pt idx="124">
                  <c:v>9.6912658023130538E-2</c:v>
                </c:pt>
                <c:pt idx="125">
                  <c:v>3.1785542351685042E-2</c:v>
                </c:pt>
                <c:pt idx="126">
                  <c:v>-7.2738918279884306E-3</c:v>
                </c:pt>
                <c:pt idx="127">
                  <c:v>5.1932851490572564E-2</c:v>
                </c:pt>
                <c:pt idx="128">
                  <c:v>1.6936348743942772E-2</c:v>
                </c:pt>
                <c:pt idx="129">
                  <c:v>-1.4310489106008005E-2</c:v>
                </c:pt>
                <c:pt idx="130">
                  <c:v>6.8410970683651024E-4</c:v>
                </c:pt>
                <c:pt idx="131">
                  <c:v>-1.2034614527137935E-2</c:v>
                </c:pt>
                <c:pt idx="132">
                  <c:v>3.9721511696770738E-3</c:v>
                </c:pt>
                <c:pt idx="133">
                  <c:v>6.3492828942048329E-2</c:v>
                </c:pt>
                <c:pt idx="134">
                  <c:v>7.2384285346954083E-2</c:v>
                </c:pt>
                <c:pt idx="135">
                  <c:v>-8.0780384379407176E-3</c:v>
                </c:pt>
                <c:pt idx="136">
                  <c:v>1.0957540063890757E-2</c:v>
                </c:pt>
                <c:pt idx="137">
                  <c:v>1.0138403913252473E-2</c:v>
                </c:pt>
                <c:pt idx="138">
                  <c:v>-3.1232792667060315E-3</c:v>
                </c:pt>
                <c:pt idx="139">
                  <c:v>7.9433679447802781E-3</c:v>
                </c:pt>
                <c:pt idx="140">
                  <c:v>1.1161439034851967E-2</c:v>
                </c:pt>
                <c:pt idx="141">
                  <c:v>2.2886200112613884E-3</c:v>
                </c:pt>
                <c:pt idx="142">
                  <c:v>6.9507092655591539E-3</c:v>
                </c:pt>
                <c:pt idx="143">
                  <c:v>2.3680893760715544E-3</c:v>
                </c:pt>
                <c:pt idx="144">
                  <c:v>7.4910935895755441E-4</c:v>
                </c:pt>
                <c:pt idx="145">
                  <c:v>-7.0691384056758446E-5</c:v>
                </c:pt>
                <c:pt idx="146">
                  <c:v>1.5651500094084538E-5</c:v>
                </c:pt>
                <c:pt idx="147">
                  <c:v>-3.0736355007383806E-5</c:v>
                </c:pt>
                <c:pt idx="148">
                  <c:v>-1.6702553851670991E-5</c:v>
                </c:pt>
                <c:pt idx="149">
                  <c:v>-1.8749103873828534E-5</c:v>
                </c:pt>
                <c:pt idx="150">
                  <c:v>3.316437883537871E-6</c:v>
                </c:pt>
                <c:pt idx="151">
                  <c:v>3.8679283997288736E-6</c:v>
                </c:pt>
                <c:pt idx="152">
                  <c:v>1.9930187156245763E-6</c:v>
                </c:pt>
                <c:pt idx="153">
                  <c:v>-6.8470995387821984E-7</c:v>
                </c:pt>
                <c:pt idx="154">
                  <c:v>-7.6130040460620846E-7</c:v>
                </c:pt>
                <c:pt idx="155">
                  <c:v>3.5561839394846983E-6</c:v>
                </c:pt>
                <c:pt idx="156">
                  <c:v>5.5929789425973112E-6</c:v>
                </c:pt>
                <c:pt idx="157">
                  <c:v>4.7776697008494078E-5</c:v>
                </c:pt>
                <c:pt idx="158">
                  <c:v>1.6454782792409593E-5</c:v>
                </c:pt>
                <c:pt idx="159">
                  <c:v>2.3094657070233943E-5</c:v>
                </c:pt>
                <c:pt idx="160">
                  <c:v>2.8947090528425769E-6</c:v>
                </c:pt>
                <c:pt idx="161">
                  <c:v>4.0618210899866794E-5</c:v>
                </c:pt>
                <c:pt idx="162">
                  <c:v>-6.8224069251259376E-7</c:v>
                </c:pt>
                <c:pt idx="163">
                  <c:v>-7.3730073426613516E-6</c:v>
                </c:pt>
                <c:pt idx="164">
                  <c:v>-6.0954907275900815E-6</c:v>
                </c:pt>
                <c:pt idx="165">
                  <c:v>5.4851044018633049E-6</c:v>
                </c:pt>
                <c:pt idx="166">
                  <c:v>5.7921989634481776E-7</c:v>
                </c:pt>
                <c:pt idx="167">
                  <c:v>1.9082126844348259E-8</c:v>
                </c:pt>
                <c:pt idx="168">
                  <c:v>-1.6346076742753812E-9</c:v>
                </c:pt>
                <c:pt idx="169">
                  <c:v>1.5281744618492285E-10</c:v>
                </c:pt>
                <c:pt idx="170">
                  <c:v>-9.8291477319825041E-13</c:v>
                </c:pt>
                <c:pt idx="171">
                  <c:v>-8.2072067599377061E-13</c:v>
                </c:pt>
                <c:pt idx="172">
                  <c:v>-2.5593036063728454E-13</c:v>
                </c:pt>
                <c:pt idx="173">
                  <c:v>-1.7832800590137045E-13</c:v>
                </c:pt>
                <c:pt idx="174">
                  <c:v>-2.0144960459202495E-13</c:v>
                </c:pt>
                <c:pt idx="175">
                  <c:v>3.5060616671448213E-12</c:v>
                </c:pt>
                <c:pt idx="176">
                  <c:v>-8.3587252013507021E-13</c:v>
                </c:pt>
                <c:pt idx="177">
                  <c:v>-8.7762681596865982E-14</c:v>
                </c:pt>
                <c:pt idx="178">
                  <c:v>3.6143000172348443E-13</c:v>
                </c:pt>
                <c:pt idx="179">
                  <c:v>1.3319553745458583E-14</c:v>
                </c:pt>
                <c:pt idx="180">
                  <c:v>-1.6641066990162103E-15</c:v>
                </c:pt>
                <c:pt idx="181">
                  <c:v>-7.9459868999941789E-17</c:v>
                </c:pt>
                <c:pt idx="182">
                  <c:v>1.4915530074574554E-14</c:v>
                </c:pt>
                <c:pt idx="183">
                  <c:v>-7.8950987414685643E-17</c:v>
                </c:pt>
                <c:pt idx="184">
                  <c:v>2.3380894821502056E-16</c:v>
                </c:pt>
                <c:pt idx="185">
                  <c:v>2.4665140587134251E-14</c:v>
                </c:pt>
                <c:pt idx="186">
                  <c:v>-1.0888710219429477E-15</c:v>
                </c:pt>
                <c:pt idx="187">
                  <c:v>-4.4033807578934386E-17</c:v>
                </c:pt>
                <c:pt idx="188">
                  <c:v>-2.5930366698135472E-18</c:v>
                </c:pt>
                <c:pt idx="189">
                  <c:v>-3.9361194100737326E-21</c:v>
                </c:pt>
                <c:pt idx="190">
                  <c:v>-4.8695810935327136E-23</c:v>
                </c:pt>
                <c:pt idx="191">
                  <c:v>-7.8187166692420596E-25</c:v>
                </c:pt>
                <c:pt idx="192">
                  <c:v>1.2144892985998591E-30</c:v>
                </c:pt>
                <c:pt idx="193">
                  <c:v>6.2029461129881609E-30</c:v>
                </c:pt>
                <c:pt idx="194">
                  <c:v>9.7904522998655529E-39</c:v>
                </c:pt>
                <c:pt idx="195">
                  <c:v>9.8828164431839087E-52</c:v>
                </c:pt>
                <c:pt idx="196">
                  <c:v>3.9765380236621279E-62</c:v>
                </c:pt>
                <c:pt idx="197">
                  <c:v>4.6823442325975964E-87</c:v>
                </c:pt>
                <c:pt idx="198">
                  <c:v>-2.5593705123005227E-130</c:v>
                </c:pt>
                <c:pt idx="199">
                  <c:v>3.466553920487219E-239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53776"/>
        <c:axId val="-967451456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1.9552134865534521E-2</c:v>
                </c:pt>
                <c:pt idx="1">
                  <c:v>1.6685884238364358E-2</c:v>
                </c:pt>
                <c:pt idx="2">
                  <c:v>1.5142110677592498E-2</c:v>
                </c:pt>
                <c:pt idx="3">
                  <c:v>1.6398886676111817E-2</c:v>
                </c:pt>
                <c:pt idx="4">
                  <c:v>1.6221072458388282E-2</c:v>
                </c:pt>
                <c:pt idx="5">
                  <c:v>1.6183589556083962E-2</c:v>
                </c:pt>
                <c:pt idx="6">
                  <c:v>1.5359091659518513E-2</c:v>
                </c:pt>
                <c:pt idx="7">
                  <c:v>1.5481545928781745E-2</c:v>
                </c:pt>
                <c:pt idx="8">
                  <c:v>1.5845204708677913E-2</c:v>
                </c:pt>
                <c:pt idx="9">
                  <c:v>1.6526479960595346E-2</c:v>
                </c:pt>
                <c:pt idx="10">
                  <c:v>1.7534769578613611E-2</c:v>
                </c:pt>
                <c:pt idx="11">
                  <c:v>1.6812136977779241E-2</c:v>
                </c:pt>
                <c:pt idx="12">
                  <c:v>1.7019621784226089E-2</c:v>
                </c:pt>
                <c:pt idx="13">
                  <c:v>1.7052375248678496E-2</c:v>
                </c:pt>
                <c:pt idx="14">
                  <c:v>1.4280753002422278E-2</c:v>
                </c:pt>
                <c:pt idx="15">
                  <c:v>1.4449807639899014E-2</c:v>
                </c:pt>
                <c:pt idx="16">
                  <c:v>1.4028052539165925E-2</c:v>
                </c:pt>
                <c:pt idx="17">
                  <c:v>1.4478270516691854E-2</c:v>
                </c:pt>
                <c:pt idx="18">
                  <c:v>1.2607326694243654E-2</c:v>
                </c:pt>
                <c:pt idx="19">
                  <c:v>1.2953693716716721E-2</c:v>
                </c:pt>
                <c:pt idx="20">
                  <c:v>1.0109197048381816E-2</c:v>
                </c:pt>
                <c:pt idx="21">
                  <c:v>8.8611034993810976E-3</c:v>
                </c:pt>
                <c:pt idx="22">
                  <c:v>1.0791108736821946E-2</c:v>
                </c:pt>
                <c:pt idx="23">
                  <c:v>1.3951100138130773E-2</c:v>
                </c:pt>
                <c:pt idx="24">
                  <c:v>1.5539297759531508E-2</c:v>
                </c:pt>
                <c:pt idx="25">
                  <c:v>1.5489946858082514E-2</c:v>
                </c:pt>
                <c:pt idx="26">
                  <c:v>1.5787294137048522E-2</c:v>
                </c:pt>
                <c:pt idx="27">
                  <c:v>1.7050214073883029E-2</c:v>
                </c:pt>
                <c:pt idx="28">
                  <c:v>1.8897015788648462E-2</c:v>
                </c:pt>
                <c:pt idx="29">
                  <c:v>1.7142118376174603E-2</c:v>
                </c:pt>
                <c:pt idx="30">
                  <c:v>1.6896123302666662E-2</c:v>
                </c:pt>
                <c:pt idx="31">
                  <c:v>1.9590195808592108E-2</c:v>
                </c:pt>
                <c:pt idx="32">
                  <c:v>1.9373465295852644E-2</c:v>
                </c:pt>
                <c:pt idx="33">
                  <c:v>1.8973888090134963E-2</c:v>
                </c:pt>
                <c:pt idx="34">
                  <c:v>1.8174329174295747E-2</c:v>
                </c:pt>
                <c:pt idx="35">
                  <c:v>1.5023251464196348E-2</c:v>
                </c:pt>
                <c:pt idx="36">
                  <c:v>1.3081082941721894E-2</c:v>
                </c:pt>
                <c:pt idx="37">
                  <c:v>1.0002317621105539E-2</c:v>
                </c:pt>
                <c:pt idx="38">
                  <c:v>6.8749267271749756E-3</c:v>
                </c:pt>
                <c:pt idx="39">
                  <c:v>8.8681557020421093E-3</c:v>
                </c:pt>
                <c:pt idx="40">
                  <c:v>8.3572698245838479E-3</c:v>
                </c:pt>
                <c:pt idx="41">
                  <c:v>9.106456673693919E-3</c:v>
                </c:pt>
                <c:pt idx="42">
                  <c:v>8.5837063320331648E-3</c:v>
                </c:pt>
                <c:pt idx="43">
                  <c:v>7.3565609380745935E-3</c:v>
                </c:pt>
                <c:pt idx="44">
                  <c:v>6.8865434637282764E-3</c:v>
                </c:pt>
                <c:pt idx="45">
                  <c:v>8.4848063908071827E-3</c:v>
                </c:pt>
                <c:pt idx="46">
                  <c:v>1.1307951839402241E-2</c:v>
                </c:pt>
                <c:pt idx="47">
                  <c:v>1.6342417822557645E-2</c:v>
                </c:pt>
                <c:pt idx="48">
                  <c:v>1.7300944758548573E-2</c:v>
                </c:pt>
                <c:pt idx="49">
                  <c:v>1.6402035286340318E-2</c:v>
                </c:pt>
                <c:pt idx="50">
                  <c:v>1.4819270318695767E-2</c:v>
                </c:pt>
                <c:pt idx="51">
                  <c:v>1.4289168795430072E-2</c:v>
                </c:pt>
                <c:pt idx="52">
                  <c:v>1.5429478612217554E-2</c:v>
                </c:pt>
                <c:pt idx="53">
                  <c:v>1.5925051317681762E-2</c:v>
                </c:pt>
                <c:pt idx="54">
                  <c:v>1.7123854851542223E-2</c:v>
                </c:pt>
                <c:pt idx="55">
                  <c:v>1.5969847529487012E-2</c:v>
                </c:pt>
                <c:pt idx="56">
                  <c:v>1.6372737319774702E-2</c:v>
                </c:pt>
                <c:pt idx="57">
                  <c:v>1.5856264925797399E-2</c:v>
                </c:pt>
                <c:pt idx="58">
                  <c:v>1.930737771728543E-2</c:v>
                </c:pt>
                <c:pt idx="59">
                  <c:v>2.3348517315257757E-2</c:v>
                </c:pt>
                <c:pt idx="60">
                  <c:v>2.3968086107188279E-2</c:v>
                </c:pt>
                <c:pt idx="61">
                  <c:v>2.2569903890500592E-2</c:v>
                </c:pt>
                <c:pt idx="62">
                  <c:v>2.2680081381048909E-2</c:v>
                </c:pt>
                <c:pt idx="63">
                  <c:v>2.3907449199607966E-2</c:v>
                </c:pt>
                <c:pt idx="64">
                  <c:v>2.0751495667121578E-2</c:v>
                </c:pt>
                <c:pt idx="65">
                  <c:v>2.0605863345556381E-2</c:v>
                </c:pt>
                <c:pt idx="66">
                  <c:v>2.3257747425555586E-2</c:v>
                </c:pt>
                <c:pt idx="67">
                  <c:v>1.9752436806107429E-2</c:v>
                </c:pt>
                <c:pt idx="68">
                  <c:v>1.6889441702628398E-2</c:v>
                </c:pt>
                <c:pt idx="69">
                  <c:v>1.3664569214661668E-2</c:v>
                </c:pt>
                <c:pt idx="70">
                  <c:v>1.1660054928391526E-2</c:v>
                </c:pt>
                <c:pt idx="71">
                  <c:v>1.0726011233942878E-2</c:v>
                </c:pt>
                <c:pt idx="72">
                  <c:v>1.4186583140936912E-2</c:v>
                </c:pt>
                <c:pt idx="73">
                  <c:v>1.6372627195392429E-2</c:v>
                </c:pt>
                <c:pt idx="74">
                  <c:v>1.6023405975988007E-2</c:v>
                </c:pt>
                <c:pt idx="75">
                  <c:v>1.6470580210477915E-2</c:v>
                </c:pt>
                <c:pt idx="76">
                  <c:v>1.5484333106688956E-2</c:v>
                </c:pt>
                <c:pt idx="77">
                  <c:v>1.3147606199003129E-2</c:v>
                </c:pt>
                <c:pt idx="78">
                  <c:v>1.2924711034107956E-2</c:v>
                </c:pt>
                <c:pt idx="79">
                  <c:v>1.3341531743047192E-2</c:v>
                </c:pt>
                <c:pt idx="80">
                  <c:v>1.4637476875179094E-2</c:v>
                </c:pt>
                <c:pt idx="81">
                  <c:v>1.1532880252702141E-2</c:v>
                </c:pt>
                <c:pt idx="82">
                  <c:v>9.6225235555705661E-3</c:v>
                </c:pt>
                <c:pt idx="83">
                  <c:v>1.1936618113498443E-2</c:v>
                </c:pt>
                <c:pt idx="84">
                  <c:v>8.6201520079395924E-3</c:v>
                </c:pt>
                <c:pt idx="85">
                  <c:v>5.9259498552666481E-3</c:v>
                </c:pt>
                <c:pt idx="86">
                  <c:v>3.4347807199872691E-3</c:v>
                </c:pt>
                <c:pt idx="87">
                  <c:v>3.7084996918905645E-3</c:v>
                </c:pt>
                <c:pt idx="88">
                  <c:v>2.2193364905704399E-3</c:v>
                </c:pt>
                <c:pt idx="89">
                  <c:v>2.8358612021587336E-3</c:v>
                </c:pt>
                <c:pt idx="90">
                  <c:v>3.7008864683949882E-3</c:v>
                </c:pt>
                <c:pt idx="91">
                  <c:v>4.6146412782304266E-3</c:v>
                </c:pt>
                <c:pt idx="92">
                  <c:v>9.055969583022903E-3</c:v>
                </c:pt>
                <c:pt idx="93">
                  <c:v>9.4117981239159789E-3</c:v>
                </c:pt>
                <c:pt idx="94">
                  <c:v>9.9883491482342379E-3</c:v>
                </c:pt>
                <c:pt idx="95">
                  <c:v>1.2595966751452978E-2</c:v>
                </c:pt>
                <c:pt idx="96">
                  <c:v>1.593085648558451E-2</c:v>
                </c:pt>
                <c:pt idx="97">
                  <c:v>1.2696300513297745E-2</c:v>
                </c:pt>
                <c:pt idx="98">
                  <c:v>1.6514661004774101E-2</c:v>
                </c:pt>
                <c:pt idx="99">
                  <c:v>1.2835960598128847E-2</c:v>
                </c:pt>
                <c:pt idx="100">
                  <c:v>1.0131608168359273E-2</c:v>
                </c:pt>
                <c:pt idx="101">
                  <c:v>1.0491453693637784E-2</c:v>
                </c:pt>
                <c:pt idx="102">
                  <c:v>9.011968808201265E-3</c:v>
                </c:pt>
                <c:pt idx="103">
                  <c:v>1.144615403633043E-2</c:v>
                </c:pt>
                <c:pt idx="104">
                  <c:v>1.3352645350053621E-2</c:v>
                </c:pt>
                <c:pt idx="105">
                  <c:v>1.1529814848841883E-2</c:v>
                </c:pt>
                <c:pt idx="106">
                  <c:v>8.8439153653465854E-3</c:v>
                </c:pt>
                <c:pt idx="107">
                  <c:v>6.2570510584543278E-3</c:v>
                </c:pt>
                <c:pt idx="108">
                  <c:v>6.7243636331011979E-3</c:v>
                </c:pt>
                <c:pt idx="109">
                  <c:v>6.9008579103661694E-3</c:v>
                </c:pt>
                <c:pt idx="110">
                  <c:v>8.9566995005211075E-3</c:v>
                </c:pt>
                <c:pt idx="111">
                  <c:v>6.1964520774500133E-3</c:v>
                </c:pt>
                <c:pt idx="112">
                  <c:v>8.6297022636274805E-3</c:v>
                </c:pt>
                <c:pt idx="113">
                  <c:v>8.8046388196315311E-3</c:v>
                </c:pt>
                <c:pt idx="114">
                  <c:v>1.0483806436274522E-2</c:v>
                </c:pt>
                <c:pt idx="115">
                  <c:v>1.3107602047818375E-2</c:v>
                </c:pt>
                <c:pt idx="116">
                  <c:v>8.4980437636840711E-3</c:v>
                </c:pt>
                <c:pt idx="117">
                  <c:v>9.3362737038798025E-3</c:v>
                </c:pt>
                <c:pt idx="118">
                  <c:v>1.0286382053218631E-2</c:v>
                </c:pt>
                <c:pt idx="119">
                  <c:v>1.0496960717299832E-2</c:v>
                </c:pt>
                <c:pt idx="120">
                  <c:v>6.5881373522335418E-3</c:v>
                </c:pt>
                <c:pt idx="121">
                  <c:v>8.82726837731607E-3</c:v>
                </c:pt>
                <c:pt idx="122">
                  <c:v>6.3243503217057621E-3</c:v>
                </c:pt>
                <c:pt idx="123">
                  <c:v>7.4092555777807876E-3</c:v>
                </c:pt>
                <c:pt idx="124">
                  <c:v>1.2001124536928259E-2</c:v>
                </c:pt>
                <c:pt idx="125">
                  <c:v>8.5702503821811424E-3</c:v>
                </c:pt>
                <c:pt idx="126">
                  <c:v>9.6730466014267949E-3</c:v>
                </c:pt>
                <c:pt idx="127">
                  <c:v>1.3585484214154685E-2</c:v>
                </c:pt>
                <c:pt idx="128">
                  <c:v>1.0586972191311297E-2</c:v>
                </c:pt>
                <c:pt idx="129">
                  <c:v>1.0505709367298589E-2</c:v>
                </c:pt>
                <c:pt idx="130">
                  <c:v>8.5960068884745507E-3</c:v>
                </c:pt>
                <c:pt idx="131">
                  <c:v>8.7498660534212E-3</c:v>
                </c:pt>
                <c:pt idx="132">
                  <c:v>6.7767411286185726E-3</c:v>
                </c:pt>
                <c:pt idx="133">
                  <c:v>1.084269284788048E-2</c:v>
                </c:pt>
                <c:pt idx="134">
                  <c:v>5.6332292662990549E-3</c:v>
                </c:pt>
                <c:pt idx="135">
                  <c:v>5.4873259767698034E-3</c:v>
                </c:pt>
                <c:pt idx="136">
                  <c:v>3.4751874545201089E-3</c:v>
                </c:pt>
                <c:pt idx="137">
                  <c:v>5.0977564919833284E-3</c:v>
                </c:pt>
                <c:pt idx="138">
                  <c:v>4.1744110829317962E-3</c:v>
                </c:pt>
                <c:pt idx="139">
                  <c:v>2.5280416460230588E-3</c:v>
                </c:pt>
                <c:pt idx="140">
                  <c:v>1.0496307645678593E-3</c:v>
                </c:pt>
                <c:pt idx="141">
                  <c:v>1.6046215350391639E-3</c:v>
                </c:pt>
                <c:pt idx="142">
                  <c:v>5.9136188265584207E-4</c:v>
                </c:pt>
                <c:pt idx="143">
                  <c:v>1.8447596187173425E-4</c:v>
                </c:pt>
                <c:pt idx="144">
                  <c:v>4.1487588191122108E-5</c:v>
                </c:pt>
                <c:pt idx="145">
                  <c:v>3.4564297513105206E-5</c:v>
                </c:pt>
                <c:pt idx="146">
                  <c:v>1.6660674692097621E-5</c:v>
                </c:pt>
                <c:pt idx="147">
                  <c:v>1.9480408334096119E-5</c:v>
                </c:pt>
                <c:pt idx="148">
                  <c:v>1.2311037437195206E-5</c:v>
                </c:pt>
                <c:pt idx="149">
                  <c:v>9.2290722660286876E-6</c:v>
                </c:pt>
                <c:pt idx="150">
                  <c:v>4.0188775993598199E-6</c:v>
                </c:pt>
                <c:pt idx="151">
                  <c:v>1.3443165505559411E-6</c:v>
                </c:pt>
                <c:pt idx="152">
                  <c:v>3.1477795126686863E-7</c:v>
                </c:pt>
                <c:pt idx="153">
                  <c:v>3.4637708919481396E-7</c:v>
                </c:pt>
                <c:pt idx="154">
                  <c:v>3.3613917486556006E-7</c:v>
                </c:pt>
                <c:pt idx="155">
                  <c:v>8.7876299824873799E-7</c:v>
                </c:pt>
                <c:pt idx="156">
                  <c:v>2.0168325606239353E-6</c:v>
                </c:pt>
                <c:pt idx="157">
                  <c:v>6.7433317863156962E-6</c:v>
                </c:pt>
                <c:pt idx="158">
                  <c:v>1.2836396622348315E-5</c:v>
                </c:pt>
                <c:pt idx="159">
                  <c:v>2.2736622192364605E-6</c:v>
                </c:pt>
                <c:pt idx="160">
                  <c:v>4.3957429036110884E-7</c:v>
                </c:pt>
                <c:pt idx="161">
                  <c:v>2.8157659824082947E-6</c:v>
                </c:pt>
                <c:pt idx="162">
                  <c:v>4.4875446725747128E-6</c:v>
                </c:pt>
                <c:pt idx="163">
                  <c:v>3.5911514223504715E-6</c:v>
                </c:pt>
                <c:pt idx="164">
                  <c:v>4.2191076821010592E-6</c:v>
                </c:pt>
                <c:pt idx="165">
                  <c:v>5.5777852487648428E-7</c:v>
                </c:pt>
                <c:pt idx="166">
                  <c:v>2.5521019341734099E-8</c:v>
                </c:pt>
                <c:pt idx="167">
                  <c:v>9.4355062366972701E-10</c:v>
                </c:pt>
                <c:pt idx="168">
                  <c:v>1.1381279904620805E-9</c:v>
                </c:pt>
                <c:pt idx="169">
                  <c:v>2.0490326354418859E-12</c:v>
                </c:pt>
                <c:pt idx="170">
                  <c:v>4.7864340910425962E-13</c:v>
                </c:pt>
                <c:pt idx="171">
                  <c:v>5.1832191399319838E-13</c:v>
                </c:pt>
                <c:pt idx="172">
                  <c:v>1.1408875892971214E-13</c:v>
                </c:pt>
                <c:pt idx="173">
                  <c:v>1.2149832821692558E-13</c:v>
                </c:pt>
                <c:pt idx="174">
                  <c:v>1.0504905321353248E-13</c:v>
                </c:pt>
                <c:pt idx="175">
                  <c:v>5.6297853220512497E-13</c:v>
                </c:pt>
                <c:pt idx="176">
                  <c:v>3.7289738140747825E-13</c:v>
                </c:pt>
                <c:pt idx="177">
                  <c:v>5.1274607309976938E-14</c:v>
                </c:pt>
                <c:pt idx="178">
                  <c:v>1.465873681050915E-13</c:v>
                </c:pt>
                <c:pt idx="179">
                  <c:v>1.7030548915412861E-15</c:v>
                </c:pt>
                <c:pt idx="180">
                  <c:v>6.8063842427565898E-16</c:v>
                </c:pt>
                <c:pt idx="181">
                  <c:v>4.4238630433063423E-17</c:v>
                </c:pt>
                <c:pt idx="182">
                  <c:v>1.0687532586423405E-15</c:v>
                </c:pt>
                <c:pt idx="183">
                  <c:v>5.0573998570808498E-17</c:v>
                </c:pt>
                <c:pt idx="184">
                  <c:v>1.117446794917479E-16</c:v>
                </c:pt>
                <c:pt idx="185">
                  <c:v>2.2168463165752606E-15</c:v>
                </c:pt>
                <c:pt idx="186">
                  <c:v>5.1821130777661295E-16</c:v>
                </c:pt>
                <c:pt idx="187">
                  <c:v>2.1199696748964116E-17</c:v>
                </c:pt>
                <c:pt idx="188">
                  <c:v>1.104950680088408E-18</c:v>
                </c:pt>
                <c:pt idx="189">
                  <c:v>4.1565023286494928E-21</c:v>
                </c:pt>
                <c:pt idx="190">
                  <c:v>2.2047665279716029E-23</c:v>
                </c:pt>
                <c:pt idx="191">
                  <c:v>3.8069480946581179E-25</c:v>
                </c:pt>
                <c:pt idx="192">
                  <c:v>1.4453702832276854E-31</c:v>
                </c:pt>
                <c:pt idx="193">
                  <c:v>5.6792253936621743E-31</c:v>
                </c:pt>
                <c:pt idx="194">
                  <c:v>2.6824349874000739E-39</c:v>
                </c:pt>
                <c:pt idx="195">
                  <c:v>1.1029129580257583E-52</c:v>
                </c:pt>
                <c:pt idx="196">
                  <c:v>1.8709968534620981E-61</c:v>
                </c:pt>
                <c:pt idx="197">
                  <c:v>3.4187343375858849E-87</c:v>
                </c:pt>
                <c:pt idx="198">
                  <c:v>9.8350914835538584E-131</c:v>
                </c:pt>
                <c:pt idx="199">
                  <c:v>1.6699397146147182E-239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48624"/>
        <c:axId val="-967487568"/>
      </c:scatterChart>
      <c:valAx>
        <c:axId val="-96745377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1456"/>
        <c:crosses val="autoZero"/>
        <c:crossBetween val="midCat"/>
      </c:valAx>
      <c:valAx>
        <c:axId val="-9674514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3776"/>
        <c:crosses val="autoZero"/>
        <c:crossBetween val="midCat"/>
      </c:valAx>
      <c:valAx>
        <c:axId val="-96744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7487568"/>
        <c:crosses val="autoZero"/>
        <c:crossBetween val="midCat"/>
      </c:valAx>
      <c:valAx>
        <c:axId val="-967487568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4862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1" i="0" u="none" strike="noStrike" baseline="0"/>
              <a:t>Call Option: Uncertain Volatility vs. </a:t>
            </a:r>
            <a:r>
              <a:rPr lang="en-GB"/>
              <a:t>Black-Scholes</a:t>
            </a:r>
            <a:r>
              <a:rPr lang="en-GB" baseline="0"/>
              <a:t> </a:t>
            </a:r>
            <a:endParaRPr lang="en-GB"/>
          </a:p>
        </c:rich>
      </c:tx>
      <c:layout>
        <c:manualLayout>
          <c:xMode val="edge"/>
          <c:yMode val="edge"/>
          <c:x val="0.216828818727756"/>
          <c:y val="7.0559610705596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70025646657606E-2"/>
          <c:y val="0.17274980219216199"/>
          <c:w val="0.88026029066211997"/>
          <c:h val="0.698298496185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'Uncertain Vol.'!$L$1</c:f>
              <c:strCache>
                <c:ptCount val="1"/>
                <c:pt idx="0">
                  <c:v>payoff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Vol.'!$L$2:$L$101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28</c:v>
                </c:pt>
                <c:pt idx="65">
                  <c:v>30</c:v>
                </c:pt>
                <c:pt idx="66">
                  <c:v>32</c:v>
                </c:pt>
                <c:pt idx="67">
                  <c:v>34</c:v>
                </c:pt>
                <c:pt idx="68">
                  <c:v>36</c:v>
                </c:pt>
                <c:pt idx="69">
                  <c:v>38</c:v>
                </c:pt>
                <c:pt idx="70">
                  <c:v>40</c:v>
                </c:pt>
                <c:pt idx="71">
                  <c:v>42</c:v>
                </c:pt>
                <c:pt idx="72">
                  <c:v>44</c:v>
                </c:pt>
                <c:pt idx="73">
                  <c:v>46</c:v>
                </c:pt>
                <c:pt idx="74">
                  <c:v>48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78">
                  <c:v>56</c:v>
                </c:pt>
                <c:pt idx="79">
                  <c:v>58</c:v>
                </c:pt>
                <c:pt idx="80">
                  <c:v>60</c:v>
                </c:pt>
                <c:pt idx="81">
                  <c:v>62</c:v>
                </c:pt>
                <c:pt idx="82">
                  <c:v>64</c:v>
                </c:pt>
                <c:pt idx="83">
                  <c:v>66</c:v>
                </c:pt>
                <c:pt idx="84">
                  <c:v>68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76</c:v>
                </c:pt>
                <c:pt idx="89">
                  <c:v>78</c:v>
                </c:pt>
                <c:pt idx="90">
                  <c:v>80</c:v>
                </c:pt>
                <c:pt idx="91">
                  <c:v>82</c:v>
                </c:pt>
                <c:pt idx="92">
                  <c:v>84</c:v>
                </c:pt>
                <c:pt idx="93">
                  <c:v>86</c:v>
                </c:pt>
                <c:pt idx="94">
                  <c:v>88</c:v>
                </c:pt>
                <c:pt idx="95">
                  <c:v>90</c:v>
                </c:pt>
                <c:pt idx="96">
                  <c:v>92</c:v>
                </c:pt>
                <c:pt idx="97">
                  <c:v>94</c:v>
                </c:pt>
                <c:pt idx="98">
                  <c:v>96</c:v>
                </c:pt>
                <c:pt idx="99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7A-4B40-94E4-F497ADA150A5}"/>
            </c:ext>
          </c:extLst>
        </c:ser>
        <c:ser>
          <c:idx val="1"/>
          <c:order val="1"/>
          <c:tx>
            <c:strRef>
              <c:f>'Uncertain Vol.'!$M$1</c:f>
              <c:strCache>
                <c:ptCount val="1"/>
                <c:pt idx="0">
                  <c:v>UV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Vol.'!$M$2:$M$101</c:f>
              <c:numCache>
                <c:formatCode>0.0000</c:formatCode>
                <c:ptCount val="100"/>
                <c:pt idx="0">
                  <c:v>0</c:v>
                </c:pt>
                <c:pt idx="1">
                  <c:v>2.2544624073056298E-40</c:v>
                </c:pt>
                <c:pt idx="2">
                  <c:v>4.2958761208341698E-37</c:v>
                </c:pt>
                <c:pt idx="3">
                  <c:v>2.7443709690886624E-34</c:v>
                </c:pt>
                <c:pt idx="4">
                  <c:v>8.6558074255347441E-32</c:v>
                </c:pt>
                <c:pt idx="5">
                  <c:v>1.6051261312859586E-29</c:v>
                </c:pt>
                <c:pt idx="6">
                  <c:v>1.9369655663212971E-27</c:v>
                </c:pt>
                <c:pt idx="7">
                  <c:v>1.6261350402759054E-25</c:v>
                </c:pt>
                <c:pt idx="8">
                  <c:v>9.9594533212179348E-24</c:v>
                </c:pt>
                <c:pt idx="9">
                  <c:v>4.6112312897593474E-22</c:v>
                </c:pt>
                <c:pt idx="10">
                  <c:v>1.6594122098146663E-20</c:v>
                </c:pt>
                <c:pt idx="11">
                  <c:v>4.7461466385313518E-19</c:v>
                </c:pt>
                <c:pt idx="12">
                  <c:v>1.0989369073054653E-17</c:v>
                </c:pt>
                <c:pt idx="13">
                  <c:v>2.0921190069822161E-16</c:v>
                </c:pt>
                <c:pt idx="14">
                  <c:v>3.318687406954774E-15</c:v>
                </c:pt>
                <c:pt idx="15">
                  <c:v>4.43774415207013E-14</c:v>
                </c:pt>
                <c:pt idx="16">
                  <c:v>5.0541655533939644E-13</c:v>
                </c:pt>
                <c:pt idx="17">
                  <c:v>4.9482258776300384E-12</c:v>
                </c:pt>
                <c:pt idx="18">
                  <c:v>4.199738293320528E-11</c:v>
                </c:pt>
                <c:pt idx="19">
                  <c:v>3.1141303493047954E-10</c:v>
                </c:pt>
                <c:pt idx="20">
                  <c:v>2.0320158712333621E-9</c:v>
                </c:pt>
                <c:pt idx="21">
                  <c:v>1.1747213583690334E-8</c:v>
                </c:pt>
                <c:pt idx="22">
                  <c:v>6.0554020816100939E-8</c:v>
                </c:pt>
                <c:pt idx="23">
                  <c:v>2.8002773172814576E-7</c:v>
                </c:pt>
                <c:pt idx="24">
                  <c:v>1.168542195932668E-6</c:v>
                </c:pt>
                <c:pt idx="25">
                  <c:v>4.4249463993535491E-6</c:v>
                </c:pt>
                <c:pt idx="26">
                  <c:v>1.5287482192303919E-5</c:v>
                </c:pt>
                <c:pt idx="27">
                  <c:v>4.8438149616589388E-5</c:v>
                </c:pt>
                <c:pt idx="28">
                  <c:v>1.4146230453167418E-4</c:v>
                </c:pt>
                <c:pt idx="29">
                  <c:v>3.8264293422298471E-4</c:v>
                </c:pt>
                <c:pt idx="30">
                  <c:v>9.6308600074236563E-4</c:v>
                </c:pt>
                <c:pt idx="31">
                  <c:v>2.2656529191287258E-3</c:v>
                </c:pt>
                <c:pt idx="32">
                  <c:v>5.0030663952406436E-3</c:v>
                </c:pt>
                <c:pt idx="33">
                  <c:v>1.0412852416255015E-2</c:v>
                </c:pt>
                <c:pt idx="34">
                  <c:v>2.0506313934113923E-2</c:v>
                </c:pt>
                <c:pt idx="35">
                  <c:v>3.8353211403568746E-2</c:v>
                </c:pt>
                <c:pt idx="36">
                  <c:v>6.8366351210363857E-2</c:v>
                </c:pt>
                <c:pt idx="37">
                  <c:v>0.11653584021828281</c:v>
                </c:pt>
                <c:pt idx="38">
                  <c:v>0.19055670561792035</c:v>
                </c:pt>
                <c:pt idx="39">
                  <c:v>0.29979963926572611</c:v>
                </c:pt>
                <c:pt idx="40">
                  <c:v>0.45509332595625035</c:v>
                </c:pt>
                <c:pt idx="41">
                  <c:v>0.66831497309454324</c:v>
                </c:pt>
                <c:pt idx="42">
                  <c:v>0.95181723131057627</c:v>
                </c:pt>
                <c:pt idx="43">
                  <c:v>1.3177475971893169</c:v>
                </c:pt>
                <c:pt idx="44">
                  <c:v>1.7773345697251925</c:v>
                </c:pt>
                <c:pt idx="45">
                  <c:v>2.3402198611316662</c:v>
                </c:pt>
                <c:pt idx="46">
                  <c:v>3.0139076707286923</c:v>
                </c:pt>
                <c:pt idx="47">
                  <c:v>3.8033831493922849</c:v>
                </c:pt>
                <c:pt idx="48">
                  <c:v>4.7109272716747768</c:v>
                </c:pt>
                <c:pt idx="49">
                  <c:v>5.7361294449367133</c:v>
                </c:pt>
                <c:pt idx="50">
                  <c:v>6.8760766824844906</c:v>
                </c:pt>
                <c:pt idx="51">
                  <c:v>8.1256819690280224</c:v>
                </c:pt>
                <c:pt idx="52">
                  <c:v>9.4781057731176528</c:v>
                </c:pt>
                <c:pt idx="53">
                  <c:v>10.925223211421688</c:v>
                </c:pt>
                <c:pt idx="54">
                  <c:v>12.458093759675656</c:v>
                </c:pt>
                <c:pt idx="55">
                  <c:v>14.067398697316614</c:v>
                </c:pt>
                <c:pt idx="56">
                  <c:v>15.743821655874514</c:v>
                </c:pt>
                <c:pt idx="57">
                  <c:v>17.478357978069599</c:v>
                </c:pt>
                <c:pt idx="58">
                  <c:v>19.262547813644169</c:v>
                </c:pt>
                <c:pt idx="59">
                  <c:v>21.088635223765468</c:v>
                </c:pt>
                <c:pt idx="60">
                  <c:v>22.949660748211301</c:v>
                </c:pt>
                <c:pt idx="61">
                  <c:v>24.839497975829232</c:v>
                </c:pt>
                <c:pt idx="62">
                  <c:v>26.752845947776809</c:v>
                </c:pt>
                <c:pt idx="63">
                  <c:v>28.685189128418195</c:v>
                </c:pt>
                <c:pt idx="64">
                  <c:v>30.632735636795058</c:v>
                </c:pt>
                <c:pt idx="65">
                  <c:v>32.592342839061018</c:v>
                </c:pt>
                <c:pt idx="66">
                  <c:v>34.561437582074426</c:v>
                </c:pt>
                <c:pt idx="67">
                  <c:v>36.537936537596181</c:v>
                </c:pt>
                <c:pt idx="68">
                  <c:v>38.520170480070419</c:v>
                </c:pt>
                <c:pt idx="69">
                  <c:v>40.506814923799844</c:v>
                </c:pt>
                <c:pt idx="70">
                  <c:v>42.49682842891189</c:v>
                </c:pt>
                <c:pt idx="71">
                  <c:v>44.489399044106122</c:v>
                </c:pt>
                <c:pt idx="72">
                  <c:v>46.483898759219876</c:v>
                </c:pt>
                <c:pt idx="73">
                  <c:v>48.479845452155722</c:v>
                </c:pt>
                <c:pt idx="74">
                  <c:v>50.476871589454099</c:v>
                </c:pt>
                <c:pt idx="75">
                  <c:v>52.474698836647363</c:v>
                </c:pt>
                <c:pt idx="76">
                  <c:v>54.473117717500713</c:v>
                </c:pt>
                <c:pt idx="77">
                  <c:v>56.471971500766628</c:v>
                </c:pt>
                <c:pt idx="78">
                  <c:v>58.471143566163377</c:v>
                </c:pt>
                <c:pt idx="79">
                  <c:v>60.470547590978313</c:v>
                </c:pt>
                <c:pt idx="80">
                  <c:v>62.470119993159727</c:v>
                </c:pt>
                <c:pt idx="81">
                  <c:v>64.469814158279348</c:v>
                </c:pt>
                <c:pt idx="82">
                  <c:v>66.469596061731124</c:v>
                </c:pt>
                <c:pt idx="83">
                  <c:v>68.469440971662621</c:v>
                </c:pt>
                <c:pt idx="84">
                  <c:v>70.469330981649861</c:v>
                </c:pt>
                <c:pt idx="85">
                  <c:v>72.469253175266417</c:v>
                </c:pt>
                <c:pt idx="86">
                  <c:v>74.469198268289688</c:v>
                </c:pt>
                <c:pt idx="87">
                  <c:v>76.469159609458984</c:v>
                </c:pt>
                <c:pt idx="88">
                  <c:v>78.469132448669782</c:v>
                </c:pt>
                <c:pt idx="89">
                  <c:v>80.469113403455836</c:v>
                </c:pt>
                <c:pt idx="90">
                  <c:v>82.469100071669857</c:v>
                </c:pt>
                <c:pt idx="91">
                  <c:v>84.469090751390709</c:v>
                </c:pt>
                <c:pt idx="92">
                  <c:v>86.469084239079962</c:v>
                </c:pt>
                <c:pt idx="93">
                  <c:v>88.469079684563596</c:v>
                </c:pt>
                <c:pt idx="94">
                  <c:v>90.469076487080002</c:v>
                </c:pt>
                <c:pt idx="95">
                  <c:v>92.469074220853841</c:v>
                </c:pt>
                <c:pt idx="96">
                  <c:v>94.469072581776089</c:v>
                </c:pt>
                <c:pt idx="97">
                  <c:v>96.46907134906472</c:v>
                </c:pt>
                <c:pt idx="98">
                  <c:v>98.469070357455038</c:v>
                </c:pt>
                <c:pt idx="99">
                  <c:v>100.46906947668487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7A-4B40-94E4-F497ADA150A5}"/>
            </c:ext>
          </c:extLst>
        </c:ser>
        <c:ser>
          <c:idx val="2"/>
          <c:order val="2"/>
          <c:tx>
            <c:strRef>
              <c:f>'Uncertain Vol.'!$N$1</c:f>
              <c:strCache>
                <c:ptCount val="1"/>
                <c:pt idx="0">
                  <c:v>BS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'Uncertain Vol.'!$N$2:$N$102</c:f>
              <c:numCache>
                <c:formatCode>0.0000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3.3306690738754696E-15</c:v>
                </c:pt>
                <c:pt idx="16">
                  <c:v>5.7456340104937602E-15</c:v>
                </c:pt>
                <c:pt idx="17">
                  <c:v>5.3117304611292542E-14</c:v>
                </c:pt>
                <c:pt idx="18">
                  <c:v>1.0230951254565479E-12</c:v>
                </c:pt>
                <c:pt idx="19">
                  <c:v>1.6095682188097928E-11</c:v>
                </c:pt>
                <c:pt idx="20">
                  <c:v>1.930216996562394E-10</c:v>
                </c:pt>
                <c:pt idx="21">
                  <c:v>1.8242997026938244E-9</c:v>
                </c:pt>
                <c:pt idx="22">
                  <c:v>1.3970713350862492E-8</c:v>
                </c:pt>
                <c:pt idx="23">
                  <c:v>8.8771985901954796E-8</c:v>
                </c:pt>
                <c:pt idx="24">
                  <c:v>4.7763169975743993E-7</c:v>
                </c:pt>
                <c:pt idx="25">
                  <c:v>2.2144978938359991E-6</c:v>
                </c:pt>
                <c:pt idx="26">
                  <c:v>8.9829114202776179E-6</c:v>
                </c:pt>
                <c:pt idx="27">
                  <c:v>3.2305009845541533E-5</c:v>
                </c:pt>
                <c:pt idx="28">
                  <c:v>1.0420191214526855E-4</c:v>
                </c:pt>
                <c:pt idx="29">
                  <c:v>3.0456287098686377E-4</c:v>
                </c:pt>
                <c:pt idx="30">
                  <c:v>8.139652850463891E-4</c:v>
                </c:pt>
                <c:pt idx="31">
                  <c:v>2.0052025005018251E-3</c:v>
                </c:pt>
                <c:pt idx="32">
                  <c:v>4.5862166887150752E-3</c:v>
                </c:pt>
                <c:pt idx="33">
                  <c:v>9.8014708990293298E-3</c:v>
                </c:pt>
                <c:pt idx="34">
                  <c:v>1.9687169983491071E-2</c:v>
                </c:pt>
                <c:pt idx="35">
                  <c:v>3.7359440651769993E-2</c:v>
                </c:pt>
                <c:pt idx="36">
                  <c:v>6.7297256549429418E-2</c:v>
                </c:pt>
                <c:pt idx="37">
                  <c:v>0.11556871246050759</c:v>
                </c:pt>
                <c:pt idx="38">
                  <c:v>0.18994520352937494</c:v>
                </c:pt>
                <c:pt idx="39">
                  <c:v>0.29985610463308454</c:v>
                </c:pt>
                <c:pt idx="40">
                  <c:v>0.45615635982011149</c:v>
                </c:pt>
                <c:pt idx="41">
                  <c:v>0.67070732469980854</c:v>
                </c:pt>
                <c:pt idx="42">
                  <c:v>0.95580132769995352</c:v>
                </c:pt>
                <c:pt idx="43">
                  <c:v>1.3234862974145862</c:v>
                </c:pt>
                <c:pt idx="44">
                  <c:v>1.78486329032825</c:v>
                </c:pt>
                <c:pt idx="45">
                  <c:v>2.3494341850316296</c:v>
                </c:pt>
                <c:pt idx="46">
                  <c:v>3.0245693680775005</c:v>
                </c:pt>
                <c:pt idx="47">
                  <c:v>3.8151484910708291</c:v>
                </c:pt>
                <c:pt idx="48">
                  <c:v>4.7234053100201905</c:v>
                </c:pt>
                <c:pt idx="49">
                  <c:v>5.7489146267422626</c:v>
                </c:pt>
                <c:pt idx="50">
                  <c:v>6.8887182220808114</c:v>
                </c:pt>
                <c:pt idx="51">
                  <c:v>8.1378429106297432</c:v>
                </c:pt>
                <c:pt idx="52">
                  <c:v>9.4894820162950069</c:v>
                </c:pt>
                <c:pt idx="53">
                  <c:v>10.935584394802987</c:v>
                </c:pt>
                <c:pt idx="54">
                  <c:v>12.467296157216609</c:v>
                </c:pt>
                <c:pt idx="55">
                  <c:v>14.075380149176652</c:v>
                </c:pt>
                <c:pt idx="56">
                  <c:v>15.750588470135213</c:v>
                </c:pt>
                <c:pt idx="57">
                  <c:v>17.483969057349725</c:v>
                </c:pt>
                <c:pt idx="58">
                  <c:v>19.267098798317889</c:v>
                </c:pt>
                <c:pt idx="59">
                  <c:v>21.092244136402059</c:v>
                </c:pt>
                <c:pt idx="60">
                  <c:v>22.952455889941064</c:v>
                </c:pt>
                <c:pt idx="61">
                  <c:v>24.841608373259191</c:v>
                </c:pt>
                <c:pt idx="62">
                  <c:v>26.754394347614507</c:v>
                </c:pt>
                <c:pt idx="63">
                  <c:v>28.686287333137415</c:v>
                </c:pt>
                <c:pt idx="64">
                  <c:v>30.633481847385454</c:v>
                </c:pt>
                <c:pt idx="65">
                  <c:v>32.59282060803946</c:v>
                </c:pt>
                <c:pt idx="66">
                  <c:v>34.561715969495623</c:v>
                </c:pt>
                <c:pt idx="67">
                  <c:v>36.538071091149845</c:v>
                </c:pt>
                <c:pt idx="68">
                  <c:v>38.520204713418394</c:v>
                </c:pt>
                <c:pt idx="69">
                  <c:v>40.506782032316707</c:v>
                </c:pt>
                <c:pt idx="70">
                  <c:v>42.496753048744964</c:v>
                </c:pt>
                <c:pt idx="71">
                  <c:v>44.489298921859856</c:v>
                </c:pt>
                <c:pt idx="72">
                  <c:v>46.483786251463471</c:v>
                </c:pt>
                <c:pt idx="73">
                  <c:v>48.479728814687334</c:v>
                </c:pt>
                <c:pt idx="74">
                  <c:v>50.47675604594555</c:v>
                </c:pt>
                <c:pt idx="75">
                  <c:v>52.474587436175227</c:v>
                </c:pt>
                <c:pt idx="76">
                  <c:v>54.473012002326854</c:v>
                </c:pt>
                <c:pt idx="77">
                  <c:v>56.471872011486965</c:v>
                </c:pt>
                <c:pt idx="78">
                  <c:v>58.47105021279279</c:v>
                </c:pt>
                <c:pt idx="79">
                  <c:v>60.470459917199321</c:v>
                </c:pt>
                <c:pt idx="80">
                  <c:v>62.470037358028833</c:v>
                </c:pt>
                <c:pt idx="81">
                  <c:v>64.469735856025423</c:v>
                </c:pt>
                <c:pt idx="82">
                  <c:v>66.469521396489284</c:v>
                </c:pt>
                <c:pt idx="83">
                  <c:v>68.469369300429165</c:v>
                </c:pt>
                <c:pt idx="84">
                  <c:v>70.46926173561684</c:v>
                </c:pt>
                <c:pt idx="85">
                  <c:v>72.469185867075353</c:v>
                </c:pt>
                <c:pt idx="86">
                  <c:v>74.469132490638046</c:v>
                </c:pt>
                <c:pt idx="87">
                  <c:v>76.469095028854667</c:v>
                </c:pt>
                <c:pt idx="88">
                  <c:v>78.469068796896181</c:v>
                </c:pt>
                <c:pt idx="89">
                  <c:v>80.469050468410956</c:v>
                </c:pt>
                <c:pt idx="90">
                  <c:v>82.469037688609603</c:v>
                </c:pt>
                <c:pt idx="91">
                  <c:v>84.469028795177735</c:v>
                </c:pt>
                <c:pt idx="92">
                  <c:v>86.469022617765759</c:v>
                </c:pt>
                <c:pt idx="93">
                  <c:v>88.469018334470903</c:v>
                </c:pt>
                <c:pt idx="94">
                  <c:v>90.469015369474533</c:v>
                </c:pt>
                <c:pt idx="95">
                  <c:v>92.469013320276034</c:v>
                </c:pt>
                <c:pt idx="96">
                  <c:v>94.469011906128031</c:v>
                </c:pt>
                <c:pt idx="97">
                  <c:v>96.46901093160433</c:v>
                </c:pt>
                <c:pt idx="98">
                  <c:v>98.469010260931171</c:v>
                </c:pt>
                <c:pt idx="99">
                  <c:v>100.46900979994984</c:v>
                </c:pt>
                <c:pt idx="100">
                  <c:v>102.46900948347353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7A-4B40-94E4-F497ADA15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24784"/>
        <c:axId val="-967422032"/>
      </c:scatterChart>
      <c:valAx>
        <c:axId val="-96742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2032"/>
        <c:crosses val="autoZero"/>
        <c:crossBetween val="midCat"/>
      </c:valAx>
      <c:valAx>
        <c:axId val="-967422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4784"/>
        <c:crosses val="autoZero"/>
        <c:crossBetween val="midCat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935326045409399"/>
          <c:y val="0.92457650822844195"/>
          <c:w val="0.43689388341020502"/>
          <c:h val="5.83944160264638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40434332988598E-2"/>
          <c:y val="3.5593220338983003E-2"/>
          <c:w val="0.81075491209927597"/>
          <c:h val="0.9288135593220340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'Uncertain Vol.'!$O$1</c:f>
              <c:strCache>
                <c:ptCount val="1"/>
                <c:pt idx="0">
                  <c:v>Worst Case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Vol.'!$O$2:$O$101</c:f>
              <c:numCache>
                <c:formatCode>0.0000</c:formatCode>
                <c:ptCount val="100"/>
                <c:pt idx="0">
                  <c:v>0</c:v>
                </c:pt>
                <c:pt idx="1">
                  <c:v>6.5999928942209183E-41</c:v>
                </c:pt>
                <c:pt idx="2">
                  <c:v>1.2460186635953301E-37</c:v>
                </c:pt>
                <c:pt idx="3">
                  <c:v>7.8832618108765562E-35</c:v>
                </c:pt>
                <c:pt idx="4">
                  <c:v>2.4613143558263484E-32</c:v>
                </c:pt>
                <c:pt idx="5">
                  <c:v>4.5160446488446657E-30</c:v>
                </c:pt>
                <c:pt idx="6">
                  <c:v>5.3893947263842175E-28</c:v>
                </c:pt>
                <c:pt idx="7">
                  <c:v>4.4720694373077566E-26</c:v>
                </c:pt>
                <c:pt idx="8">
                  <c:v>2.7056427496266355E-24</c:v>
                </c:pt>
                <c:pt idx="9">
                  <c:v>1.2367088376263686E-22</c:v>
                </c:pt>
                <c:pt idx="10">
                  <c:v>4.3907170219930363E-21</c:v>
                </c:pt>
                <c:pt idx="11">
                  <c:v>1.2380819060867765E-19</c:v>
                </c:pt>
                <c:pt idx="12">
                  <c:v>2.8241320476253375E-18</c:v>
                </c:pt>
                <c:pt idx="13">
                  <c:v>5.2924799938537336E-17</c:v>
                </c:pt>
                <c:pt idx="14">
                  <c:v>8.2572455604461484E-16</c:v>
                </c:pt>
                <c:pt idx="15">
                  <c:v>1.0850273400968663E-14</c:v>
                </c:pt>
                <c:pt idx="16">
                  <c:v>1.213189406858208E-13</c:v>
                </c:pt>
                <c:pt idx="17">
                  <c:v>1.1649244973377972E-12</c:v>
                </c:pt>
                <c:pt idx="18">
                  <c:v>9.6869056117737397E-12</c:v>
                </c:pt>
                <c:pt idx="19">
                  <c:v>7.0297001366058543E-11</c:v>
                </c:pt>
                <c:pt idx="20">
                  <c:v>4.4839866767771508E-10</c:v>
                </c:pt>
                <c:pt idx="21">
                  <c:v>2.5309717956863414E-9</c:v>
                </c:pt>
                <c:pt idx="22">
                  <c:v>1.2722352913728187E-8</c:v>
                </c:pt>
                <c:pt idx="23">
                  <c:v>5.7297288384834033E-8</c:v>
                </c:pt>
                <c:pt idx="24">
                  <c:v>2.3254312982911199E-7</c:v>
                </c:pt>
                <c:pt idx="25">
                  <c:v>8.5524982188859132E-7</c:v>
                </c:pt>
                <c:pt idx="26">
                  <c:v>2.8656967880624489E-6</c:v>
                </c:pt>
                <c:pt idx="27">
                  <c:v>8.7934563300850459E-6</c:v>
                </c:pt>
                <c:pt idx="28">
                  <c:v>2.4833935410589716E-5</c:v>
                </c:pt>
                <c:pt idx="29">
                  <c:v>6.4859561849831996E-5</c:v>
                </c:pt>
                <c:pt idx="30">
                  <c:v>1.5738112517821692E-4</c:v>
                </c:pt>
                <c:pt idx="31">
                  <c:v>3.5637741633169184E-4</c:v>
                </c:pt>
                <c:pt idx="32">
                  <c:v>7.5630246995005796E-4</c:v>
                </c:pt>
                <c:pt idx="33">
                  <c:v>1.5103479880940872E-3</c:v>
                </c:pt>
                <c:pt idx="34">
                  <c:v>2.8493253727151077E-3</c:v>
                </c:pt>
                <c:pt idx="35">
                  <c:v>5.0967943605067139E-3</c:v>
                </c:pt>
                <c:pt idx="36">
                  <c:v>8.674983735857034E-3</c:v>
                </c:pt>
                <c:pt idx="37">
                  <c:v>1.4096279746250818E-2</c:v>
                </c:pt>
                <c:pt idx="38">
                  <c:v>2.1936926366095288E-2</c:v>
                </c:pt>
                <c:pt idx="39">
                  <c:v>3.2792874616037443E-2</c:v>
                </c:pt>
                <c:pt idx="40">
                  <c:v>4.7221681161481129E-2</c:v>
                </c:pt>
                <c:pt idx="41">
                  <c:v>6.5677922612835768E-2</c:v>
                </c:pt>
                <c:pt idx="42">
                  <c:v>8.8451746769961731E-2</c:v>
                </c:pt>
                <c:pt idx="43">
                  <c:v>0.11562031030834174</c:v>
                </c:pt>
                <c:pt idx="44">
                  <c:v>0.14701992954651852</c:v>
                </c:pt>
                <c:pt idx="45">
                  <c:v>0.18224333245192104</c:v>
                </c:pt>
                <c:pt idx="46">
                  <c:v>0.22066231832569777</c:v>
                </c:pt>
                <c:pt idx="47">
                  <c:v>0.26147231021054779</c:v>
                </c:pt>
                <c:pt idx="48">
                  <c:v>0.30375240870138259</c:v>
                </c:pt>
                <c:pt idx="49">
                  <c:v>0.34653298523963311</c:v>
                </c:pt>
                <c:pt idx="50">
                  <c:v>0.38911034920044441</c:v>
                </c:pt>
                <c:pt idx="51">
                  <c:v>0.4310957607556305</c:v>
                </c:pt>
                <c:pt idx="52">
                  <c:v>0.47214110105950752</c:v>
                </c:pt>
                <c:pt idx="53">
                  <c:v>0.51194357001037283</c:v>
                </c:pt>
                <c:pt idx="54">
                  <c:v>0.55024824743658363</c:v>
                </c:pt>
                <c:pt idx="55">
                  <c:v>0.58684873828893591</c:v>
                </c:pt>
                <c:pt idx="56">
                  <c:v>0.62158617892061474</c:v>
                </c:pt>
                <c:pt idx="57">
                  <c:v>0.65434691113661669</c:v>
                </c:pt>
                <c:pt idx="58">
                  <c:v>0.68505913709111188</c:v>
                </c:pt>
                <c:pt idx="59">
                  <c:v>0.71368885589575537</c:v>
                </c:pt>
                <c:pt idx="60">
                  <c:v>0.74023535688709818</c:v>
                </c:pt>
                <c:pt idx="61">
                  <c:v>0.76472650963311162</c:v>
                </c:pt>
                <c:pt idx="62">
                  <c:v>0.78721405116105536</c:v>
                </c:pt>
                <c:pt idx="63">
                  <c:v>0.80776903004950096</c:v>
                </c:pt>
                <c:pt idx="64">
                  <c:v>0.82647752761546722</c:v>
                </c:pt>
                <c:pt idx="65">
                  <c:v>0.84343674031186211</c:v>
                </c:pt>
                <c:pt idx="66">
                  <c:v>0.85875147578470512</c:v>
                </c:pt>
                <c:pt idx="67">
                  <c:v>0.87253108838591631</c:v>
                </c:pt>
                <c:pt idx="68">
                  <c:v>0.8848868584000843</c:v>
                </c:pt>
                <c:pt idx="69">
                  <c:v>0.89592980259786148</c:v>
                </c:pt>
                <c:pt idx="70">
                  <c:v>0.90576889153379092</c:v>
                </c:pt>
                <c:pt idx="71">
                  <c:v>0.9145096406984452</c:v>
                </c:pt>
                <c:pt idx="72">
                  <c:v>0.92225303759807942</c:v>
                </c:pt>
                <c:pt idx="73">
                  <c:v>0.929094764454379</c:v>
                </c:pt>
                <c:pt idx="74">
                  <c:v>0.93512467591302639</c:v>
                </c:pt>
                <c:pt idx="75">
                  <c:v>0.94042649240117082</c:v>
                </c:pt>
                <c:pt idx="76">
                  <c:v>0.94507767212809701</c:v>
                </c:pt>
                <c:pt idx="77">
                  <c:v>0.94914942780087608</c:v>
                </c:pt>
                <c:pt idx="78">
                  <c:v>0.95270685761914087</c:v>
                </c:pt>
                <c:pt idx="79">
                  <c:v>0.95580916377788749</c:v>
                </c:pt>
                <c:pt idx="80">
                  <c:v>0.95850993536064277</c:v>
                </c:pt>
                <c:pt idx="81">
                  <c:v>0.9608574760143237</c:v>
                </c:pt>
                <c:pt idx="82">
                  <c:v>0.96289516007075915</c:v>
                </c:pt>
                <c:pt idx="83">
                  <c:v>0.96466180376156896</c:v>
                </c:pt>
                <c:pt idx="84">
                  <c:v>0.96619204083332966</c:v>
                </c:pt>
                <c:pt idx="85">
                  <c:v>0.96751669419971142</c:v>
                </c:pt>
                <c:pt idx="86">
                  <c:v>0.9686631372727047</c:v>
                </c:pt>
                <c:pt idx="87">
                  <c:v>0.9696556403128388</c:v>
                </c:pt>
                <c:pt idx="88">
                  <c:v>0.97051569855200592</c:v>
                </c:pt>
                <c:pt idx="89">
                  <c:v>0.97126233999966838</c:v>
                </c:pt>
                <c:pt idx="90">
                  <c:v>0.97191241177311205</c:v>
                </c:pt>
                <c:pt idx="91">
                  <c:v>0.97248084452442041</c:v>
                </c:pt>
                <c:pt idx="92">
                  <c:v>0.97298089509929331</c:v>
                </c:pt>
                <c:pt idx="93">
                  <c:v>0.97342436798225529</c:v>
                </c:pt>
                <c:pt idx="94">
                  <c:v>0.9738218163833795</c:v>
                </c:pt>
                <c:pt idx="95">
                  <c:v>0.97418272402508543</c:v>
                </c:pt>
                <c:pt idx="96">
                  <c:v>0.97451566881289886</c:v>
                </c:pt>
                <c:pt idx="97">
                  <c:v>0.974828469637808</c:v>
                </c:pt>
                <c:pt idx="98">
                  <c:v>0.9751283175740918</c:v>
                </c:pt>
                <c:pt idx="99">
                  <c:v>0.97542189271707802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BD-784A-8E0B-E1CD04AAF025}"/>
            </c:ext>
          </c:extLst>
        </c:ser>
        <c:ser>
          <c:idx val="2"/>
          <c:order val="1"/>
          <c:tx>
            <c:strRef>
              <c:f>'Uncertain Vol.'!$P$1</c:f>
              <c:strCache>
                <c:ptCount val="1"/>
                <c:pt idx="0">
                  <c:v>Best Case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Vol.'!$P$2:$P$101</c:f>
              <c:numCache>
                <c:formatCode>0.0000</c:formatCode>
                <c:ptCount val="100"/>
                <c:pt idx="0">
                  <c:v>0</c:v>
                </c:pt>
                <c:pt idx="1">
                  <c:v>8.439180566126974E-30</c:v>
                </c:pt>
                <c:pt idx="2">
                  <c:v>9.3311098560869905E-27</c:v>
                </c:pt>
                <c:pt idx="3">
                  <c:v>3.0024145466304735E-24</c:v>
                </c:pt>
                <c:pt idx="4">
                  <c:v>4.429153545729096E-22</c:v>
                </c:pt>
                <c:pt idx="5">
                  <c:v>3.6629299317025716E-20</c:v>
                </c:pt>
                <c:pt idx="6">
                  <c:v>1.9054674509255224E-18</c:v>
                </c:pt>
                <c:pt idx="7">
                  <c:v>6.7226935582013928E-17</c:v>
                </c:pt>
                <c:pt idx="8">
                  <c:v>1.6972132298728506E-15</c:v>
                </c:pt>
                <c:pt idx="9">
                  <c:v>3.1929680220743E-14</c:v>
                </c:pt>
                <c:pt idx="10">
                  <c:v>4.622539551804347E-13</c:v>
                </c:pt>
                <c:pt idx="11">
                  <c:v>5.2879317307629288E-12</c:v>
                </c:pt>
                <c:pt idx="12">
                  <c:v>4.8883259117164865E-11</c:v>
                </c:pt>
                <c:pt idx="13">
                  <c:v>3.72376563596227E-10</c:v>
                </c:pt>
                <c:pt idx="14">
                  <c:v>2.3783147983616754E-9</c:v>
                </c:pt>
                <c:pt idx="15">
                  <c:v>1.2935457939712045E-8</c:v>
                </c:pt>
                <c:pt idx="16">
                  <c:v>6.0766009012966164E-8</c:v>
                </c:pt>
                <c:pt idx="17">
                  <c:v>2.4975711317990884E-7</c:v>
                </c:pt>
                <c:pt idx="18">
                  <c:v>9.088585896044854E-7</c:v>
                </c:pt>
                <c:pt idx="19">
                  <c:v>2.9601375585623226E-6</c:v>
                </c:pt>
                <c:pt idx="20">
                  <c:v>8.7153301929903514E-6</c:v>
                </c:pt>
                <c:pt idx="21">
                  <c:v>2.3407764492898838E-5</c:v>
                </c:pt>
                <c:pt idx="22">
                  <c:v>5.7828154313816793E-5</c:v>
                </c:pt>
                <c:pt idx="23">
                  <c:v>1.3240213521709696E-4</c:v>
                </c:pt>
                <c:pt idx="24">
                  <c:v>2.828761727001285E-4</c:v>
                </c:pt>
                <c:pt idx="25">
                  <c:v>5.6745625939128724E-4</c:v>
                </c:pt>
                <c:pt idx="26">
                  <c:v>1.0748167958096546E-3</c:v>
                </c:pt>
                <c:pt idx="27">
                  <c:v>1.9319636786185596E-3</c:v>
                </c:pt>
                <c:pt idx="28">
                  <c:v>3.3106187739334355E-3</c:v>
                </c:pt>
                <c:pt idx="29">
                  <c:v>5.4306995795183229E-3</c:v>
                </c:pt>
                <c:pt idx="30">
                  <c:v>8.5596529901942765E-3</c:v>
                </c:pt>
                <c:pt idx="31">
                  <c:v>1.300685080539769E-2</c:v>
                </c:pt>
                <c:pt idx="32">
                  <c:v>1.9112887323807226E-2</c:v>
                </c:pt>
                <c:pt idx="33">
                  <c:v>2.7234315543383892E-2</c:v>
                </c:pt>
                <c:pt idx="34">
                  <c:v>3.77249893012684E-2</c:v>
                </c:pt>
                <c:pt idx="35">
                  <c:v>5.0915637341290676E-2</c:v>
                </c:pt>
                <c:pt idx="36">
                  <c:v>6.7093517198530739E-2</c:v>
                </c:pt>
                <c:pt idx="37">
                  <c:v>8.6483966495523368E-2</c:v>
                </c:pt>
                <c:pt idx="38">
                  <c:v>0.10923541538082825</c:v>
                </c:pt>
                <c:pt idx="39">
                  <c:v>0.13540900610310316</c:v>
                </c:pt>
                <c:pt idx="40">
                  <c:v>0.1649734588305041</c:v>
                </c:pt>
                <c:pt idx="41">
                  <c:v>0.19780530164126442</c:v>
                </c:pt>
                <c:pt idx="42">
                  <c:v>0.23369411084780381</c:v>
                </c:pt>
                <c:pt idx="43">
                  <c:v>0.27235203139871839</c:v>
                </c:pt>
                <c:pt idx="44">
                  <c:v>0.31342659174745052</c:v>
                </c:pt>
                <c:pt idx="45">
                  <c:v>0.35651569973481778</c:v>
                </c:pt>
                <c:pt idx="46">
                  <c:v>0.40118369614261995</c:v>
                </c:pt>
                <c:pt idx="47">
                  <c:v>0.4469774296466314</c:v>
                </c:pt>
                <c:pt idx="48">
                  <c:v>0.49344147356508583</c:v>
                </c:pt>
                <c:pt idx="49">
                  <c:v>0.54013180209816047</c:v>
                </c:pt>
                <c:pt idx="50">
                  <c:v>0.58639016383841069</c:v>
                </c:pt>
                <c:pt idx="51">
                  <c:v>0.63133979370546145</c:v>
                </c:pt>
                <c:pt idx="52">
                  <c:v>0.67422208742500656</c:v>
                </c:pt>
                <c:pt idx="53">
                  <c:v>0.71442685310344722</c:v>
                </c:pt>
                <c:pt idx="54">
                  <c:v>0.75150666801725119</c:v>
                </c:pt>
                <c:pt idx="55">
                  <c:v>0.78517713011183032</c:v>
                </c:pt>
                <c:pt idx="56">
                  <c:v>0.81530583411294988</c:v>
                </c:pt>
                <c:pt idx="57">
                  <c:v>0.84189335521493158</c:v>
                </c:pt>
                <c:pt idx="58">
                  <c:v>0.8650495021057536</c:v>
                </c:pt>
                <c:pt idx="59">
                  <c:v>0.88496774192008687</c:v>
                </c:pt>
                <c:pt idx="60">
                  <c:v>0.90190013818387538</c:v>
                </c:pt>
                <c:pt idx="61">
                  <c:v>0.91613449856580942</c:v>
                </c:pt>
                <c:pt idx="62">
                  <c:v>0.92797479664072879</c:v>
                </c:pt>
                <c:pt idx="63">
                  <c:v>0.93772537587361038</c:v>
                </c:pt>
                <c:pt idx="64">
                  <c:v>0.94567900087475043</c:v>
                </c:pt>
                <c:pt idx="65">
                  <c:v>0.95210850242393086</c:v>
                </c:pt>
                <c:pt idx="66">
                  <c:v>0.95726156248515182</c:v>
                </c:pt>
                <c:pt idx="67">
                  <c:v>0.96135808582209947</c:v>
                </c:pt>
                <c:pt idx="68">
                  <c:v>0.96458958302547593</c:v>
                </c:pt>
                <c:pt idx="69">
                  <c:v>0.96712002229387461</c:v>
                </c:pt>
                <c:pt idx="70">
                  <c:v>0.96908767306858312</c:v>
                </c:pt>
                <c:pt idx="71">
                  <c:v>0.97060754647060576</c:v>
                </c:pt>
                <c:pt idx="72">
                  <c:v>0.97177412273191832</c:v>
                </c:pt>
                <c:pt idx="73">
                  <c:v>0.97266413595663981</c:v>
                </c:pt>
                <c:pt idx="74">
                  <c:v>0.97333925663866683</c:v>
                </c:pt>
                <c:pt idx="75">
                  <c:v>0.97384857017798399</c:v>
                </c:pt>
                <c:pt idx="76">
                  <c:v>0.97423079488124431</c:v>
                </c:pt>
                <c:pt idx="77">
                  <c:v>0.97451621652969889</c:v>
                </c:pt>
                <c:pt idx="78">
                  <c:v>0.97472834014183207</c:v>
                </c:pt>
                <c:pt idx="79">
                  <c:v>0.97488527490146204</c:v>
                </c:pt>
                <c:pt idx="80">
                  <c:v>0.97500087720468664</c:v>
                </c:pt>
                <c:pt idx="81">
                  <c:v>0.97508568106656512</c:v>
                </c:pt>
                <c:pt idx="82">
                  <c:v>0.97514764613189819</c:v>
                </c:pt>
                <c:pt idx="83">
                  <c:v>0.97519275238690528</c:v>
                </c:pt>
                <c:pt idx="84">
                  <c:v>0.97522546823708678</c:v>
                </c:pt>
                <c:pt idx="85">
                  <c:v>0.9752491155341767</c:v>
                </c:pt>
                <c:pt idx="86">
                  <c:v>0.97526615184101006</c:v>
                </c:pt>
                <c:pt idx="87">
                  <c:v>0.9752783870037931</c:v>
                </c:pt>
                <c:pt idx="88">
                  <c:v>0.97528714812810535</c:v>
                </c:pt>
                <c:pt idx="89">
                  <c:v>0.97529340441664425</c:v>
                </c:pt>
                <c:pt idx="90">
                  <c:v>0.97529786105519078</c:v>
                </c:pt>
                <c:pt idx="91">
                  <c:v>0.9753010294238954</c:v>
                </c:pt>
                <c:pt idx="92">
                  <c:v>0.97530327933736904</c:v>
                </c:pt>
                <c:pt idx="93">
                  <c:v>0.97530487774163355</c:v>
                </c:pt>
                <c:pt idx="94">
                  <c:v>0.97530601727703858</c:v>
                </c:pt>
                <c:pt idx="95">
                  <c:v>0.97530683731249046</c:v>
                </c:pt>
                <c:pt idx="96">
                  <c:v>0.97530743942949438</c:v>
                </c:pt>
                <c:pt idx="97">
                  <c:v>0.97530789885068137</c:v>
                </c:pt>
                <c:pt idx="98">
                  <c:v>0.97530827293761124</c:v>
                </c:pt>
                <c:pt idx="99">
                  <c:v>0.97530860760239846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BD-784A-8E0B-E1CD04AAF025}"/>
            </c:ext>
          </c:extLst>
        </c:ser>
        <c:ser>
          <c:idx val="3"/>
          <c:order val="2"/>
          <c:tx>
            <c:strRef>
              <c:f>'Uncertain Vol.'!$Q$1</c:f>
              <c:strCache>
                <c:ptCount val="1"/>
                <c:pt idx="0">
                  <c:v>Const Vol+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Vol.'!$Q$2:$Q$101</c:f>
              <c:numCache>
                <c:formatCode>0.0000</c:formatCode>
                <c:ptCount val="100"/>
                <c:pt idx="0">
                  <c:v>0</c:v>
                </c:pt>
                <c:pt idx="1">
                  <c:v>2.8469608456769175E-29</c:v>
                </c:pt>
                <c:pt idx="2">
                  <c:v>2.7984028060444071E-26</c:v>
                </c:pt>
                <c:pt idx="3">
                  <c:v>8.0401872655617652E-24</c:v>
                </c:pt>
                <c:pt idx="4">
                  <c:v>1.0641048017496917E-21</c:v>
                </c:pt>
                <c:pt idx="5">
                  <c:v>7.9348226710877384E-20</c:v>
                </c:pt>
                <c:pt idx="6">
                  <c:v>3.7415897790099209E-18</c:v>
                </c:pt>
                <c:pt idx="7">
                  <c:v>1.2032672821429476E-16</c:v>
                </c:pt>
                <c:pt idx="8">
                  <c:v>2.7851094315051376E-15</c:v>
                </c:pt>
                <c:pt idx="9">
                  <c:v>4.8327823267387782E-14</c:v>
                </c:pt>
                <c:pt idx="10">
                  <c:v>6.4931125475793996E-13</c:v>
                </c:pt>
                <c:pt idx="11">
                  <c:v>6.9364038657813055E-12</c:v>
                </c:pt>
                <c:pt idx="12">
                  <c:v>6.0254777916618596E-11</c:v>
                </c:pt>
                <c:pt idx="13">
                  <c:v>4.3397656631423163E-10</c:v>
                </c:pt>
                <c:pt idx="14">
                  <c:v>2.6363403569271915E-9</c:v>
                </c:pt>
                <c:pt idx="15">
                  <c:v>1.3716645824003039E-8</c:v>
                </c:pt>
                <c:pt idx="16">
                  <c:v>6.1973412317907725E-8</c:v>
                </c:pt>
                <c:pt idx="17">
                  <c:v>2.4621783207207712E-7</c:v>
                </c:pt>
                <c:pt idx="18">
                  <c:v>8.7006064957807724E-7</c:v>
                </c:pt>
                <c:pt idx="19">
                  <c:v>2.7632366059108677E-6</c:v>
                </c:pt>
                <c:pt idx="20">
                  <c:v>7.9624954890120631E-6</c:v>
                </c:pt>
                <c:pt idx="21">
                  <c:v>2.0999067667156451E-5</c:v>
                </c:pt>
                <c:pt idx="22">
                  <c:v>5.1084435161721125E-5</c:v>
                </c:pt>
                <c:pt idx="23">
                  <c:v>1.1545690972022434E-4</c:v>
                </c:pt>
                <c:pt idx="24">
                  <c:v>2.4401169632162238E-4</c:v>
                </c:pt>
                <c:pt idx="25">
                  <c:v>4.8507944256955926E-4</c:v>
                </c:pt>
                <c:pt idx="26">
                  <c:v>9.1187890820879016E-4</c:v>
                </c:pt>
                <c:pt idx="27">
                  <c:v>1.6288250102857696E-3</c:v>
                </c:pt>
                <c:pt idx="28">
                  <c:v>2.7766204118528683E-3</c:v>
                </c:pt>
                <c:pt idx="29">
                  <c:v>4.5349820775147948E-3</c:v>
                </c:pt>
                <c:pt idx="30">
                  <c:v>7.1219992643420495E-3</c:v>
                </c:pt>
                <c:pt idx="31">
                  <c:v>1.0789477026180029E-2</c:v>
                </c:pt>
                <c:pt idx="32">
                  <c:v>1.5814128278877494E-2</c:v>
                </c:pt>
                <c:pt idx="33">
                  <c:v>2.2485042420567886E-2</c:v>
                </c:pt>
                <c:pt idx="34">
                  <c:v>3.1088375330889113E-2</c:v>
                </c:pt>
                <c:pt idx="35">
                  <c:v>4.1890586062971372E-2</c:v>
                </c:pt>
                <c:pt idx="36">
                  <c:v>5.5121734499412808E-2</c:v>
                </c:pt>
                <c:pt idx="37">
                  <c:v>7.0960336278386396E-2</c:v>
                </c:pt>
                <c:pt idx="38">
                  <c:v>8.9521067748659158E-2</c:v>
                </c:pt>
                <c:pt idx="39">
                  <c:v>0.11084627264833334</c:v>
                </c:pt>
                <c:pt idx="40">
                  <c:v>0.13490180529424189</c:v>
                </c:pt>
                <c:pt idx="41">
                  <c:v>0.16157731484810486</c:v>
                </c:pt>
                <c:pt idx="42">
                  <c:v>0.1906906851161384</c:v>
                </c:pt>
                <c:pt idx="43">
                  <c:v>0.22199603260828735</c:v>
                </c:pt>
                <c:pt idx="44">
                  <c:v>0.25519445322199003</c:v>
                </c:pt>
                <c:pt idx="45">
                  <c:v>0.28994659971090919</c:v>
                </c:pt>
                <c:pt idx="46">
                  <c:v>0.32588615981679375</c:v>
                </c:pt>
                <c:pt idx="47">
                  <c:v>0.36263337150031782</c:v>
                </c:pt>
                <c:pt idx="48">
                  <c:v>0.39980783541846537</c:v>
                </c:pt>
                <c:pt idx="49">
                  <c:v>0.43704004304840838</c:v>
                </c:pt>
                <c:pt idx="50">
                  <c:v>0.47398121087612111</c:v>
                </c:pt>
                <c:pt idx="51">
                  <c:v>0.51031117967778172</c:v>
                </c:pt>
                <c:pt idx="52">
                  <c:v>0.54574429038735817</c:v>
                </c:pt>
                <c:pt idx="53">
                  <c:v>0.58003327616356359</c:v>
                </c:pt>
                <c:pt idx="54">
                  <c:v>0.61297130995238414</c:v>
                </c:pt>
                <c:pt idx="55">
                  <c:v>0.64439241737360575</c:v>
                </c:pt>
                <c:pt idx="56">
                  <c:v>0.67417050794410804</c:v>
                </c:pt>
                <c:pt idx="57">
                  <c:v>0.70221729695399615</c:v>
                </c:pt>
                <c:pt idx="58">
                  <c:v>0.72847939010710805</c:v>
                </c:pt>
                <c:pt idx="59">
                  <c:v>0.75293478799002789</c:v>
                </c:pt>
                <c:pt idx="60">
                  <c:v>0.77558904204410084</c:v>
                </c:pt>
                <c:pt idx="61">
                  <c:v>0.79647126201520735</c:v>
                </c:pt>
                <c:pt idx="62">
                  <c:v>0.8156301402372842</c:v>
                </c:pt>
                <c:pt idx="63">
                  <c:v>0.83313012325041835</c:v>
                </c:pt>
                <c:pt idx="64">
                  <c:v>0.84904782814675517</c:v>
                </c:pt>
                <c:pt idx="65">
                  <c:v>0.86346877102414166</c:v>
                </c:pt>
                <c:pt idx="66">
                  <c:v>0.87648444880875931</c:v>
                </c:pt>
                <c:pt idx="67">
                  <c:v>0.88818979384183272</c:v>
                </c:pt>
                <c:pt idx="68">
                  <c:v>0.89868100303110809</c:v>
                </c:pt>
                <c:pt idx="69">
                  <c:v>0.90805372982197941</c:v>
                </c:pt>
                <c:pt idx="70">
                  <c:v>0.91640161736364001</c:v>
                </c:pt>
                <c:pt idx="71">
                  <c:v>0.92381514455974445</c:v>
                </c:pt>
                <c:pt idx="72">
                  <c:v>0.93038075269125875</c:v>
                </c:pt>
                <c:pt idx="73">
                  <c:v>0.93618021847473154</c:v>
                </c:pt>
                <c:pt idx="74">
                  <c:v>0.94129023929565336</c:v>
                </c:pt>
                <c:pt idx="75">
                  <c:v>0.94578219750482473</c:v>
                </c:pt>
                <c:pt idx="76">
                  <c:v>0.94972207271330467</c:v>
                </c:pt>
                <c:pt idx="77">
                  <c:v>0.95317047365585461</c:v>
                </c:pt>
                <c:pt idx="78">
                  <c:v>0.95618276415958947</c:v>
                </c:pt>
                <c:pt idx="79">
                  <c:v>0.95880926085394125</c:v>
                </c:pt>
                <c:pt idx="80">
                  <c:v>0.96109548333865735</c:v>
                </c:pt>
                <c:pt idx="81">
                  <c:v>0.96308244047890024</c:v>
                </c:pt>
                <c:pt idx="82">
                  <c:v>0.96480693924606931</c:v>
                </c:pt>
                <c:pt idx="83">
                  <c:v>0.96630190502364199</c:v>
                </c:pt>
                <c:pt idx="84">
                  <c:v>0.96759670452541435</c:v>
                </c:pt>
                <c:pt idx="85">
                  <c:v>0.9687174644223574</c:v>
                </c:pt>
                <c:pt idx="86">
                  <c:v>0.96968738044973268</c:v>
                </c:pt>
                <c:pt idx="87">
                  <c:v>0.97052701318267587</c:v>
                </c:pt>
                <c:pt idx="88">
                  <c:v>0.97125456784633379</c:v>
                </c:pt>
                <c:pt idx="89">
                  <c:v>0.97188615648925047</c:v>
                </c:pt>
                <c:pt idx="90">
                  <c:v>0.97243604162081776</c:v>
                </c:pt>
                <c:pt idx="91">
                  <c:v>0.97291686102006059</c:v>
                </c:pt>
                <c:pt idx="92">
                  <c:v>0.97333983388769008</c:v>
                </c:pt>
                <c:pt idx="93">
                  <c:v>0.97371494885853638</c:v>
                </c:pt>
                <c:pt idx="94">
                  <c:v>0.97405113463751025</c:v>
                </c:pt>
                <c:pt idx="95">
                  <c:v>0.97435641418732211</c:v>
                </c:pt>
                <c:pt idx="96">
                  <c:v>0.97463804349630645</c:v>
                </c:pt>
                <c:pt idx="97">
                  <c:v>0.97490263600366334</c:v>
                </c:pt>
                <c:pt idx="98">
                  <c:v>0.97515627376903635</c:v>
                </c:pt>
                <c:pt idx="99">
                  <c:v>0.97540460645350413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BD-784A-8E0B-E1CD04AAF025}"/>
            </c:ext>
          </c:extLst>
        </c:ser>
        <c:ser>
          <c:idx val="4"/>
          <c:order val="3"/>
          <c:tx>
            <c:strRef>
              <c:f>'Uncertain Vol.'!$R$1</c:f>
              <c:strCache>
                <c:ptCount val="1"/>
                <c:pt idx="0">
                  <c:v>Const Vol-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Vol.'!$R$2:$R$101</c:f>
              <c:numCache>
                <c:formatCode>0.0000</c:formatCode>
                <c:ptCount val="100"/>
                <c:pt idx="0">
                  <c:v>0</c:v>
                </c:pt>
                <c:pt idx="1">
                  <c:v>9.8333276650028909E-42</c:v>
                </c:pt>
                <c:pt idx="2">
                  <c:v>2.1246789974367519E-38</c:v>
                </c:pt>
                <c:pt idx="3">
                  <c:v>1.5324398589953763E-35</c:v>
                </c:pt>
                <c:pt idx="4">
                  <c:v>5.4325735835289068E-33</c:v>
                </c:pt>
                <c:pt idx="5">
                  <c:v>1.1271049325852272E-30</c:v>
                </c:pt>
                <c:pt idx="6">
                  <c:v>1.5145152638345574E-28</c:v>
                </c:pt>
                <c:pt idx="7">
                  <c:v>1.408908158962121E-26</c:v>
                </c:pt>
                <c:pt idx="8">
                  <c:v>9.5137370760019889E-25</c:v>
                </c:pt>
                <c:pt idx="9">
                  <c:v>4.8314182914656649E-23</c:v>
                </c:pt>
                <c:pt idx="10">
                  <c:v>1.8969000184893488E-21</c:v>
                </c:pt>
                <c:pt idx="11">
                  <c:v>5.8869908796606814E-20</c:v>
                </c:pt>
                <c:pt idx="12">
                  <c:v>1.4708165039226892E-18</c:v>
                </c:pt>
                <c:pt idx="13">
                  <c:v>3.0041581187741855E-17</c:v>
                </c:pt>
                <c:pt idx="14">
                  <c:v>5.083015920614388E-16</c:v>
                </c:pt>
                <c:pt idx="15">
                  <c:v>7.2071218672916961E-15</c:v>
                </c:pt>
                <c:pt idx="16">
                  <c:v>8.6513817452525631E-14</c:v>
                </c:pt>
                <c:pt idx="17">
                  <c:v>8.8734022056785264E-13</c:v>
                </c:pt>
                <c:pt idx="18">
                  <c:v>7.841946130475175E-12</c:v>
                </c:pt>
                <c:pt idx="19">
                  <c:v>6.0180686629940482E-11</c:v>
                </c:pt>
                <c:pt idx="20">
                  <c:v>4.0396142958558704E-10</c:v>
                </c:pt>
                <c:pt idx="21">
                  <c:v>2.3880602475648454E-9</c:v>
                </c:pt>
                <c:pt idx="22">
                  <c:v>1.251421006950886E-8</c:v>
                </c:pt>
                <c:pt idx="23">
                  <c:v>5.8496100111616994E-8</c:v>
                </c:pt>
                <c:pt idx="24">
                  <c:v>2.453741787817257E-7</c:v>
                </c:pt>
                <c:pt idx="25">
                  <c:v>9.2904221520028428E-7</c:v>
                </c:pt>
                <c:pt idx="26">
                  <c:v>3.192959088179189E-6</c:v>
                </c:pt>
                <c:pt idx="27">
                  <c:v>1.0015516625744881E-5</c:v>
                </c:pt>
                <c:pt idx="28">
                  <c:v>2.8825111675702651E-5</c:v>
                </c:pt>
                <c:pt idx="29">
                  <c:v>7.6507706762930655E-5</c:v>
                </c:pt>
                <c:pt idx="30">
                  <c:v>1.8819823694429458E-4</c:v>
                </c:pt>
                <c:pt idx="31">
                  <c:v>4.3108144960674164E-4</c:v>
                </c:pt>
                <c:pt idx="32">
                  <c:v>9.2365192790442089E-4</c:v>
                </c:pt>
                <c:pt idx="33">
                  <c:v>1.8592870663584856E-3</c:v>
                </c:pt>
                <c:pt idx="34">
                  <c:v>3.5307580563708322E-3</c:v>
                </c:pt>
                <c:pt idx="35">
                  <c:v>6.3500471990295066E-3</c:v>
                </c:pt>
                <c:pt idx="36">
                  <c:v>1.0856446367080323E-2</c:v>
                </c:pt>
                <c:pt idx="37">
                  <c:v>1.7706226175402726E-2</c:v>
                </c:pt>
                <c:pt idx="38">
                  <c:v>2.7639590031120615E-2</c:v>
                </c:pt>
                <c:pt idx="39">
                  <c:v>4.1424858482587229E-2</c:v>
                </c:pt>
                <c:pt idx="40">
                  <c:v>5.9784879428052128E-2</c:v>
                </c:pt>
                <c:pt idx="41">
                  <c:v>8.3315166498488816E-2</c:v>
                </c:pt>
                <c:pt idx="42">
                  <c:v>0.11240596079555043</c:v>
                </c:pt>
                <c:pt idx="43">
                  <c:v>0.14718053537649087</c:v>
                </c:pt>
                <c:pt idx="44">
                  <c:v>0.18745959665277701</c:v>
                </c:pt>
                <c:pt idx="45">
                  <c:v>0.23275724858709471</c:v>
                </c:pt>
                <c:pt idx="46">
                  <c:v>0.28230876832116253</c:v>
                </c:pt>
                <c:pt idx="47">
                  <c:v>0.33512556677257627</c:v>
                </c:pt>
                <c:pt idx="48">
                  <c:v>0.39006910978967979</c:v>
                </c:pt>
                <c:pt idx="49">
                  <c:v>0.44593376502940391</c:v>
                </c:pt>
                <c:pt idx="50">
                  <c:v>0.5015285650430773</c:v>
                </c:pt>
                <c:pt idx="51">
                  <c:v>0.55574941093105479</c:v>
                </c:pt>
                <c:pt idx="52">
                  <c:v>0.60763573638663837</c:v>
                </c:pt>
                <c:pt idx="53">
                  <c:v>0.65640850821905172</c:v>
                </c:pt>
                <c:pt idx="54">
                  <c:v>0.70148913479160235</c:v>
                </c:pt>
                <c:pt idx="55">
                  <c:v>0.74250102400598983</c:v>
                </c:pt>
                <c:pt idx="56">
                  <c:v>0.77925699400451787</c:v>
                </c:pt>
                <c:pt idx="57">
                  <c:v>0.81173647045117925</c:v>
                </c:pt>
                <c:pt idx="58">
                  <c:v>0.84005649919718806</c:v>
                </c:pt>
                <c:pt idx="59">
                  <c:v>0.86444022333162129</c:v>
                </c:pt>
                <c:pt idx="60">
                  <c:v>0.88518579971034217</c:v>
                </c:pt>
                <c:pt idx="61">
                  <c:v>0.90263792821495514</c:v>
                </c:pt>
                <c:pt idx="62">
                  <c:v>0.91716336881723348</c:v>
                </c:pt>
                <c:pt idx="63">
                  <c:v>0.92913111647347579</c:v>
                </c:pt>
                <c:pt idx="64">
                  <c:v>0.93889734093035593</c:v>
                </c:pt>
                <c:pt idx="65">
                  <c:v>0.94679479338202444</c:v>
                </c:pt>
                <c:pt idx="66">
                  <c:v>0.95312612645721095</c:v>
                </c:pt>
                <c:pt idx="67">
                  <c:v>0.95816044570960557</c:v>
                </c:pt>
                <c:pt idx="68">
                  <c:v>0.962132380635358</c:v>
                </c:pt>
                <c:pt idx="69">
                  <c:v>0.96524300162118915</c:v>
                </c:pt>
                <c:pt idx="70">
                  <c:v>0.96766198961156136</c:v>
                </c:pt>
                <c:pt idx="71">
                  <c:v>0.96953056617283795</c:v>
                </c:pt>
                <c:pt idx="72">
                  <c:v>0.97096479711012207</c:v>
                </c:pt>
                <c:pt idx="73">
                  <c:v>0.97205898219468623</c:v>
                </c:pt>
                <c:pt idx="74">
                  <c:v>0.9728889306497196</c:v>
                </c:pt>
                <c:pt idx="75">
                  <c:v>0.97351499399391939</c:v>
                </c:pt>
                <c:pt idx="76">
                  <c:v>0.97398478423851376</c:v>
                </c:pt>
                <c:pt idx="77">
                  <c:v>0.97433554738940809</c:v>
                </c:pt>
                <c:pt idx="78">
                  <c:v>0.9745961916770739</c:v>
                </c:pt>
                <c:pt idx="79">
                  <c:v>0.97478898920869983</c:v>
                </c:pt>
                <c:pt idx="80">
                  <c:v>0.97493098108756615</c:v>
                </c:pt>
                <c:pt idx="81">
                  <c:v>0.97503512153912097</c:v>
                </c:pt>
                <c:pt idx="82">
                  <c:v>0.97511119797412971</c:v>
                </c:pt>
                <c:pt idx="83">
                  <c:v>0.97516656261524703</c:v>
                </c:pt>
                <c:pt idx="84">
                  <c:v>0.97520670839378476</c:v>
                </c:pt>
                <c:pt idx="85">
                  <c:v>0.9752357180773531</c:v>
                </c:pt>
                <c:pt idx="86">
                  <c:v>0.97525661156465282</c:v>
                </c:pt>
                <c:pt idx="87">
                  <c:v>0.97527161233930559</c:v>
                </c:pt>
                <c:pt idx="88">
                  <c:v>0.97528235042538669</c:v>
                </c:pt>
                <c:pt idx="89">
                  <c:v>0.97529001594532871</c:v>
                </c:pt>
                <c:pt idx="90">
                  <c:v>0.97529547458740795</c:v>
                </c:pt>
                <c:pt idx="91">
                  <c:v>0.97529935394066525</c:v>
                </c:pt>
                <c:pt idx="92">
                  <c:v>0.97530210771822046</c:v>
                </c:pt>
                <c:pt idx="93">
                  <c:v>0.97530406331970532</c:v>
                </c:pt>
                <c:pt idx="94">
                  <c:v>0.97530545692892701</c:v>
                </c:pt>
                <c:pt idx="95">
                  <c:v>0.97530645935317217</c:v>
                </c:pt>
                <c:pt idx="96">
                  <c:v>0.97530719503871965</c:v>
                </c:pt>
                <c:pt idx="97">
                  <c:v>0.97530775610143772</c:v>
                </c:pt>
                <c:pt idx="98">
                  <c:v>0.97530821275599466</c:v>
                </c:pt>
                <c:pt idx="99">
                  <c:v>0.97530862118227968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BD-784A-8E0B-E1CD04AA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50736"/>
        <c:axId val="-1002625920"/>
      </c:scatterChart>
      <c:valAx>
        <c:axId val="-97085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625920"/>
        <c:crosses val="autoZero"/>
        <c:crossBetween val="midCat"/>
      </c:valAx>
      <c:valAx>
        <c:axId val="-100262592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50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021432554105"/>
          <c:y val="0.42881354116449699"/>
          <c:w val="0.10858319394013601"/>
          <c:h val="0.144067884371596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workbookViewId="0"/>
  </sheetViews>
  <pageMargins left="0.75" right="0.75" top="1" bottom="1" header="0.5" footer="0.5"/>
  <pageSetup paperSize="9" orientation="landscape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tif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1</xdr:row>
      <xdr:rowOff>37465</xdr:rowOff>
    </xdr:from>
    <xdr:to>
      <xdr:col>15</xdr:col>
      <xdr:colOff>51435</xdr:colOff>
      <xdr:row>23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102871</xdr:colOff>
      <xdr:row>24</xdr:row>
      <xdr:rowOff>12701</xdr:rowOff>
    </xdr:from>
    <xdr:to>
      <xdr:col>15</xdr:col>
      <xdr:colOff>40641</xdr:colOff>
      <xdr:row>44</xdr:row>
      <xdr:rowOff>20321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477520</xdr:colOff>
      <xdr:row>18</xdr:row>
      <xdr:rowOff>132080</xdr:rowOff>
    </xdr:from>
    <xdr:to>
      <xdr:col>18</xdr:col>
      <xdr:colOff>568960</xdr:colOff>
      <xdr:row>28</xdr:row>
      <xdr:rowOff>152017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95720" y="3459480"/>
          <a:ext cx="2110740" cy="167093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0.14066</cdr:x>
      <cdr:y>0.11934</cdr:y>
    </cdr:from>
    <cdr:to>
      <cdr:x>0.35759</cdr:x>
      <cdr:y>0.19923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43280" y="470535"/>
          <a:ext cx="130048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i="1"/>
            <a:t>CDF</a:t>
          </a:r>
          <a:r>
            <a:rPr lang="en-US" sz="1200" i="1" baseline="0"/>
            <a:t> function, N(d1)</a:t>
          </a:r>
          <a:endParaRPr lang="en-US" sz="120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0.55487</cdr:x>
      <cdr:y>0.12044</cdr:y>
    </cdr:from>
    <cdr:to>
      <cdr:x>0.87198</cdr:x>
      <cdr:y>0.21617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93440" y="396240"/>
          <a:ext cx="193929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PDF-like </a:t>
          </a:r>
          <a:r>
            <a:rPr lang="en-US" sz="1200" i="1" baseline="0"/>
            <a:t>function, N'(d1)/...</a:t>
          </a:r>
          <a:endParaRPr lang="en-US" sz="1200" i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15</xdr:row>
      <xdr:rowOff>81280</xdr:rowOff>
    </xdr:from>
    <xdr:to>
      <xdr:col>17</xdr:col>
      <xdr:colOff>529363</xdr:colOff>
      <xdr:row>33</xdr:row>
      <xdr:rowOff>26915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143016</xdr:colOff>
      <xdr:row>15</xdr:row>
      <xdr:rowOff>37912</xdr:rowOff>
    </xdr:from>
    <xdr:to>
      <xdr:col>14</xdr:col>
      <xdr:colOff>587611</xdr:colOff>
      <xdr:row>33</xdr:row>
      <xdr:rowOff>9478</xdr:rowOff>
    </xdr:to>
    <xdr:graphicFrame macro="">
      <xdr:nvGraphicFramePr>
        <xdr:cNvPr id="5177" name="Chart 12">
          <a:extLst>
            <a:ext uri="{FF2B5EF4-FFF2-40B4-BE49-F238E27FC236}">
              <a16:creationId xmlns:a16="http://schemas.microsoft.com/office/drawing/2014/main" id="{00000000-0008-0000-0200-000039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66675</xdr:rowOff>
        </xdr:from>
        <xdr:to>
          <xdr:col>8</xdr:col>
          <xdr:colOff>352425</xdr:colOff>
          <xdr:row>8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Resimulate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66344</xdr:colOff>
      <xdr:row>15</xdr:row>
      <xdr:rowOff>37910</xdr:rowOff>
    </xdr:from>
    <xdr:to>
      <xdr:col>23</xdr:col>
      <xdr:colOff>93925</xdr:colOff>
      <xdr:row>33</xdr:row>
      <xdr:rowOff>9476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644478</xdr:colOff>
      <xdr:row>15</xdr:row>
      <xdr:rowOff>18957</xdr:rowOff>
    </xdr:from>
    <xdr:to>
      <xdr:col>32</xdr:col>
      <xdr:colOff>27580</xdr:colOff>
      <xdr:row>32</xdr:row>
      <xdr:rowOff>151642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32</xdr:col>
      <xdr:colOff>312759</xdr:colOff>
      <xdr:row>2</xdr:row>
      <xdr:rowOff>85298</xdr:rowOff>
    </xdr:from>
    <xdr:to>
      <xdr:col>39</xdr:col>
      <xdr:colOff>510273</xdr:colOff>
      <xdr:row>9</xdr:row>
      <xdr:rowOff>351011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97311" y="407537"/>
          <a:ext cx="4907887" cy="1450414"/>
        </a:xfrm>
        <a:prstGeom prst="rect">
          <a:avLst/>
        </a:prstGeom>
      </xdr:spPr>
    </xdr:pic>
    <xdr:clientData/>
  </xdr:twoCellAnchor>
  <xdr:twoCellAnchor editAs="oneCell">
    <xdr:from>
      <xdr:col>16</xdr:col>
      <xdr:colOff>464402</xdr:colOff>
      <xdr:row>4</xdr:row>
      <xdr:rowOff>113730</xdr:rowOff>
    </xdr:from>
    <xdr:to>
      <xdr:col>20</xdr:col>
      <xdr:colOff>360337</xdr:colOff>
      <xdr:row>7</xdr:row>
      <xdr:rowOff>154120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85298" y="758208"/>
          <a:ext cx="3080412" cy="5427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47625</xdr:rowOff>
    </xdr:from>
    <xdr:to>
      <xdr:col>8</xdr:col>
      <xdr:colOff>400050</xdr:colOff>
      <xdr:row>35</xdr:row>
      <xdr:rowOff>76200</xdr:rowOff>
    </xdr:to>
    <xdr:graphicFrame macro="">
      <xdr:nvGraphicFramePr>
        <xdr:cNvPr id="1067" name="Chart 6">
          <a:extLst>
            <a:ext uri="{FF2B5EF4-FFF2-40B4-BE49-F238E27FC236}">
              <a16:creationId xmlns:a16="http://schemas.microsoft.com/office/drawing/2014/main" id="{00000000-0008-0000-0400-00002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01150" cy="55911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275E75BA-E0CE-4ACA-B852-CFBB59C6C89D}" autoFormatId="16" applyNumberFormats="0" applyBorderFormats="0" applyFontFormats="0" applyPatternFormats="0" applyAlignmentFormats="0" applyWidthHeightFormats="0">
  <queryTableRefresh nextId="33" unboundColumnsRight="22">
    <queryTableFields count="32">
      <queryTableField id="1" name="ref_date" tableColumnId="1"/>
      <queryTableField id="2" name="option_price" tableColumnId="2"/>
      <queryTableField id="3" name="sigma_impl" tableColumnId="3"/>
      <queryTableField id="4" name="asset_price" tableColumnId="4"/>
      <queryTableField id="5" name="option_ticker" tableColumnId="5"/>
      <queryTableField id="6" name="ticker" tableColumnId="6"/>
      <queryTableField id="7" name="K" tableColumnId="7"/>
      <queryTableField id="8" name="expiry" tableColumnId="8"/>
      <queryTableField id="9" name="r" tableColumnId="9"/>
      <queryTableField id="10" name="t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31" dataBound="0" tableColumnId="32"/>
      <queryTableField id="28" dataBound="0" tableColumnId="28"/>
      <queryTableField id="29" dataBound="0" tableColumnId="29"/>
      <queryTableField id="30" dataBound="0" tableColumnId="30"/>
      <queryTableField id="32" dataBound="0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90DCB0-ABDA-462C-AC8E-42CBF875DFD6}" autoFormatId="16" applyNumberFormats="0" applyBorderFormats="0" applyFontFormats="0" applyPatternFormats="0" applyAlignmentFormats="0" applyWidthHeightFormats="0">
  <queryTableRefresh nextId="2">
    <queryTableFields count="1">
      <queryTableField id="1" name="B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7005C61-F822-42CC-8A6C-DEC6FF462DDC}" autoFormatId="16" applyNumberFormats="0" applyBorderFormats="0" applyFontFormats="0" applyPatternFormats="0" applyAlignmentFormats="0" applyWidthHeightFormats="0">
  <queryTableRefresh nextId="22">
    <queryTableFields count="21">
      <queryTableField id="1" name="ref_date" tableColumnId="1"/>
      <queryTableField id="2" name="option_price" tableColumnId="2"/>
      <queryTableField id="3" name="sigma_impl" tableColumnId="3"/>
      <queryTableField id="4" name="asset_price" tableColumnId="4"/>
      <queryTableField id="5" name="option_ticker" tableColumnId="5"/>
      <queryTableField id="6" name="ticker" tableColumnId="6"/>
      <queryTableField id="7" name="K" tableColumnId="7"/>
      <queryTableField id="8" name="expiry" tableColumnId="8"/>
      <queryTableField id="9" name="r" tableColumnId="9"/>
      <queryTableField id="10" name="t" tableColumnId="10"/>
      <queryTableField id="11" name="call_option" tableColumnId="11"/>
      <queryTableField id="12" name="D_call_option" tableColumnId="12"/>
      <queryTableField id="13" name="D_sigma_impl" tableColumnId="13"/>
      <queryTableField id="14" name="sqrt_t" tableColumnId="14"/>
      <queryTableField id="15" name="D_S" tableColumnId="15"/>
      <queryTableField id="16" name="delta_bs" tableColumnId="16"/>
      <queryTableField id="17" name="vega_bs" tableColumnId="17"/>
      <queryTableField id="18" name="y_serie" tableColumnId="18"/>
      <queryTableField id="19" name="a" tableColumnId="19"/>
      <queryTableField id="20" name="b" tableColumnId="20"/>
      <queryTableField id="21" name="c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39CD576-58CD-412A-9E64-A97A1D54889C}" name="data" displayName="data" ref="A1:AF75" tableType="queryTable" totalsRowShown="0">
  <autoFilter ref="A1:AF75" xr:uid="{939CD576-58CD-412A-9E64-A97A1D54889C}"/>
  <tableColumns count="32">
    <tableColumn id="1" xr3:uid="{DE38EABB-28DC-4624-87C1-F0A778867B44}" uniqueName="1" name="ref_date" queryTableFieldId="1" dataDxfId="30"/>
    <tableColumn id="2" xr3:uid="{01E762EE-1527-458D-B8A5-5C8B84451C96}" uniqueName="2" name="option_price" queryTableFieldId="2" dataDxfId="29"/>
    <tableColumn id="3" xr3:uid="{BB13A6D7-2473-46A2-ACCF-D6082994C9DD}" uniqueName="3" name="sigma_impl" queryTableFieldId="3" dataDxfId="28"/>
    <tableColumn id="4" xr3:uid="{A2002372-D286-4B5D-92D3-3A10E6A0FB0E}" uniqueName="4" name="asset_price" queryTableFieldId="4" dataDxfId="27"/>
    <tableColumn id="5" xr3:uid="{FE651750-57B4-4A21-9931-453A772BE529}" uniqueName="5" name="option_ticker" queryTableFieldId="5" dataDxfId="26"/>
    <tableColumn id="6" xr3:uid="{22F45A60-A3AF-47FD-8654-3B4BA5C01581}" uniqueName="6" name="ticker" queryTableFieldId="6" dataDxfId="25"/>
    <tableColumn id="7" xr3:uid="{6877E9EF-E010-42B5-B8A1-6FB036785A45}" uniqueName="7" name="K" queryTableFieldId="7"/>
    <tableColumn id="8" xr3:uid="{9B5C492A-795D-4B55-AA09-9980F1CB3062}" uniqueName="8" name="expiry" queryTableFieldId="8" dataDxfId="24"/>
    <tableColumn id="9" xr3:uid="{6B9CB5BB-1908-444A-AC3B-620B0DD0BB07}" uniqueName="9" name="r" queryTableFieldId="9" dataDxfId="23"/>
    <tableColumn id="10" xr3:uid="{BB016705-BC8F-4B61-8B48-74C691E6D2CC}" uniqueName="10" name="t" queryTableFieldId="10" dataDxfId="22"/>
    <tableColumn id="11" xr3:uid="{88FB125C-E96F-43B8-ADDB-2D0B0283BC49}" uniqueName="11" name="call" queryTableFieldId="11" dataDxfId="21">
      <calculatedColumnFormula array="1">CallOption(data[[#This Row],[asset_price]],data[[#This Row],[sigma_impl]]/100,0,data[[#This Row],[r]],data[[#This Row],[K]],data[[#This Row],[t]])</calculatedColumnFormula>
    </tableColumn>
    <tableColumn id="12" xr3:uid="{FF159B60-4F4C-496B-BB78-137E26E3AD57}" uniqueName="12" name="D_call" queryTableFieldId="12" dataDxfId="20">
      <calculatedColumnFormula>data[[#This Row],[call]]-K1</calculatedColumnFormula>
    </tableColumn>
    <tableColumn id="13" xr3:uid="{F4AF5D0F-F8B8-481F-B8F3-BE168F3D0BE6}" uniqueName="13" name="D_sigma_i" queryTableFieldId="13" dataDxfId="19">
      <calculatedColumnFormula>data[[#This Row],[sigma_impl]]-C1</calculatedColumnFormula>
    </tableColumn>
    <tableColumn id="14" xr3:uid="{E1002DEA-A06A-4744-8438-7674EFE35355}" uniqueName="14" name="sqrt_t" queryTableFieldId="14" dataDxfId="18">
      <calculatedColumnFormula>SQRT(data[[#This Row],[t]])</calculatedColumnFormula>
    </tableColumn>
    <tableColumn id="15" xr3:uid="{651D92AA-5601-4D7E-802E-7D83F53CD427}" uniqueName="15" name="D_S" queryTableFieldId="15" dataDxfId="17">
      <calculatedColumnFormula>data[[#This Row],[asset_price]]-D1</calculatedColumnFormula>
    </tableColumn>
    <tableColumn id="16" xr3:uid="{71069294-47F1-4CB9-82C8-0BD8105A6AEB}" uniqueName="16" name="delta_bs" queryTableFieldId="16" dataDxfId="16">
      <calculatedColumnFormula array="1">CallDelta(data[[#This Row],[asset_price]],data[[#This Row],[sigma_impl]]/100,0,data[[#This Row],[r]],data[[#This Row],[K]],data[[#This Row],[t]])</calculatedColumnFormula>
    </tableColumn>
    <tableColumn id="17" xr3:uid="{C2452A1C-10AF-42AB-880E-58EE5CDF9B25}" uniqueName="17" name="vega_bs" queryTableFieldId="17" dataDxfId="15">
      <calculatedColumnFormula array="1">CallVega(data[[#This Row],[asset_price]],data[[#This Row],[sigma_impl]]/100,0,data[[#This Row],[r]],data[[#This Row],[K]],data[[#This Row],[t]])</calculatedColumnFormula>
    </tableColumn>
    <tableColumn id="18" xr3:uid="{9B390A84-63B6-41C0-88AB-94FF63563E81}" uniqueName="18" name="y_num" queryTableFieldId="18" dataDxfId="14"/>
    <tableColumn id="19" xr3:uid="{267D94F0-98FB-4BE3-89F5-CCAC0A928153}" uniqueName="19" name="y_den" queryTableFieldId="19" dataDxfId="13"/>
    <tableColumn id="20" xr3:uid="{B1299518-1763-432B-BF1F-95FA843B2306}" uniqueName="20" name="y" queryTableFieldId="20" dataDxfId="12">
      <calculatedColumnFormula>data[[#This Row],[y_num]]/data[[#This Row],[y_den]]</calculatedColumnFormula>
    </tableColumn>
    <tableColumn id="21" xr3:uid="{AF54A6D2-23F7-4E9F-B32F-954DE5AD168F}" uniqueName="21" name="a" queryTableFieldId="21" dataDxfId="11"/>
    <tableColumn id="22" xr3:uid="{E8AD945A-B43F-459B-A5C8-CB43D6BA1554}" uniqueName="22" name="b" queryTableFieldId="22" dataDxfId="10"/>
    <tableColumn id="23" xr3:uid="{C64F3A7B-B27A-486D-A129-1A5B4803984F}" uniqueName="23" name="c" queryTableFieldId="23" dataDxfId="9"/>
    <tableColumn id="24" xr3:uid="{9932243A-54B7-44CE-AE00-EEA50EA8026A}" uniqueName="24" name="delta_mv" queryTableFieldId="24" dataDxfId="8">
      <calculatedColumnFormula>data[[#This Row],[delta_bs]]+(data[[#This Row],[vega_bs]]*(data[[#This Row],[a]]+data[[#This Row],[b]]*data[[#This Row],[delta_bs]]+data[[#This Row],[c]]*data[[#This Row],[delta_bs]]^2))/(data[[#This Row],[asset_price]]*data[[#This Row],[sqrt_t]])</calculatedColumnFormula>
    </tableColumn>
    <tableColumn id="25" xr3:uid="{8DD8D135-C078-496D-8C50-4CA8E06ABDDA}" uniqueName="25" name="portfolio_bs" queryTableFieldId="25" dataDxfId="7">
      <calculatedColumnFormula>data[[#This Row],[call]]-data[[#This Row],[delta_bs]]*data[[#This Row],[asset_price]]</calculatedColumnFormula>
    </tableColumn>
    <tableColumn id="26" xr3:uid="{CC022438-29A6-45E1-B2FF-74F561D2FCD9}" uniqueName="26" name="cash_delta_bs" queryTableFieldId="26" dataDxfId="6">
      <calculatedColumnFormula>(data[[#This Row],[delta_bs]]-P1)*data[[#This Row],[asset_price]]</calculatedColumnFormula>
    </tableColumn>
    <tableColumn id="27" xr3:uid="{53F406FD-9795-403A-A868-97744C5C0CC8}" uniqueName="27" name="cash_acc_bs" queryTableFieldId="27" dataDxfId="5">
      <calculatedColumnFormula>-data[[#This Row],[portfolio_bs]]</calculatedColumnFormula>
    </tableColumn>
    <tableColumn id="32" xr3:uid="{2E07249A-39FC-4F0F-BF3C-1731ECE28484}" uniqueName="32" name="pl_cum_bs" queryTableFieldId="31" dataDxfId="1">
      <calculatedColumnFormula>data[[#This Row],[portfolio_bs]]+data[[#This Row],[cash_acc_bs]]</calculatedColumnFormula>
    </tableColumn>
    <tableColumn id="28" xr3:uid="{F1FEED6D-6B0F-415C-87F6-3867D63E0CAF}" uniqueName="28" name="portfolio_mv" queryTableFieldId="28" dataDxfId="4">
      <calculatedColumnFormula>data[[#This Row],[call]]-data[[#This Row],[delta_mv]]*data[[#This Row],[asset_price]]</calculatedColumnFormula>
    </tableColumn>
    <tableColumn id="29" xr3:uid="{F63A6757-DCB8-4814-A1AA-DF92D50FACD0}" uniqueName="29" name="cash_delta_mv" queryTableFieldId="29" dataDxfId="3">
      <calculatedColumnFormula>(data[[#This Row],[delta_mv]]-X1)*data[[#This Row],[asset_price]]</calculatedColumnFormula>
    </tableColumn>
    <tableColumn id="30" xr3:uid="{90067AF1-C551-4CC2-AA05-4CC16FE2A1E2}" uniqueName="30" name="cash_acc_bs2" queryTableFieldId="30" dataDxfId="2"/>
    <tableColumn id="33" xr3:uid="{B262FADB-0C84-4C08-8662-B007B538BCCB}" uniqueName="33" name="pl_cum_mv" queryTableFieldId="32" dataDxfId="0">
      <calculatedColumnFormula>data[[#This Row],[portfolio_mv]]+data[[#This Row],[cash_acc_bs2]]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DAD98D-2EAC-455C-9926-055A7C80AD05}" name="bs" displayName="bs" ref="A1:A201" tableType="queryTable" totalsRowShown="0">
  <autoFilter ref="A1:A201" xr:uid="{F1DAD98D-2EAC-455C-9926-055A7C80AD05}"/>
  <tableColumns count="1">
    <tableColumn id="1" xr3:uid="{6FF98B48-BCA2-4F8E-A8C6-5A42E24EC479}" uniqueName="1" name="B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B15A60-FE0E-4260-A57C-968E4F81E0DD}" name="final" displayName="final" ref="A1:U75" tableType="queryTable" totalsRowShown="0">
  <autoFilter ref="A1:U75" xr:uid="{FBB15A60-FE0E-4260-A57C-968E4F81E0DD}"/>
  <tableColumns count="21">
    <tableColumn id="1" xr3:uid="{3F187F8D-553A-4A18-A3BE-6E00654513AD}" uniqueName="1" name="ref_date" queryTableFieldId="1" dataDxfId="48"/>
    <tableColumn id="2" xr3:uid="{95B8A968-9A89-47A2-8603-8D7FD1AFA016}" uniqueName="2" name="option_price" queryTableFieldId="2" dataDxfId="47"/>
    <tableColumn id="3" xr3:uid="{4932F53F-2BA3-4C25-A1DF-6BC1AA91FF08}" uniqueName="3" name="sigma_impl" queryTableFieldId="3" dataDxfId="45"/>
    <tableColumn id="4" xr3:uid="{CC587324-7790-4299-ADD2-E9BD7CF34E46}" uniqueName="4" name="asset_price" queryTableFieldId="4" dataDxfId="46"/>
    <tableColumn id="5" xr3:uid="{2372ED6F-56AE-47F0-996E-A3B8A5CD1039}" uniqueName="5" name="option_ticker" queryTableFieldId="5" dataDxfId="49"/>
    <tableColumn id="6" xr3:uid="{8C3DC8D8-B193-4FFE-AAB8-6A753AEE0644}" uniqueName="6" name="ticker" queryTableFieldId="6" dataDxfId="50"/>
    <tableColumn id="7" xr3:uid="{010E7D80-076F-4782-98F0-4B987E3972F9}" uniqueName="7" name="K" queryTableFieldId="7"/>
    <tableColumn id="8" xr3:uid="{66A4BF16-1DED-4C26-8526-BE1CA8D1B1D6}" uniqueName="8" name="expiry" queryTableFieldId="8" dataDxfId="44"/>
    <tableColumn id="9" xr3:uid="{78FBF1AF-AFD1-4EB8-9043-4FF7CB62C315}" uniqueName="9" name="r" queryTableFieldId="9" dataDxfId="43"/>
    <tableColumn id="10" xr3:uid="{100B098D-590D-4949-85B7-6E03481FC6E9}" uniqueName="10" name="t" queryTableFieldId="10" dataDxfId="42"/>
    <tableColumn id="11" xr3:uid="{64439DE0-FE58-4008-80B3-795459D3FE0B}" uniqueName="11" name="call_option" queryTableFieldId="11" dataDxfId="41"/>
    <tableColumn id="12" xr3:uid="{955C886C-5CAE-4288-8949-94F3D2A1E724}" uniqueName="12" name="D_call_option" queryTableFieldId="12" dataDxfId="40"/>
    <tableColumn id="13" xr3:uid="{2A7EB1CB-5C59-4229-9B70-37C6AE6B056C}" uniqueName="13" name="D_sigma_impl" queryTableFieldId="13" dataDxfId="39"/>
    <tableColumn id="14" xr3:uid="{9415152D-C328-4AB7-BF78-292F242DF562}" uniqueName="14" name="sqrt_t" queryTableFieldId="14" dataDxfId="38"/>
    <tableColumn id="15" xr3:uid="{F4F06D6B-6DA0-495C-9994-3B6DBA62B389}" uniqueName="15" name="D_S" queryTableFieldId="15" dataDxfId="37"/>
    <tableColumn id="16" xr3:uid="{CCC6686A-DA81-4918-A195-07F0BF9EAF50}" uniqueName="16" name="delta_bs" queryTableFieldId="16" dataDxfId="36"/>
    <tableColumn id="17" xr3:uid="{24AB9C75-819C-4C5F-BB8D-5C66E195C0DB}" uniqueName="17" name="vega_bs" queryTableFieldId="17" dataDxfId="35"/>
    <tableColumn id="18" xr3:uid="{539D8EF6-FA1B-4582-8091-B83BB82F0879}" uniqueName="18" name="y_serie" queryTableFieldId="18" dataDxfId="34"/>
    <tableColumn id="19" xr3:uid="{78F0376B-4C41-40BD-B9E7-5471FAAA8DF3}" uniqueName="19" name="a" queryTableFieldId="19" dataDxfId="33"/>
    <tableColumn id="20" xr3:uid="{C27D5B1A-3B44-4D61-9782-3C18C3EE3ED1}" uniqueName="20" name="b" queryTableFieldId="20" dataDxfId="32"/>
    <tableColumn id="21" xr3:uid="{CFE25C03-B879-42DE-9CA6-28F017B351FA}" uniqueName="21" name="c" queryTableFieldId="21" dataDxfId="3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13"/>
  <sheetViews>
    <sheetView zoomScale="125" zoomScaleNormal="125" zoomScalePageLayoutView="125" workbookViewId="0">
      <selection activeCell="C14" sqref="C14"/>
    </sheetView>
  </sheetViews>
  <sheetFormatPr defaultColWidth="8.85546875" defaultRowHeight="12.75"/>
  <cols>
    <col min="1" max="1" width="8.85546875" style="7"/>
    <col min="2" max="2" width="10.7109375" style="7" customWidth="1"/>
    <col min="3" max="6" width="12.42578125" style="7" bestFit="1" customWidth="1"/>
    <col min="7" max="16384" width="8.85546875" style="7"/>
  </cols>
  <sheetData>
    <row r="2" spans="1:12">
      <c r="B2" s="26" t="s">
        <v>4</v>
      </c>
      <c r="C2" s="27">
        <v>50</v>
      </c>
    </row>
    <row r="3" spans="1:12">
      <c r="B3" s="26" t="s">
        <v>46</v>
      </c>
      <c r="C3" s="43">
        <v>1.4999999999999999E-2</v>
      </c>
    </row>
    <row r="4" spans="1:12">
      <c r="B4" s="26" t="s">
        <v>7</v>
      </c>
      <c r="C4" s="28">
        <v>1</v>
      </c>
    </row>
    <row r="5" spans="1:12">
      <c r="B5" s="26"/>
      <c r="C5" s="38"/>
    </row>
    <row r="6" spans="1:12" ht="15.95" customHeight="1">
      <c r="B6" s="61" t="s">
        <v>60</v>
      </c>
      <c r="C6" s="61"/>
      <c r="D6" s="61"/>
      <c r="E6" s="61"/>
      <c r="F6" s="61"/>
    </row>
    <row r="7" spans="1:12" ht="15.95" customHeight="1">
      <c r="B7" s="61"/>
      <c r="C7" s="61"/>
      <c r="D7" s="61"/>
      <c r="E7" s="61"/>
      <c r="F7" s="61"/>
    </row>
    <row r="9" spans="1:12">
      <c r="B9" s="35" t="s">
        <v>56</v>
      </c>
      <c r="C9" s="34"/>
      <c r="D9" s="34"/>
      <c r="E9" s="34"/>
      <c r="F9" s="34"/>
    </row>
    <row r="10" spans="1:12">
      <c r="B10" s="35" t="s">
        <v>57</v>
      </c>
    </row>
    <row r="12" spans="1:12">
      <c r="B12" s="11" t="s">
        <v>58</v>
      </c>
      <c r="C12" s="37">
        <v>0.2</v>
      </c>
      <c r="D12" s="37">
        <v>0.3</v>
      </c>
      <c r="E12" s="36">
        <f>BS_IVLow</f>
        <v>0.2</v>
      </c>
      <c r="F12" s="36">
        <f>BS_IVHigh</f>
        <v>0.3</v>
      </c>
    </row>
    <row r="13" spans="1:12">
      <c r="A13" s="8"/>
      <c r="B13" s="8" t="s">
        <v>23</v>
      </c>
      <c r="C13" s="8" t="s">
        <v>20</v>
      </c>
      <c r="D13" s="8" t="s">
        <v>24</v>
      </c>
      <c r="E13" s="8" t="s">
        <v>25</v>
      </c>
      <c r="F13" s="8" t="s">
        <v>26</v>
      </c>
      <c r="G13" s="8"/>
      <c r="H13" s="8"/>
      <c r="I13" s="8"/>
      <c r="J13" s="8"/>
      <c r="K13" s="8"/>
      <c r="L13" s="8"/>
    </row>
    <row r="14" spans="1:12" ht="14.1" customHeight="1">
      <c r="A14" s="8"/>
      <c r="B14" s="8">
        <v>1</v>
      </c>
      <c r="C14" s="8">
        <f t="shared" ref="C14:C45" si="0">CallDelta(B14,BS_IVLow,0,BS_r,BS_K,BS_T)</f>
        <v>0</v>
      </c>
      <c r="D14" s="8">
        <f t="shared" ref="D14:D45" si="1">CallDelta(B14,BS_IVHigh,0,BS_r,BS_K,BS_T)</f>
        <v>0</v>
      </c>
      <c r="E14" s="8">
        <f t="shared" ref="E14:E45" si="2">CallGamma(B14,BS_IVLow,0,BS_r,BS_K,BS_T)</f>
        <v>5.0084911673274488E-82</v>
      </c>
      <c r="F14" s="8">
        <f t="shared" ref="F14:F45" si="3">CallGamma(B14,BS_IVHigh,0,BS_r,BS_K,BS_T)</f>
        <v>2.1049947902087335E-36</v>
      </c>
      <c r="G14" s="8"/>
      <c r="H14" s="8"/>
      <c r="I14" s="8"/>
      <c r="J14" s="8"/>
      <c r="K14" s="8"/>
      <c r="L14" s="8"/>
    </row>
    <row r="15" spans="1:12">
      <c r="A15" s="8"/>
      <c r="B15" s="8">
        <v>2</v>
      </c>
      <c r="C15" s="8">
        <f t="shared" si="0"/>
        <v>0</v>
      </c>
      <c r="D15" s="8">
        <f t="shared" si="1"/>
        <v>0</v>
      </c>
      <c r="E15" s="8">
        <f t="shared" si="2"/>
        <v>9.2887274480900552E-56</v>
      </c>
      <c r="F15" s="8">
        <f t="shared" si="3"/>
        <v>5.5868905792686009E-25</v>
      </c>
      <c r="G15" s="8"/>
      <c r="H15" s="8"/>
      <c r="I15" s="8"/>
      <c r="J15" s="8"/>
      <c r="K15" s="8"/>
      <c r="L15" s="8"/>
    </row>
    <row r="16" spans="1:12">
      <c r="A16" s="8"/>
      <c r="B16" s="8">
        <v>3</v>
      </c>
      <c r="C16" s="8">
        <f t="shared" si="0"/>
        <v>0</v>
      </c>
      <c r="D16" s="8">
        <f t="shared" si="1"/>
        <v>0</v>
      </c>
      <c r="E16" s="8">
        <f t="shared" si="2"/>
        <v>8.2356287383920902E-43</v>
      </c>
      <c r="F16" s="8">
        <f t="shared" si="3"/>
        <v>2.2645337680339111E-19</v>
      </c>
      <c r="G16" s="8"/>
      <c r="H16" s="8"/>
      <c r="I16" s="8"/>
      <c r="J16" s="8"/>
      <c r="K16" s="8"/>
      <c r="L16" s="8"/>
    </row>
    <row r="17" spans="1:12">
      <c r="A17" s="8"/>
      <c r="B17" s="8">
        <v>4</v>
      </c>
      <c r="C17" s="8">
        <f t="shared" si="0"/>
        <v>0</v>
      </c>
      <c r="D17" s="8">
        <f t="shared" si="1"/>
        <v>1.1102230246251565E-16</v>
      </c>
      <c r="E17" s="8">
        <f t="shared" si="2"/>
        <v>1.0465336777613854E-34</v>
      </c>
      <c r="F17" s="8">
        <f t="shared" si="3"/>
        <v>7.1230509888636144E-16</v>
      </c>
      <c r="G17" s="8"/>
      <c r="H17" s="8"/>
      <c r="I17" s="8"/>
      <c r="J17" s="8"/>
      <c r="K17" s="8"/>
      <c r="L17" s="8"/>
    </row>
    <row r="18" spans="1:12">
      <c r="A18" s="8"/>
      <c r="B18" s="8">
        <v>5</v>
      </c>
      <c r="C18" s="8">
        <f t="shared" si="0"/>
        <v>0</v>
      </c>
      <c r="D18" s="8">
        <f t="shared" si="1"/>
        <v>3.8857805861880479E-14</v>
      </c>
      <c r="E18" s="8">
        <f t="shared" si="2"/>
        <v>4.8634703532361778E-29</v>
      </c>
      <c r="F18" s="8">
        <f t="shared" si="3"/>
        <v>1.9528108615958928E-13</v>
      </c>
      <c r="G18" s="8"/>
      <c r="H18" s="8"/>
      <c r="I18" s="8"/>
      <c r="J18" s="8"/>
      <c r="K18" s="8"/>
      <c r="L18" s="8"/>
    </row>
    <row r="19" spans="1:12">
      <c r="A19" s="8"/>
      <c r="B19" s="8">
        <v>6</v>
      </c>
      <c r="C19" s="8">
        <f t="shared" si="0"/>
        <v>0</v>
      </c>
      <c r="D19" s="8">
        <f t="shared" si="1"/>
        <v>3.2855940190756883E-12</v>
      </c>
      <c r="E19" s="8">
        <f t="shared" si="2"/>
        <v>8.2426100780573973E-25</v>
      </c>
      <c r="F19" s="8">
        <f t="shared" si="3"/>
        <v>1.2714053216316235E-11</v>
      </c>
      <c r="G19" s="8"/>
      <c r="H19" s="8"/>
      <c r="I19" s="8"/>
      <c r="J19" s="8"/>
      <c r="K19" s="8"/>
      <c r="L19" s="8"/>
    </row>
    <row r="20" spans="1:12">
      <c r="A20" s="8"/>
      <c r="B20" s="8">
        <v>7</v>
      </c>
      <c r="C20" s="8">
        <f t="shared" si="0"/>
        <v>0</v>
      </c>
      <c r="D20" s="8">
        <f t="shared" si="1"/>
        <v>1.055658893633904E-10</v>
      </c>
      <c r="E20" s="8">
        <f t="shared" si="2"/>
        <v>1.6224143689431844E-21</v>
      </c>
      <c r="F20" s="8">
        <f t="shared" si="3"/>
        <v>3.2549037989507448E-10</v>
      </c>
      <c r="G20" s="8"/>
      <c r="H20" s="8"/>
      <c r="I20" s="8"/>
      <c r="J20" s="8"/>
      <c r="K20" s="8"/>
      <c r="L20" s="8"/>
    </row>
    <row r="21" spans="1:12">
      <c r="A21" s="8"/>
      <c r="B21" s="8">
        <v>8</v>
      </c>
      <c r="C21" s="8">
        <f t="shared" si="0"/>
        <v>0</v>
      </c>
      <c r="D21" s="8">
        <f t="shared" si="1"/>
        <v>1.7308836586238385E-9</v>
      </c>
      <c r="E21" s="8">
        <f t="shared" si="2"/>
        <v>7.1630482801383905E-19</v>
      </c>
      <c r="F21" s="8">
        <f t="shared" si="3"/>
        <v>4.3625326244918549E-9</v>
      </c>
      <c r="G21" s="8"/>
      <c r="H21" s="8"/>
      <c r="I21" s="8"/>
      <c r="J21" s="8"/>
      <c r="K21" s="8"/>
      <c r="L21" s="8"/>
    </row>
    <row r="22" spans="1:12">
      <c r="A22" s="8"/>
      <c r="B22" s="8">
        <v>9</v>
      </c>
      <c r="C22" s="8">
        <f t="shared" si="0"/>
        <v>0</v>
      </c>
      <c r="D22" s="8">
        <f t="shared" si="1"/>
        <v>1.7383955719374455E-8</v>
      </c>
      <c r="E22" s="8">
        <f t="shared" si="2"/>
        <v>1.065135275746814E-16</v>
      </c>
      <c r="F22" s="8">
        <f t="shared" si="3"/>
        <v>3.6524250652014322E-8</v>
      </c>
      <c r="G22" s="8"/>
      <c r="H22" s="8"/>
      <c r="I22" s="8"/>
      <c r="J22" s="8"/>
      <c r="K22" s="8"/>
      <c r="L22" s="8"/>
    </row>
    <row r="23" spans="1:12">
      <c r="A23" s="8"/>
      <c r="B23" s="8">
        <v>10</v>
      </c>
      <c r="C23" s="8">
        <f t="shared" si="0"/>
        <v>1.7763568394002505E-15</v>
      </c>
      <c r="D23" s="8">
        <f t="shared" si="1"/>
        <v>1.2057497056350286E-7</v>
      </c>
      <c r="E23" s="8">
        <f t="shared" si="2"/>
        <v>6.965758049653437E-15</v>
      </c>
      <c r="F23" s="8">
        <f t="shared" si="3"/>
        <v>2.1447033771891672E-7</v>
      </c>
      <c r="G23" s="8"/>
      <c r="H23" s="8"/>
      <c r="I23" s="8"/>
      <c r="J23" s="8"/>
      <c r="K23" s="8"/>
      <c r="L23" s="8"/>
    </row>
    <row r="24" spans="1:12">
      <c r="A24" s="8"/>
      <c r="B24" s="8">
        <v>11</v>
      </c>
      <c r="C24" s="8">
        <f t="shared" si="0"/>
        <v>7.0943251273547503E-14</v>
      </c>
      <c r="D24" s="8">
        <f t="shared" si="1"/>
        <v>6.2727009886298646E-7</v>
      </c>
      <c r="E24" s="8">
        <f t="shared" si="2"/>
        <v>2.4072251785235818E-13</v>
      </c>
      <c r="F24" s="8">
        <f t="shared" si="3"/>
        <v>9.564727246342566E-7</v>
      </c>
      <c r="G24" s="8"/>
      <c r="H24" s="8"/>
      <c r="I24" s="8"/>
      <c r="J24" s="8"/>
      <c r="K24" s="8"/>
      <c r="L24" s="8"/>
    </row>
    <row r="25" spans="1:12">
      <c r="A25" s="8"/>
      <c r="B25" s="8">
        <v>12</v>
      </c>
      <c r="C25" s="8">
        <f t="shared" si="0"/>
        <v>1.7051915435217779E-12</v>
      </c>
      <c r="D25" s="8">
        <f t="shared" si="1"/>
        <v>2.5963548941909664E-6</v>
      </c>
      <c r="E25" s="8">
        <f t="shared" si="2"/>
        <v>5.0116465228976473E-12</v>
      </c>
      <c r="F25" s="8">
        <f t="shared" si="3"/>
        <v>3.4289882409020124E-6</v>
      </c>
      <c r="G25" s="8"/>
      <c r="H25" s="8"/>
      <c r="I25" s="8"/>
      <c r="J25" s="8"/>
      <c r="K25" s="8"/>
      <c r="L25" s="8"/>
    </row>
    <row r="26" spans="1:12">
      <c r="A26" s="8"/>
      <c r="B26" s="8">
        <v>13</v>
      </c>
      <c r="C26" s="8">
        <f t="shared" si="0"/>
        <v>2.6974533717805116E-11</v>
      </c>
      <c r="D26" s="8">
        <f t="shared" si="1"/>
        <v>8.9300945940173904E-6</v>
      </c>
      <c r="E26" s="8">
        <f t="shared" si="2"/>
        <v>6.9224540075018397E-11</v>
      </c>
      <c r="F26" s="8">
        <f t="shared" si="3"/>
        <v>1.0303589030426439E-5</v>
      </c>
      <c r="G26" s="8"/>
      <c r="H26" s="8"/>
      <c r="I26" s="8"/>
      <c r="J26" s="8"/>
      <c r="K26" s="8"/>
      <c r="L26" s="8"/>
    </row>
    <row r="27" spans="1:12">
      <c r="A27" s="8"/>
      <c r="B27" s="8">
        <v>14</v>
      </c>
      <c r="C27" s="8">
        <f t="shared" si="0"/>
        <v>3.023733485818525E-10</v>
      </c>
      <c r="D27" s="8">
        <f t="shared" si="1"/>
        <v>2.6374325522215969E-5</v>
      </c>
      <c r="E27" s="8">
        <f t="shared" si="2"/>
        <v>6.8230412732342997E-10</v>
      </c>
      <c r="F27" s="8">
        <f t="shared" si="3"/>
        <v>2.6780603969057632E-5</v>
      </c>
      <c r="G27" s="8"/>
      <c r="H27" s="8"/>
      <c r="I27" s="8"/>
      <c r="J27" s="8"/>
      <c r="K27" s="8"/>
      <c r="L27" s="8"/>
    </row>
    <row r="28" spans="1:12">
      <c r="A28" s="8"/>
      <c r="B28" s="8">
        <v>15</v>
      </c>
      <c r="C28" s="8">
        <f t="shared" si="0"/>
        <v>2.5430513250768172E-9</v>
      </c>
      <c r="D28" s="8">
        <f t="shared" si="1"/>
        <v>6.8601310663440884E-5</v>
      </c>
      <c r="E28" s="8">
        <f t="shared" si="2"/>
        <v>5.0758667977619702E-9</v>
      </c>
      <c r="F28" s="8">
        <f t="shared" si="3"/>
        <v>6.1687712630331936E-5</v>
      </c>
      <c r="G28" s="8"/>
      <c r="H28" s="8"/>
      <c r="I28" s="8"/>
      <c r="J28" s="8"/>
      <c r="K28" s="8"/>
      <c r="L28" s="8"/>
    </row>
    <row r="29" spans="1:12">
      <c r="A29" s="8"/>
      <c r="B29" s="8">
        <v>16</v>
      </c>
      <c r="C29" s="8">
        <f t="shared" si="0"/>
        <v>1.6783817557985969E-8</v>
      </c>
      <c r="D29" s="8">
        <f t="shared" si="1"/>
        <v>1.6030364910302186E-4</v>
      </c>
      <c r="E29" s="8">
        <f t="shared" si="2"/>
        <v>2.9784494191315159E-8</v>
      </c>
      <c r="F29" s="8">
        <f t="shared" si="3"/>
        <v>1.2834769380510469E-4</v>
      </c>
      <c r="G29" s="8"/>
      <c r="H29" s="8"/>
      <c r="I29" s="8"/>
      <c r="J29" s="8"/>
      <c r="K29" s="8"/>
      <c r="L29" s="8"/>
    </row>
    <row r="30" spans="1:12">
      <c r="A30" s="8"/>
      <c r="B30" s="8">
        <v>17</v>
      </c>
      <c r="C30" s="8">
        <f t="shared" si="0"/>
        <v>9.0096980542853089E-8</v>
      </c>
      <c r="D30" s="8">
        <f t="shared" si="1"/>
        <v>3.4190341720030659E-4</v>
      </c>
      <c r="E30" s="8">
        <f t="shared" si="2"/>
        <v>1.4278203918525825E-7</v>
      </c>
      <c r="F30" s="8">
        <f t="shared" si="3"/>
        <v>2.4489122351713965E-4</v>
      </c>
      <c r="G30" s="8"/>
      <c r="H30" s="8"/>
      <c r="I30" s="8"/>
      <c r="J30" s="8"/>
      <c r="K30" s="8"/>
      <c r="L30" s="8"/>
    </row>
    <row r="31" spans="1:12">
      <c r="A31" s="8"/>
      <c r="B31" s="8">
        <v>18</v>
      </c>
      <c r="C31" s="8">
        <f t="shared" si="0"/>
        <v>4.0494857611594881E-7</v>
      </c>
      <c r="D31" s="8">
        <f t="shared" si="1"/>
        <v>6.7419436582238923E-4</v>
      </c>
      <c r="E31" s="8">
        <f t="shared" si="2"/>
        <v>5.7529612809118231E-7</v>
      </c>
      <c r="F31" s="8">
        <f t="shared" si="3"/>
        <v>4.3378309359817633E-4</v>
      </c>
      <c r="G31" s="8"/>
      <c r="H31" s="8"/>
      <c r="I31" s="8"/>
      <c r="J31" s="8"/>
      <c r="K31" s="8"/>
      <c r="L31" s="8"/>
    </row>
    <row r="32" spans="1:12">
      <c r="A32" s="8"/>
      <c r="B32" s="8">
        <v>19</v>
      </c>
      <c r="C32" s="8">
        <f t="shared" si="0"/>
        <v>1.5605032926968576E-6</v>
      </c>
      <c r="D32" s="8">
        <f t="shared" si="1"/>
        <v>1.2420840787992216E-3</v>
      </c>
      <c r="E32" s="8">
        <f t="shared" si="2"/>
        <v>1.994032342016128E-6</v>
      </c>
      <c r="F32" s="8">
        <f t="shared" si="3"/>
        <v>7.2050046038419464E-4</v>
      </c>
      <c r="G32" s="8"/>
      <c r="H32" s="8"/>
      <c r="I32" s="8"/>
      <c r="J32" s="8"/>
      <c r="K32" s="8"/>
      <c r="L32" s="8"/>
    </row>
    <row r="33" spans="1:12">
      <c r="A33" s="8"/>
      <c r="B33" s="8">
        <v>20</v>
      </c>
      <c r="C33" s="8">
        <f t="shared" si="0"/>
        <v>5.2581535181506212E-6</v>
      </c>
      <c r="D33" s="8">
        <f t="shared" si="1"/>
        <v>2.156636855717653E-3</v>
      </c>
      <c r="E33" s="8">
        <f t="shared" si="2"/>
        <v>6.0609148017800238E-6</v>
      </c>
      <c r="F33" s="8">
        <f t="shared" si="3"/>
        <v>1.1314908243522483E-3</v>
      </c>
      <c r="G33" s="8"/>
      <c r="H33" s="8"/>
      <c r="I33" s="8"/>
      <c r="J33" s="8"/>
      <c r="K33" s="8"/>
      <c r="L33" s="8"/>
    </row>
    <row r="34" spans="1:12">
      <c r="A34" s="8"/>
      <c r="B34" s="8">
        <v>21</v>
      </c>
      <c r="C34" s="8">
        <f t="shared" si="0"/>
        <v>1.5748253469505258E-5</v>
      </c>
      <c r="D34" s="8">
        <f t="shared" si="1"/>
        <v>3.5548262182437673E-3</v>
      </c>
      <c r="E34" s="8">
        <f t="shared" si="2"/>
        <v>1.6416264277605462E-5</v>
      </c>
      <c r="F34" s="8">
        <f t="shared" si="3"/>
        <v>1.6916887749530585E-3</v>
      </c>
      <c r="G34" s="8"/>
      <c r="H34" s="8"/>
      <c r="I34" s="8"/>
      <c r="J34" s="8"/>
      <c r="K34" s="8"/>
      <c r="L34" s="8"/>
    </row>
    <row r="35" spans="1:12">
      <c r="B35" s="8">
        <v>22</v>
      </c>
      <c r="C35" s="8">
        <f t="shared" si="0"/>
        <v>4.2507888714959918E-5</v>
      </c>
      <c r="D35" s="8">
        <f t="shared" si="1"/>
        <v>5.5967309987204894E-3</v>
      </c>
      <c r="E35" s="8">
        <f t="shared" si="2"/>
        <v>4.0161131085423058E-5</v>
      </c>
      <c r="F35" s="8">
        <f t="shared" si="3"/>
        <v>2.4219491680991011E-3</v>
      </c>
    </row>
    <row r="36" spans="1:12">
      <c r="B36" s="8">
        <v>23</v>
      </c>
      <c r="C36" s="8">
        <f t="shared" si="0"/>
        <v>1.0462817930068091E-4</v>
      </c>
      <c r="D36" s="8">
        <f t="shared" si="1"/>
        <v>8.4602722786122353E-3</v>
      </c>
      <c r="E36" s="8">
        <f t="shared" si="2"/>
        <v>8.9765786773274479E-5</v>
      </c>
      <c r="F36" s="8">
        <f t="shared" si="3"/>
        <v>3.3367526919931144E-3</v>
      </c>
    </row>
    <row r="37" spans="1:12">
      <c r="B37" s="8">
        <v>24</v>
      </c>
      <c r="C37" s="8">
        <f t="shared" si="0"/>
        <v>2.3721246156616083E-4</v>
      </c>
      <c r="D37" s="8">
        <f t="shared" si="1"/>
        <v>1.2333915364678649E-2</v>
      </c>
      <c r="E37" s="8">
        <f t="shared" si="2"/>
        <v>1.8511592842770743E-4</v>
      </c>
      <c r="F37" s="8">
        <f t="shared" si="3"/>
        <v>4.4424721491793826E-3</v>
      </c>
    </row>
    <row r="38" spans="1:12">
      <c r="B38" s="8">
        <v>25</v>
      </c>
      <c r="C38" s="8">
        <f t="shared" si="0"/>
        <v>4.9968737837191579E-4</v>
      </c>
      <c r="D38" s="8">
        <f t="shared" si="1"/>
        <v>1.7407998105221423E-2</v>
      </c>
      <c r="E38" s="8">
        <f t="shared" si="2"/>
        <v>3.5519350655899962E-4</v>
      </c>
      <c r="F38" s="8">
        <f t="shared" si="3"/>
        <v>5.7363805399154337E-3</v>
      </c>
    </row>
    <row r="39" spans="1:12">
      <c r="B39" s="8">
        <v>26</v>
      </c>
      <c r="C39" s="8">
        <f t="shared" si="0"/>
        <v>9.8535318400039262E-4</v>
      </c>
      <c r="D39" s="8">
        <f t="shared" si="1"/>
        <v>2.3865468695874359E-2</v>
      </c>
      <c r="E39" s="8">
        <f t="shared" si="2"/>
        <v>6.3876636209564354E-4</v>
      </c>
      <c r="F39" s="8">
        <f t="shared" si="3"/>
        <v>7.2064633128603181E-3</v>
      </c>
    </row>
    <row r="40" spans="1:12">
      <c r="B40" s="8">
        <v>27</v>
      </c>
      <c r="C40" s="8">
        <f t="shared" si="0"/>
        <v>1.8308797953699996E-3</v>
      </c>
      <c r="D40" s="8">
        <f t="shared" si="1"/>
        <v>3.1872823267600991E-2</v>
      </c>
      <c r="E40" s="8">
        <f t="shared" si="2"/>
        <v>1.0835050388420489E-3</v>
      </c>
      <c r="F40" s="8">
        <f t="shared" si="3"/>
        <v>8.8319899349429618E-3</v>
      </c>
    </row>
    <row r="41" spans="1:12">
      <c r="B41" s="8">
        <v>28</v>
      </c>
      <c r="C41" s="8">
        <f t="shared" si="0"/>
        <v>3.223974833830523E-3</v>
      </c>
      <c r="D41" s="8">
        <f t="shared" si="1"/>
        <v>4.1571945509283559E-2</v>
      </c>
      <c r="E41" s="8">
        <f t="shared" si="2"/>
        <v>1.7431786325016383E-3</v>
      </c>
      <c r="F41" s="8">
        <f t="shared" si="3"/>
        <v>1.0584718789079526E-2</v>
      </c>
    </row>
    <row r="42" spans="1:12">
      <c r="B42" s="8">
        <v>29</v>
      </c>
      <c r="C42" s="8">
        <f t="shared" si="0"/>
        <v>5.4072817726963374E-3</v>
      </c>
      <c r="D42" s="8">
        <f t="shared" si="1"/>
        <v>5.307339710661052E-2</v>
      </c>
      <c r="E42" s="8">
        <f t="shared" si="2"/>
        <v>2.6729598579908567E-3</v>
      </c>
      <c r="F42" s="8">
        <f t="shared" si="3"/>
        <v>1.243056029836833E-2</v>
      </c>
    </row>
    <row r="43" spans="1:12">
      <c r="B43" s="8">
        <v>30</v>
      </c>
      <c r="C43" s="8">
        <f t="shared" si="0"/>
        <v>8.6768100215708355E-3</v>
      </c>
      <c r="D43" s="8">
        <f t="shared" si="1"/>
        <v>6.6451520980826517E-2</v>
      </c>
      <c r="E43" s="8">
        <f t="shared" si="2"/>
        <v>3.9232954716652219E-3</v>
      </c>
      <c r="F43" s="8">
        <f t="shared" si="3"/>
        <v>1.4331505149343865E-2</v>
      </c>
    </row>
    <row r="44" spans="1:12">
      <c r="B44" s="8">
        <v>31</v>
      </c>
      <c r="C44" s="8">
        <f t="shared" si="0"/>
        <v>1.3373844404928614E-2</v>
      </c>
      <c r="D44" s="8">
        <f t="shared" si="1"/>
        <v>8.1741527900126454E-2</v>
      </c>
      <c r="E44" s="8">
        <f t="shared" si="2"/>
        <v>5.533156513490017E-3</v>
      </c>
      <c r="F44" s="8">
        <f t="shared" si="3"/>
        <v>1.6247632122943275E-2</v>
      </c>
    </row>
    <row r="45" spans="1:12">
      <c r="B45" s="8">
        <v>32</v>
      </c>
      <c r="C45" s="8">
        <f t="shared" si="0"/>
        <v>1.9870211041530972E-2</v>
      </c>
      <c r="D45" s="8">
        <f t="shared" si="1"/>
        <v>9.8938563063660778E-2</v>
      </c>
      <c r="E45" s="8">
        <f t="shared" si="2"/>
        <v>7.5236790529149399E-3</v>
      </c>
      <c r="F45" s="8">
        <f t="shared" si="3"/>
        <v>1.8139035819036722E-2</v>
      </c>
    </row>
    <row r="46" spans="1:12">
      <c r="B46" s="8">
        <v>33</v>
      </c>
      <c r="C46" s="8">
        <f t="shared" ref="C46:C77" si="4">CallDelta(B46,BS_IVLow,0,BS_r,BS_K,BS_T)</f>
        <v>2.8547800039548488E-2</v>
      </c>
      <c r="D46" s="8">
        <f t="shared" ref="D46:D77" si="5">CallDelta(B46,BS_IVHigh,0,BS_r,BS_K,BS_T)</f>
        <v>0.1179986069840071</v>
      </c>
      <c r="E46" s="8">
        <f t="shared" ref="E46:E77" si="6">CallGamma(B46,BS_IVLow,0,BS_r,BS_K,BS_T)</f>
        <v>9.8931942041304809E-3</v>
      </c>
      <c r="F46" s="8">
        <f t="shared" ref="F46:F77" si="7">CallGamma(B46,BS_IVHigh,0,BS_r,BS_K,BS_T)</f>
        <v>1.9967550725160488E-2</v>
      </c>
    </row>
    <row r="47" spans="1:12">
      <c r="B47" s="8">
        <v>34</v>
      </c>
      <c r="C47" s="8">
        <f t="shared" si="4"/>
        <v>3.9774155003621359E-2</v>
      </c>
      <c r="D47" s="8">
        <f t="shared" si="5"/>
        <v>0.1388409613158299</v>
      </c>
      <c r="E47" s="8">
        <f t="shared" si="6"/>
        <v>1.2614436966213801E-2</v>
      </c>
      <c r="F47" s="8">
        <f t="shared" si="7"/>
        <v>2.1698187862371453E-2</v>
      </c>
    </row>
    <row r="48" spans="1:12">
      <c r="B48" s="8">
        <v>35</v>
      </c>
      <c r="C48" s="8">
        <f t="shared" si="4"/>
        <v>5.3876563103812392E-2</v>
      </c>
      <c r="D48" s="8">
        <f t="shared" si="5"/>
        <v>0.16135200606804967</v>
      </c>
      <c r="E48" s="8">
        <f t="shared" si="6"/>
        <v>1.563437453225024E-2</v>
      </c>
      <c r="F48" s="8">
        <f t="shared" si="7"/>
        <v>2.3300238466598282E-2</v>
      </c>
    </row>
    <row r="49" spans="2:6">
      <c r="B49" s="8">
        <v>36</v>
      </c>
      <c r="C49" s="8">
        <f t="shared" si="4"/>
        <v>7.1117317743735864E-2</v>
      </c>
      <c r="D49" s="8">
        <f t="shared" si="5"/>
        <v>0.18538988644935173</v>
      </c>
      <c r="E49" s="8">
        <f t="shared" si="6"/>
        <v>1.8876688756397735E-2</v>
      </c>
      <c r="F49" s="8">
        <f t="shared" si="7"/>
        <v>2.4748032402144446E-2</v>
      </c>
    </row>
    <row r="50" spans="2:6">
      <c r="B50" s="8">
        <v>37</v>
      </c>
      <c r="C50" s="8">
        <f t="shared" si="4"/>
        <v>9.1672664336472587E-2</v>
      </c>
      <c r="D50" s="8">
        <f t="shared" si="5"/>
        <v>0.21078978936497972</v>
      </c>
      <c r="E50" s="8">
        <f t="shared" si="6"/>
        <v>2.2246567988949247E-2</v>
      </c>
      <c r="F50" s="8">
        <f t="shared" si="7"/>
        <v>2.6021365414559964E-2</v>
      </c>
    </row>
    <row r="51" spans="2:6">
      <c r="B51" s="8">
        <v>38</v>
      </c>
      <c r="C51" s="8">
        <f t="shared" si="4"/>
        <v>0.11561743985783657</v>
      </c>
      <c r="D51" s="8">
        <f t="shared" si="5"/>
        <v>0.23736949406621743</v>
      </c>
      <c r="E51" s="8">
        <f t="shared" si="6"/>
        <v>2.563717556258361E-2</v>
      </c>
      <c r="F51" s="8">
        <f t="shared" si="7"/>
        <v>2.7105628349424322E-2</v>
      </c>
    </row>
    <row r="52" spans="2:6">
      <c r="B52" s="8">
        <v>39</v>
      </c>
      <c r="C52" s="8">
        <f t="shared" si="4"/>
        <v>0.14291669145439878</v>
      </c>
      <c r="D52" s="8">
        <f t="shared" si="5"/>
        <v>0.26493492134162133</v>
      </c>
      <c r="E52" s="8">
        <f t="shared" si="6"/>
        <v>2.8937001985425342E-2</v>
      </c>
      <c r="F52" s="8">
        <f t="shared" si="7"/>
        <v>2.7991683441833011E-2</v>
      </c>
    </row>
    <row r="53" spans="2:6">
      <c r="B53" s="8">
        <v>40</v>
      </c>
      <c r="C53" s="8">
        <f t="shared" si="4"/>
        <v>0.17342474197829993</v>
      </c>
      <c r="D53" s="8">
        <f t="shared" si="5"/>
        <v>0.29328545429089004</v>
      </c>
      <c r="E53" s="8">
        <f t="shared" si="6"/>
        <v>3.2037281254222796E-2</v>
      </c>
      <c r="F53" s="8">
        <f t="shared" si="7"/>
        <v>2.8675538638672005E-2</v>
      </c>
    </row>
    <row r="54" spans="2:6">
      <c r="B54" s="8">
        <v>41</v>
      </c>
      <c r="C54" s="8">
        <f t="shared" si="4"/>
        <v>0.20689138715976574</v>
      </c>
      <c r="D54" s="8">
        <f t="shared" si="5"/>
        <v>0.32221885559192176</v>
      </c>
      <c r="E54" s="8">
        <f t="shared" si="6"/>
        <v>3.4838739892415434E-2</v>
      </c>
      <c r="F54" s="8">
        <f t="shared" si="7"/>
        <v>2.9157871855842326E-2</v>
      </c>
    </row>
    <row r="55" spans="2:6">
      <c r="B55" s="8">
        <v>42</v>
      </c>
      <c r="C55" s="8">
        <f t="shared" si="4"/>
        <v>0.24297425892854385</v>
      </c>
      <c r="D55" s="8">
        <f t="shared" si="5"/>
        <v>0.3515356569761835</v>
      </c>
      <c r="E55" s="8">
        <f t="shared" si="6"/>
        <v>3.7257116259317685E-2</v>
      </c>
      <c r="F55" s="8">
        <f t="shared" si="7"/>
        <v>2.9443454367821725E-2</v>
      </c>
    </row>
    <row r="56" spans="2:6">
      <c r="B56" s="8">
        <v>43</v>
      </c>
      <c r="C56" s="8">
        <f t="shared" si="4"/>
        <v>0.28125593297578677</v>
      </c>
      <c r="D56" s="8">
        <f t="shared" si="5"/>
        <v>0.38104294333641653</v>
      </c>
      <c r="E56" s="8">
        <f t="shared" si="6"/>
        <v>3.9227097812904552E-2</v>
      </c>
      <c r="F56" s="8">
        <f t="shared" si="7"/>
        <v>2.9540517373126074E-2</v>
      </c>
    </row>
    <row r="57" spans="2:6">
      <c r="B57" s="8">
        <v>44</v>
      </c>
      <c r="C57" s="8">
        <f t="shared" si="4"/>
        <v>0.32126411780956554</v>
      </c>
      <c r="D57" s="8">
        <f t="shared" si="5"/>
        <v>0.41055749459972135</v>
      </c>
      <c r="E57" s="8">
        <f t="shared" si="6"/>
        <v>4.0704538488218693E-2</v>
      </c>
      <c r="F57" s="8">
        <f t="shared" si="7"/>
        <v>2.9460099210310241E-2</v>
      </c>
    </row>
    <row r="58" spans="2:6">
      <c r="B58" s="8">
        <v>45</v>
      </c>
      <c r="C58" s="8">
        <f t="shared" si="4"/>
        <v>0.36249322583732646</v>
      </c>
      <c r="D58" s="8">
        <f t="shared" si="5"/>
        <v>0.43990828224324918</v>
      </c>
      <c r="E58" s="8">
        <f t="shared" si="6"/>
        <v>4.1667008388513518E-2</v>
      </c>
      <c r="F58" s="8">
        <f t="shared" si="7"/>
        <v>2.9215403548493515E-2</v>
      </c>
    </row>
    <row r="59" spans="2:6">
      <c r="B59" s="8">
        <v>46</v>
      </c>
      <c r="C59" s="8">
        <f t="shared" si="4"/>
        <v>0.40442575930731917</v>
      </c>
      <c r="D59" s="8">
        <f t="shared" si="5"/>
        <v>0.46893834387547484</v>
      </c>
      <c r="E59" s="8">
        <f t="shared" si="6"/>
        <v>4.2112875244039207E-2</v>
      </c>
      <c r="F59" s="8">
        <f t="shared" si="7"/>
        <v>2.8821191771089182E-2</v>
      </c>
    </row>
    <row r="60" spans="2:6">
      <c r="B60" s="8">
        <v>47</v>
      </c>
      <c r="C60" s="8">
        <f t="shared" si="4"/>
        <v>0.44655219723075135</v>
      </c>
      <c r="D60" s="8">
        <f t="shared" si="5"/>
        <v>0.49750607894908017</v>
      </c>
      <c r="E60" s="8">
        <f t="shared" si="6"/>
        <v>4.205921361966606E-2</v>
      </c>
      <c r="F60" s="8">
        <f t="shared" si="7"/>
        <v>2.8293226147726089E-2</v>
      </c>
    </row>
    <row r="61" spans="2:6">
      <c r="B61" s="8">
        <v>48</v>
      </c>
      <c r="C61" s="8">
        <f t="shared" si="4"/>
        <v>0.48838839242555199</v>
      </c>
      <c r="D61" s="8">
        <f t="shared" si="5"/>
        <v>0.52548576474819098</v>
      </c>
      <c r="E61" s="8">
        <f t="shared" si="6"/>
        <v>4.1538884339160621E-2</v>
      </c>
      <c r="F61" s="8">
        <f t="shared" si="7"/>
        <v>2.7647774519859444E-2</v>
      </c>
    </row>
    <row r="62" spans="2:6">
      <c r="B62" s="8">
        <v>49</v>
      </c>
      <c r="C62" s="8">
        <f t="shared" si="4"/>
        <v>0.52948948772755444</v>
      </c>
      <c r="D62" s="8">
        <f t="shared" si="5"/>
        <v>0.55276795922856981</v>
      </c>
      <c r="E62" s="8">
        <f t="shared" si="6"/>
        <v>4.0597129829167196E-2</v>
      </c>
      <c r="F62" s="8">
        <f t="shared" si="7"/>
        <v>2.6901182251041794E-2</v>
      </c>
    </row>
    <row r="63" spans="2:6">
      <c r="B63" s="39">
        <v>50</v>
      </c>
      <c r="C63" s="39">
        <f t="shared" si="4"/>
        <v>0.5694601777375784</v>
      </c>
      <c r="D63" s="39">
        <f t="shared" si="5"/>
        <v>0.57925968418588936</v>
      </c>
      <c r="E63" s="39">
        <f t="shared" si="6"/>
        <v>3.9288001279828448E-2</v>
      </c>
      <c r="F63" s="39">
        <f t="shared" si="7"/>
        <v>2.6069513154046032E-2</v>
      </c>
    </row>
    <row r="64" spans="2:6">
      <c r="B64" s="8">
        <v>51</v>
      </c>
      <c r="C64" s="8">
        <f t="shared" si="4"/>
        <v>0.60796267377573388</v>
      </c>
      <c r="D64" s="8">
        <f t="shared" si="5"/>
        <v>0.60488370713870776</v>
      </c>
      <c r="E64" s="8">
        <f t="shared" si="6"/>
        <v>3.7670881971642839E-2</v>
      </c>
      <c r="F64" s="8">
        <f t="shared" si="7"/>
        <v>2.5168257973773599E-2</v>
      </c>
    </row>
    <row r="65" spans="2:6">
      <c r="B65" s="8">
        <v>52</v>
      </c>
      <c r="C65" s="8">
        <f t="shared" si="4"/>
        <v>0.64471974415599365</v>
      </c>
      <c r="D65" s="8">
        <f t="shared" si="5"/>
        <v>0.62957787014960431</v>
      </c>
      <c r="E65" s="8">
        <f t="shared" si="6"/>
        <v>3.5807308474253681E-2</v>
      </c>
      <c r="F65" s="8">
        <f t="shared" si="7"/>
        <v>2.4212106700534339E-2</v>
      </c>
    </row>
    <row r="66" spans="2:6">
      <c r="B66" s="8">
        <v>53</v>
      </c>
      <c r="C66" s="8">
        <f t="shared" si="4"/>
        <v>0.67951553458600267</v>
      </c>
      <c r="D66" s="8">
        <f t="shared" si="5"/>
        <v>0.65329421776055885</v>
      </c>
      <c r="E66" s="8">
        <f t="shared" si="6"/>
        <v>3.3758226572263079E-2</v>
      </c>
      <c r="F66" s="8">
        <f t="shared" si="7"/>
        <v>2.3214779409627313E-2</v>
      </c>
    </row>
    <row r="67" spans="2:6">
      <c r="B67" s="8">
        <v>54</v>
      </c>
      <c r="C67" s="8">
        <f t="shared" si="4"/>
        <v>0.71219387801908485</v>
      </c>
      <c r="D67" s="8">
        <f t="shared" si="5"/>
        <v>0.67599797440917719</v>
      </c>
      <c r="E67" s="8">
        <f t="shared" si="6"/>
        <v>3.1581758334776756E-2</v>
      </c>
      <c r="F67" s="8">
        <f t="shared" si="7"/>
        <v>2.2188909355409958E-2</v>
      </c>
    </row>
    <row r="68" spans="2:6">
      <c r="B68" s="8">
        <v>55</v>
      </c>
      <c r="C68" s="8">
        <f t="shared" si="4"/>
        <v>0.74265459972125114</v>
      </c>
      <c r="D68" s="8">
        <f t="shared" si="5"/>
        <v>0.69766642335182638</v>
      </c>
      <c r="E68" s="8">
        <f t="shared" si="6"/>
        <v>2.933150500522556E-2</v>
      </c>
      <c r="F68" s="8">
        <f t="shared" si="7"/>
        <v>2.1145971575717421E-2</v>
      </c>
    </row>
    <row r="69" spans="2:6">
      <c r="B69" s="8">
        <v>56</v>
      </c>
      <c r="C69" s="8">
        <f t="shared" si="4"/>
        <v>0.77084836923665034</v>
      </c>
      <c r="D69" s="8">
        <f t="shared" si="5"/>
        <v>0.71828773121410616</v>
      </c>
      <c r="E69" s="8">
        <f t="shared" si="6"/>
        <v>2.7055369542696904E-2</v>
      </c>
      <c r="F69" s="8">
        <f t="shared" si="7"/>
        <v>2.0096250176641534E-2</v>
      </c>
    </row>
    <row r="70" spans="2:6">
      <c r="B70" s="8">
        <v>57</v>
      </c>
      <c r="C70" s="8">
        <f t="shared" si="4"/>
        <v>0.79677060951779122</v>
      </c>
      <c r="D70" s="8">
        <f t="shared" si="5"/>
        <v>0.73785975480038324</v>
      </c>
      <c r="E70" s="8">
        <f t="shared" si="6"/>
        <v>2.4794853213882643E-2</v>
      </c>
      <c r="F70" s="8">
        <f t="shared" si="7"/>
        <v>1.9048837670345431E-2</v>
      </c>
    </row>
    <row r="71" spans="2:6">
      <c r="B71" s="8">
        <v>58</v>
      </c>
      <c r="C71" s="8">
        <f t="shared" si="4"/>
        <v>0.82045491193554676</v>
      </c>
      <c r="D71" s="8">
        <f t="shared" si="5"/>
        <v>0.75638885986171234</v>
      </c>
      <c r="E71" s="8">
        <f t="shared" si="6"/>
        <v>2.2584761924138205E-2</v>
      </c>
      <c r="F71" s="8">
        <f t="shared" si="7"/>
        <v>1.8011660145076283E-2</v>
      </c>
    </row>
    <row r="72" spans="2:6">
      <c r="B72" s="8">
        <v>59</v>
      </c>
      <c r="C72" s="8">
        <f t="shared" si="4"/>
        <v>0.84196633288257072</v>
      </c>
      <c r="D72" s="8">
        <f t="shared" si="5"/>
        <v>0.77388877523708854</v>
      </c>
      <c r="E72" s="8">
        <f t="shared" si="6"/>
        <v>2.0453248533361779E-2</v>
      </c>
      <c r="F72" s="8">
        <f t="shared" si="7"/>
        <v>1.6991522586093426E-2</v>
      </c>
    </row>
    <row r="73" spans="2:6">
      <c r="B73" s="8">
        <v>60</v>
      </c>
      <c r="C73" s="8">
        <f t="shared" si="4"/>
        <v>0.8613948706635034</v>
      </c>
      <c r="D73" s="8">
        <f t="shared" si="5"/>
        <v>0.79037950019639835</v>
      </c>
      <c r="E73" s="8">
        <f t="shared" si="6"/>
        <v>1.8422115393202303E-2</v>
      </c>
      <c r="F73" s="8">
        <f t="shared" si="7"/>
        <v>1.5994169281665242E-2</v>
      </c>
    </row>
    <row r="74" spans="2:6">
      <c r="B74" s="8">
        <v>61</v>
      </c>
      <c r="C74" s="8">
        <f t="shared" si="4"/>
        <v>0.878849346168592</v>
      </c>
      <c r="D74" s="8">
        <f t="shared" si="5"/>
        <v>0.80588627793943846</v>
      </c>
      <c r="E74" s="8">
        <f t="shared" si="6"/>
        <v>1.6507304845899923E-2</v>
      </c>
      <c r="F74" s="8">
        <f t="shared" si="7"/>
        <v>1.5024354894916148E-2</v>
      </c>
    </row>
    <row r="75" spans="2:6">
      <c r="B75" s="8">
        <v>62</v>
      </c>
      <c r="C75" s="8">
        <f t="shared" si="4"/>
        <v>0.89445184164363079</v>
      </c>
      <c r="D75" s="8">
        <f t="shared" si="5"/>
        <v>0.8204386440311543</v>
      </c>
      <c r="E75" s="8">
        <f t="shared" si="6"/>
        <v>1.4719512639483826E-2</v>
      </c>
      <c r="F75" s="8">
        <f t="shared" si="7"/>
        <v>1.4085922426483965E-2</v>
      </c>
    </row>
    <row r="76" spans="2:6">
      <c r="B76" s="8">
        <v>63</v>
      </c>
      <c r="C76" s="8">
        <f t="shared" si="4"/>
        <v>0.90833279135367839</v>
      </c>
      <c r="D76" s="8">
        <f t="shared" si="5"/>
        <v>0.83406955504535951</v>
      </c>
      <c r="E76" s="8">
        <f t="shared" si="6"/>
        <v>1.3064868579177239E-2</v>
      </c>
      <c r="F76" s="8">
        <f t="shared" si="7"/>
        <v>1.3181884910482453E-2</v>
      </c>
    </row>
    <row r="77" spans="2:6">
      <c r="B77" s="8">
        <v>64</v>
      </c>
      <c r="C77" s="8">
        <f t="shared" si="4"/>
        <v>0.9206267674380274</v>
      </c>
      <c r="D77" s="8">
        <f t="shared" si="5"/>
        <v>0.84681459979984319</v>
      </c>
      <c r="E77" s="8">
        <f t="shared" si="6"/>
        <v>1.154563899221649E-2</v>
      </c>
      <c r="F77" s="8">
        <f t="shared" si="7"/>
        <v>1.2314508260778428E-2</v>
      </c>
    </row>
    <row r="78" spans="2:6">
      <c r="B78" s="8">
        <v>65</v>
      </c>
      <c r="C78" s="8">
        <f t="shared" ref="C78:C109" si="8">CallDelta(B78,BS_IVLow,0,BS_r,BS_K,BS_T)</f>
        <v>0.93146896408188373</v>
      </c>
      <c r="D78" s="8">
        <f t="shared" ref="D78:D113" si="9">CallDelta(B78,BS_IVHigh,0,BS_r,BS_K,BS_T)</f>
        <v>0.85871129323812656</v>
      </c>
      <c r="E78" s="8">
        <f t="shared" ref="E78:E113" si="10">CallGamma(B78,BS_IVLow,0,BS_r,BS_K,BS_T)</f>
        <v>1.01609157866172E-2</v>
      </c>
      <c r="F78" s="8">
        <f t="shared" ref="F78:F113" si="11">CallGamma(B78,BS_IVHigh,0,BS_r,BS_K,BS_T)</f>
        <v>1.1485393206015179E-2</v>
      </c>
    </row>
    <row r="79" spans="2:6">
      <c r="B79" s="8">
        <v>66</v>
      </c>
      <c r="C79" s="8">
        <f t="shared" si="8"/>
        <v>0.94099235284194527</v>
      </c>
      <c r="D79" s="8">
        <f t="shared" si="9"/>
        <v>0.86979845118568444</v>
      </c>
      <c r="E79" s="8">
        <f t="shared" si="10"/>
        <v>8.9072663781394629E-3</v>
      </c>
      <c r="F79" s="8">
        <f t="shared" si="11"/>
        <v>1.0695554714988668E-2</v>
      </c>
    </row>
    <row r="80" spans="2:6">
      <c r="B80" s="8">
        <v>67</v>
      </c>
      <c r="C80" s="8">
        <f t="shared" si="8"/>
        <v>0.94932546061190171</v>
      </c>
      <c r="D80" s="8">
        <f t="shared" si="9"/>
        <v>0.88011564281846366</v>
      </c>
      <c r="E80" s="8">
        <f t="shared" si="10"/>
        <v>7.7793271386688446E-3</v>
      </c>
      <c r="F80" s="8">
        <f t="shared" si="11"/>
        <v>9.9454977174777363E-3</v>
      </c>
    </row>
    <row r="81" spans="2:6">
      <c r="B81" s="8">
        <v>68</v>
      </c>
      <c r="C81" s="8">
        <f t="shared" si="8"/>
        <v>0.95659070806614588</v>
      </c>
      <c r="D81" s="8">
        <f t="shared" si="9"/>
        <v>0.88970271666757361</v>
      </c>
      <c r="E81" s="8">
        <f t="shared" si="10"/>
        <v>6.7703300802239141E-3</v>
      </c>
      <c r="F81" s="8">
        <f t="shared" si="11"/>
        <v>9.2352882707186293E-3</v>
      </c>
    </row>
    <row r="82" spans="2:6">
      <c r="B82" s="8">
        <v>69</v>
      </c>
      <c r="C82" s="8">
        <f t="shared" si="8"/>
        <v>0.96290323912519016</v>
      </c>
      <c r="D82" s="8">
        <f t="shared" si="9"/>
        <v>0.89859939528780586</v>
      </c>
      <c r="E82" s="8">
        <f t="shared" si="10"/>
        <v>5.8725581812406015E-3</v>
      </c>
      <c r="F82" s="8">
        <f t="shared" si="11"/>
        <v>8.5646196115461565E-3</v>
      </c>
    </row>
    <row r="83" spans="2:6">
      <c r="B83" s="8">
        <v>70</v>
      </c>
      <c r="C83" s="8">
        <f t="shared" si="8"/>
        <v>0.96837016970267209</v>
      </c>
      <c r="D83" s="8">
        <f t="shared" si="9"/>
        <v>0.90684493328530058</v>
      </c>
      <c r="E83" s="8">
        <f t="shared" si="10"/>
        <v>5.0777291424090798E-3</v>
      </c>
      <c r="F83" s="8">
        <f t="shared" si="11"/>
        <v>7.9328727731510142E-3</v>
      </c>
    </row>
    <row r="84" spans="2:6">
      <c r="B84" s="8">
        <v>71</v>
      </c>
      <c r="C84" s="8">
        <f t="shared" si="8"/>
        <v>0.97309018547362747</v>
      </c>
      <c r="D84" s="8">
        <f t="shared" si="9"/>
        <v>0.91447783318237097</v>
      </c>
      <c r="E84" s="8">
        <f t="shared" si="10"/>
        <v>4.3773105535196335E-3</v>
      </c>
      <c r="F84" s="8">
        <f t="shared" si="11"/>
        <v>7.3391716384648351E-3</v>
      </c>
    </row>
    <row r="85" spans="2:6">
      <c r="B85" s="8">
        <v>72</v>
      </c>
      <c r="C85" s="8">
        <f t="shared" si="8"/>
        <v>0.97715342254464865</v>
      </c>
      <c r="D85" s="8">
        <f t="shared" si="9"/>
        <v>0.9215356135519176</v>
      </c>
      <c r="E85" s="8">
        <f t="shared" si="10"/>
        <v>3.7627716234435327E-3</v>
      </c>
      <c r="F85" s="8">
        <f t="shared" si="11"/>
        <v>6.7824324547056903E-3</v>
      </c>
    </row>
    <row r="86" spans="2:6">
      <c r="B86" s="8">
        <v>73</v>
      </c>
      <c r="C86" s="8">
        <f t="shared" si="8"/>
        <v>0.98064157077676761</v>
      </c>
      <c r="D86" s="8">
        <f t="shared" si="9"/>
        <v>0.92805462394207927</v>
      </c>
      <c r="E86" s="8">
        <f t="shared" si="10"/>
        <v>3.2257779495648087E-3</v>
      </c>
      <c r="F86" s="8">
        <f t="shared" si="11"/>
        <v>6.261407950925597E-3</v>
      </c>
    </row>
    <row r="87" spans="2:6">
      <c r="B87" s="8">
        <v>74</v>
      </c>
      <c r="C87" s="8">
        <f t="shared" si="8"/>
        <v>0.98362814635531548</v>
      </c>
      <c r="D87" s="8">
        <f t="shared" si="9"/>
        <v>0.93406990130124701</v>
      </c>
      <c r="E87" s="8">
        <f t="shared" si="10"/>
        <v>2.7583364551895823E-3</v>
      </c>
      <c r="F87" s="8">
        <f t="shared" si="11"/>
        <v>5.7747262876173631E-3</v>
      </c>
    </row>
    <row r="88" spans="2:6">
      <c r="B88" s="8">
        <v>75</v>
      </c>
      <c r="C88" s="8">
        <f t="shared" si="8"/>
        <v>0.98617888742905679</v>
      </c>
      <c r="D88" s="8">
        <f t="shared" si="9"/>
        <v>0.93961506287670304</v>
      </c>
      <c r="E88" s="8">
        <f t="shared" si="10"/>
        <v>2.3528977648414238E-3</v>
      </c>
      <c r="F88" s="8">
        <f t="shared" si="11"/>
        <v>5.3209251293448168E-3</v>
      </c>
    </row>
    <row r="89" spans="2:6">
      <c r="B89" s="8">
        <v>76</v>
      </c>
      <c r="C89" s="8">
        <f t="shared" si="8"/>
        <v>0.9883522338160714</v>
      </c>
      <c r="D89" s="8">
        <f t="shared" si="9"/>
        <v>0.94472223087395357</v>
      </c>
      <c r="E89" s="8">
        <f t="shared" si="10"/>
        <v>2.0024230594804411E-3</v>
      </c>
      <c r="F89" s="8">
        <f t="shared" si="11"/>
        <v>4.8984811723197077E-3</v>
      </c>
    </row>
    <row r="90" spans="2:6">
      <c r="B90" s="8">
        <v>77</v>
      </c>
      <c r="C90" s="8">
        <f t="shared" si="8"/>
        <v>0.99019985858867154</v>
      </c>
      <c r="D90" s="8">
        <f t="shared" si="9"/>
        <v>0.94942198450944681</v>
      </c>
      <c r="E90" s="8">
        <f t="shared" si="10"/>
        <v>1.7004219758287615E-3</v>
      </c>
      <c r="F90" s="8">
        <f t="shared" si="11"/>
        <v>4.5058354827609811E-3</v>
      </c>
    </row>
    <row r="91" spans="2:6">
      <c r="B91" s="8">
        <v>78</v>
      </c>
      <c r="C91" s="8">
        <f t="shared" si="8"/>
        <v>0.99176722560426755</v>
      </c>
      <c r="D91" s="8">
        <f t="shared" si="9"/>
        <v>0.95374333545157941</v>
      </c>
      <c r="E91" s="8">
        <f t="shared" si="10"/>
        <v>1.4409674828225996E-3</v>
      </c>
      <c r="F91" s="8">
        <f t="shared" si="11"/>
        <v>4.1414150121673226E-3</v>
      </c>
    </row>
    <row r="92" spans="2:6">
      <c r="B92" s="8">
        <v>79</v>
      </c>
      <c r="C92" s="8">
        <f t="shared" si="8"/>
        <v>0.99309415262942236</v>
      </c>
      <c r="D92" s="8">
        <f t="shared" si="9"/>
        <v>0.95771372301168167</v>
      </c>
      <c r="E92" s="8">
        <f t="shared" si="10"/>
        <v>1.2186929591767579E-3</v>
      </c>
      <c r="F92" s="8">
        <f t="shared" si="11"/>
        <v>3.8036506552792432E-3</v>
      </c>
    </row>
    <row r="93" spans="2:6">
      <c r="B93" s="8">
        <v>80</v>
      </c>
      <c r="C93" s="8">
        <f t="shared" si="8"/>
        <v>0.99421536456192738</v>
      </c>
      <c r="D93" s="8">
        <f t="shared" si="9"/>
        <v>0.96135902580874</v>
      </c>
      <c r="E93" s="8">
        <f t="shared" si="10"/>
        <v>1.0287759656336323E-3</v>
      </c>
      <c r="F93" s="8">
        <f t="shared" si="11"/>
        <v>3.4909922080341451E-3</v>
      </c>
    </row>
    <row r="94" spans="2:6">
      <c r="B94" s="8">
        <v>81</v>
      </c>
      <c r="C94" s="8">
        <f t="shared" si="8"/>
        <v>0.99516102539035345</v>
      </c>
      <c r="D94" s="8">
        <f t="shared" si="9"/>
        <v>0.96470358698197745</v>
      </c>
      <c r="E94" s="8">
        <f t="shared" si="10"/>
        <v>8.6691249398593241E-4</v>
      </c>
      <c r="F94" s="8">
        <f t="shared" si="11"/>
        <v>3.2019205683557761E-3</v>
      </c>
    </row>
    <row r="95" spans="2:6">
      <c r="B95" s="8">
        <v>82</v>
      </c>
      <c r="C95" s="8">
        <f t="shared" si="8"/>
        <v>0.99595724097533522</v>
      </c>
      <c r="D95" s="8">
        <f t="shared" si="9"/>
        <v>0.9677702503590363</v>
      </c>
      <c r="E95" s="8">
        <f t="shared" si="10"/>
        <v>7.2928480940597906E-4</v>
      </c>
      <c r="F95" s="8">
        <f t="shared" si="11"/>
        <v>2.9349575039334208E-3</v>
      </c>
    </row>
    <row r="96" spans="2:6">
      <c r="B96" s="8">
        <v>83</v>
      </c>
      <c r="C96" s="8">
        <f t="shared" si="8"/>
        <v>0.99662652754656567</v>
      </c>
      <c r="D96" s="8">
        <f t="shared" si="9"/>
        <v>0.97058040530092526</v>
      </c>
      <c r="E96" s="8">
        <f t="shared" si="10"/>
        <v>6.1252539940318961E-4</v>
      </c>
      <c r="F96" s="8">
        <f t="shared" si="11"/>
        <v>2.6886732896791708E-3</v>
      </c>
    </row>
    <row r="97" spans="2:6">
      <c r="B97" s="8">
        <v>84</v>
      </c>
      <c r="C97" s="8">
        <f t="shared" si="8"/>
        <v>0.9971882430510477</v>
      </c>
      <c r="D97" s="8">
        <f t="shared" si="9"/>
        <v>0.97315403823595403</v>
      </c>
      <c r="E97" s="8">
        <f t="shared" si="10"/>
        <v>5.1367901018025655E-4</v>
      </c>
      <c r="F97" s="8">
        <f t="shared" si="11"/>
        <v>2.4616924944637032E-3</v>
      </c>
    </row>
    <row r="98" spans="2:6">
      <c r="B98" s="8">
        <v>85</v>
      </c>
      <c r="C98" s="8">
        <f t="shared" si="8"/>
        <v>0.99765898023370114</v>
      </c>
      <c r="D98" s="8">
        <f t="shared" si="9"/>
        <v>0.97550978916243924</v>
      </c>
      <c r="E98" s="8">
        <f t="shared" si="10"/>
        <v>4.3016429161391744E-4</v>
      </c>
      <c r="F98" s="8">
        <f t="shared" si="11"/>
        <v>2.2526981729397147E-3</v>
      </c>
    </row>
    <row r="99" spans="2:6">
      <c r="B99" s="8">
        <v>86</v>
      </c>
      <c r="C99" s="8">
        <f t="shared" si="8"/>
        <v>0.99805292165328097</v>
      </c>
      <c r="D99" s="8">
        <f t="shared" si="9"/>
        <v>0.97766501164370723</v>
      </c>
      <c r="E99" s="8">
        <f t="shared" si="10"/>
        <v>3.5973618370293528E-4</v>
      </c>
      <c r="F99" s="8">
        <f t="shared" si="11"/>
        <v>2.0604346944779238E-3</v>
      </c>
    </row>
    <row r="100" spans="2:6">
      <c r="B100" s="8">
        <v>87</v>
      </c>
      <c r="C100" s="8">
        <f t="shared" si="8"/>
        <v>0.9983821578037001</v>
      </c>
      <c r="D100" s="8">
        <f t="shared" si="9"/>
        <v>0.97963583503912999</v>
      </c>
      <c r="E100" s="8">
        <f t="shared" si="10"/>
        <v>3.0044985549615351E-4</v>
      </c>
      <c r="F100" s="8">
        <f t="shared" si="11"/>
        <v>1.8837094179992343E-3</v>
      </c>
    </row>
    <row r="101" spans="2:6">
      <c r="B101" s="8">
        <v>88</v>
      </c>
      <c r="C101" s="8">
        <f t="shared" si="8"/>
        <v>0.99865697018678878</v>
      </c>
      <c r="D101" s="8">
        <f t="shared" si="9"/>
        <v>0.98143722791235843</v>
      </c>
      <c r="E101" s="8">
        <f t="shared" si="10"/>
        <v>2.5062674598046674E-4</v>
      </c>
      <c r="F101" s="8">
        <f t="shared" si="11"/>
        <v>1.7213933991809039E-3</v>
      </c>
    </row>
    <row r="102" spans="2:6">
      <c r="B102" s="8">
        <v>89</v>
      </c>
      <c r="C102" s="8">
        <f t="shared" si="8"/>
        <v>0.99888608162405645</v>
      </c>
      <c r="D102" s="8">
        <f t="shared" si="9"/>
        <v>0.9830830617336499</v>
      </c>
      <c r="E102" s="8">
        <f t="shared" si="10"/>
        <v>2.0882304810264558E-4</v>
      </c>
      <c r="F102" s="8">
        <f t="shared" si="11"/>
        <v>1.5724212954178059E-3</v>
      </c>
    </row>
    <row r="103" spans="2:6">
      <c r="B103" s="8">
        <v>90</v>
      </c>
      <c r="C103" s="8">
        <f t="shared" si="8"/>
        <v>0.99907687635173803</v>
      </c>
      <c r="D103" s="8">
        <f t="shared" si="9"/>
        <v>0.98458617414852001</v>
      </c>
      <c r="E103" s="8">
        <f t="shared" si="10"/>
        <v>1.7380081474370853E-4</v>
      </c>
      <c r="F103" s="8">
        <f t="shared" si="11"/>
        <v>1.4357906142104184E-3</v>
      </c>
    </row>
    <row r="104" spans="2:6">
      <c r="B104" s="8">
        <v>91</v>
      </c>
      <c r="C104" s="8">
        <f t="shared" si="8"/>
        <v>0.99923559255770567</v>
      </c>
      <c r="D104" s="8">
        <f t="shared" si="9"/>
        <v>0.98595843122133209</v>
      </c>
      <c r="E104" s="8">
        <f t="shared" si="10"/>
        <v>1.445017419939534E-4</v>
      </c>
      <c r="F104" s="8">
        <f t="shared" si="11"/>
        <v>1.3105604324315722E-3</v>
      </c>
    </row>
    <row r="105" spans="2:6">
      <c r="B105" s="8">
        <v>92</v>
      </c>
      <c r="C105" s="8">
        <f t="shared" si="8"/>
        <v>0.99936749002627057</v>
      </c>
      <c r="D105" s="8">
        <f t="shared" si="9"/>
        <v>0.98721078818137398</v>
      </c>
      <c r="E105" s="8">
        <f t="shared" si="10"/>
        <v>1.2002359390473972E-4</v>
      </c>
      <c r="F105" s="8">
        <f t="shared" si="11"/>
        <v>1.195849697236484E-3</v>
      </c>
    </row>
    <row r="106" spans="2:6">
      <c r="B106" s="8">
        <v>93</v>
      </c>
      <c r="C106" s="8">
        <f t="shared" si="8"/>
        <v>0.99947699548675673</v>
      </c>
      <c r="D106" s="8">
        <f t="shared" si="9"/>
        <v>0.98835334830200838</v>
      </c>
      <c r="E106" s="8">
        <f t="shared" si="10"/>
        <v>9.9599168069981102E-5</v>
      </c>
      <c r="F106" s="8">
        <f t="shared" si="11"/>
        <v>1.0908352042227529E-3</v>
      </c>
    </row>
    <row r="107" spans="2:6">
      <c r="B107" s="8">
        <v>94</v>
      </c>
      <c r="C107" s="8">
        <f t="shared" si="8"/>
        <v>0.99956782813769129</v>
      </c>
      <c r="D107" s="8">
        <f t="shared" si="9"/>
        <v>0.98939541963211264</v>
      </c>
      <c r="E107" s="8">
        <f t="shared" si="10"/>
        <v>8.2577657675860744E-5</v>
      </c>
      <c r="F107" s="8">
        <f t="shared" si="11"/>
        <v>9.9474933478141056E-4</v>
      </c>
    </row>
    <row r="108" spans="2:6">
      <c r="B108" s="8">
        <v>95</v>
      </c>
      <c r="C108" s="8">
        <f t="shared" si="8"/>
        <v>0.99964310765931486</v>
      </c>
      <c r="D108" s="8">
        <f t="shared" si="9"/>
        <v>0.99034556937472329</v>
      </c>
      <c r="E108" s="8">
        <f t="shared" si="10"/>
        <v>6.8408238534677294E-5</v>
      </c>
      <c r="F108" s="8">
        <f t="shared" si="11"/>
        <v>9.0687762234530447E-4</v>
      </c>
    </row>
    <row r="109" spans="2:6">
      <c r="B109" s="8">
        <v>96</v>
      </c>
      <c r="C109" s="8">
        <f t="shared" si="8"/>
        <v>0.9997054468475165</v>
      </c>
      <c r="D109" s="8">
        <f t="shared" si="9"/>
        <v>0.99121167577195213</v>
      </c>
      <c r="E109" s="8">
        <f t="shared" si="10"/>
        <v>5.6625695268417235E-5</v>
      </c>
      <c r="F109" s="8">
        <f t="shared" si="11"/>
        <v>8.2655620635819344E-4</v>
      </c>
    </row>
    <row r="110" spans="2:6">
      <c r="B110" s="8">
        <v>97</v>
      </c>
      <c r="C110" s="8">
        <f>CallDelta(B110,BS_IVLow,0,BS_r,BS_K,BS_T)</f>
        <v>0.99975703081337397</v>
      </c>
      <c r="D110" s="8">
        <f t="shared" si="9"/>
        <v>0.9920009774091525</v>
      </c>
      <c r="E110" s="8">
        <f t="shared" si="10"/>
        <v>4.6837896056140886E-5</v>
      </c>
      <c r="F110" s="8">
        <f t="shared" si="11"/>
        <v>7.5316922316741677E-4</v>
      </c>
    </row>
    <row r="111" spans="2:6">
      <c r="B111" s="8">
        <v>98</v>
      </c>
      <c r="C111" s="8">
        <f>CallDelta(B111,BS_IVLow,0,BS_r,BS_K,BS_T)</f>
        <v>0.99979968450249335</v>
      </c>
      <c r="D111" s="8">
        <f t="shared" si="9"/>
        <v>0.99272011989620179</v>
      </c>
      <c r="E111" s="8">
        <f t="shared" si="10"/>
        <v>3.8714927613947964E-5</v>
      </c>
      <c r="F111" s="8">
        <f t="shared" si="11"/>
        <v>6.8614617458907323E-4</v>
      </c>
    </row>
    <row r="112" spans="2:6">
      <c r="B112" s="8">
        <v>99</v>
      </c>
      <c r="C112" s="8">
        <f>CallDelta(B112,BS_IVLow,0,BS_r,BS_K,BS_T)</f>
        <v>0.9998349301032301</v>
      </c>
      <c r="D112" s="8">
        <f t="shared" si="9"/>
        <v>0.99337519992074341</v>
      </c>
      <c r="E112" s="8">
        <f t="shared" si="10"/>
        <v>3.1979709254048464E-5</v>
      </c>
      <c r="F112" s="8">
        <f t="shared" si="11"/>
        <v>6.2495930750941303E-4</v>
      </c>
    </row>
    <row r="113" spans="2:6">
      <c r="B113" s="8">
        <v>100</v>
      </c>
      <c r="C113" s="8">
        <f>CallDelta(B113,BS_IVLow,0,BS_r,BS_K,BS_T)</f>
        <v>0.99986403573669724</v>
      </c>
      <c r="D113" s="8">
        <f t="shared" si="9"/>
        <v>0.99397180669831686</v>
      </c>
      <c r="E113" s="8">
        <f t="shared" si="10"/>
        <v>2.6399915325170486E-5</v>
      </c>
      <c r="F113" s="8">
        <f t="shared" si="11"/>
        <v>5.6912103147197998E-4</v>
      </c>
    </row>
  </sheetData>
  <mergeCells count="1">
    <mergeCell ref="B6:F7"/>
  </mergeCells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2"/>
  <sheetViews>
    <sheetView zoomScale="83" zoomScaleNormal="125" zoomScalePageLayoutView="125" workbookViewId="0">
      <selection activeCell="G28" sqref="G28"/>
    </sheetView>
  </sheetViews>
  <sheetFormatPr defaultColWidth="8.85546875" defaultRowHeight="12.75"/>
  <cols>
    <col min="1" max="1" width="10.28515625" style="7" bestFit="1" customWidth="1"/>
    <col min="2" max="2" width="10.42578125" style="7" customWidth="1"/>
    <col min="3" max="3" width="9" style="7" customWidth="1"/>
    <col min="4" max="4" width="13.42578125" style="7" customWidth="1"/>
    <col min="5" max="5" width="12.28515625" style="7" bestFit="1" customWidth="1"/>
    <col min="6" max="6" width="12" style="7" customWidth="1"/>
    <col min="7" max="7" width="10" style="7" customWidth="1"/>
    <col min="8" max="16384" width="8.85546875" style="7"/>
  </cols>
  <sheetData>
    <row r="1" spans="1:15">
      <c r="A1" s="26" t="s">
        <v>3</v>
      </c>
      <c r="B1" s="27">
        <v>100</v>
      </c>
      <c r="E1" s="26" t="s">
        <v>59</v>
      </c>
      <c r="F1" s="32">
        <f ca="1">F112</f>
        <v>110.68318698261494</v>
      </c>
      <c r="H1" s="7" t="s">
        <v>76</v>
      </c>
    </row>
    <row r="2" spans="1:15">
      <c r="A2" s="26" t="s">
        <v>4</v>
      </c>
      <c r="B2" s="27">
        <v>100</v>
      </c>
    </row>
    <row r="3" spans="1:15">
      <c r="A3" s="26" t="s">
        <v>46</v>
      </c>
      <c r="B3" s="43">
        <v>0.05</v>
      </c>
      <c r="E3" s="26" t="s">
        <v>22</v>
      </c>
      <c r="F3" s="31">
        <f ca="1">($F$1-IF(DH_PriceT&gt;DH_Strike,1,0)*DH_Strike)*EXP(-DH_Rate*DH_Term)</f>
        <v>10.162161805306329</v>
      </c>
      <c r="H3" s="54" t="s">
        <v>79</v>
      </c>
    </row>
    <row r="4" spans="1:15">
      <c r="A4" s="26" t="s">
        <v>47</v>
      </c>
      <c r="B4" s="30">
        <v>0.2</v>
      </c>
      <c r="C4" s="7" t="s">
        <v>80</v>
      </c>
      <c r="E4" s="26" t="s">
        <v>18</v>
      </c>
      <c r="F4" s="31">
        <f>CallOption(B1,B4,0,B3,B2,B6)</f>
        <v>10.450575666859251</v>
      </c>
      <c r="H4" s="7" t="s">
        <v>81</v>
      </c>
    </row>
    <row r="5" spans="1:15">
      <c r="A5" s="26" t="s">
        <v>7</v>
      </c>
      <c r="B5" s="28">
        <v>1</v>
      </c>
      <c r="C5" s="10" t="s">
        <v>88</v>
      </c>
      <c r="D5" s="7">
        <v>0.01</v>
      </c>
    </row>
    <row r="6" spans="1:15" ht="30" customHeight="1">
      <c r="A6" s="26" t="s">
        <v>19</v>
      </c>
      <c r="B6" s="27">
        <v>1</v>
      </c>
    </row>
    <row r="7" spans="1:15">
      <c r="A7" s="26"/>
      <c r="B7" s="29"/>
    </row>
    <row r="8" spans="1:15" ht="15.75">
      <c r="A8" s="40" t="s">
        <v>84</v>
      </c>
      <c r="B8" s="29"/>
      <c r="K8" s="40" t="s">
        <v>89</v>
      </c>
    </row>
    <row r="9" spans="1:15">
      <c r="K9" s="46" t="s">
        <v>90</v>
      </c>
    </row>
    <row r="10" spans="1:15">
      <c r="D10" s="8" t="s">
        <v>48</v>
      </c>
      <c r="E10" s="8" t="s">
        <v>50</v>
      </c>
      <c r="F10" s="7" t="s">
        <v>51</v>
      </c>
      <c r="G10" s="56" t="s">
        <v>87</v>
      </c>
    </row>
    <row r="11" spans="1:15" ht="13.5" thickBot="1">
      <c r="A11" s="33" t="s">
        <v>21</v>
      </c>
      <c r="B11" s="33" t="s">
        <v>3</v>
      </c>
      <c r="C11" s="33" t="s">
        <v>45</v>
      </c>
      <c r="D11" s="33" t="s">
        <v>52</v>
      </c>
      <c r="E11" s="33" t="s">
        <v>85</v>
      </c>
      <c r="F11" s="33" t="s">
        <v>78</v>
      </c>
      <c r="G11" s="33" t="s">
        <v>49</v>
      </c>
      <c r="H11" s="8"/>
      <c r="I11" s="33" t="s">
        <v>77</v>
      </c>
      <c r="J11" s="8"/>
      <c r="K11" s="55" t="s">
        <v>86</v>
      </c>
      <c r="L11" s="8"/>
      <c r="M11" s="8"/>
      <c r="N11" s="8"/>
      <c r="O11" s="8"/>
    </row>
    <row r="12" spans="1:15" ht="14.1" customHeight="1">
      <c r="A12" s="8">
        <v>0</v>
      </c>
      <c r="B12" s="47">
        <v>100</v>
      </c>
      <c r="C12" s="44">
        <f t="shared" ref="C12:C17" si="0">CallDelta(B12,$B$4,0,$B$3,$B$2,$B$5-A12)</f>
        <v>0.63683058735763587</v>
      </c>
      <c r="D12" s="52">
        <f>(C12-0)*$B$6</f>
        <v>0.63683058735763587</v>
      </c>
      <c r="E12" s="53">
        <f>D12*B12</f>
        <v>63.683058735763588</v>
      </c>
      <c r="F12" s="53">
        <f>E12</f>
        <v>63.683058735763588</v>
      </c>
      <c r="G12" s="52">
        <f t="shared" ref="G12:G43" si="1">F12*(EXP(DH_Rate*DH_dt)-1)</f>
        <v>3.1849491077114489E-2</v>
      </c>
      <c r="H12" s="8"/>
      <c r="I12" s="44">
        <f t="shared" ref="I12:I43" si="2">CallGamma(B12,$B$4,0,$B$3,$B$2,$B$5-A12)</f>
        <v>1.8762017505869651E-2</v>
      </c>
      <c r="J12" s="8"/>
      <c r="K12" s="46" t="s">
        <v>83</v>
      </c>
      <c r="L12" s="8"/>
      <c r="M12" s="8"/>
      <c r="N12" s="8"/>
      <c r="O12" s="8"/>
    </row>
    <row r="13" spans="1:15">
      <c r="A13" s="8">
        <v>0.01</v>
      </c>
      <c r="B13" s="47">
        <f t="shared" ref="B13:B44" ca="1" si="3">B12*EXP(($B$3-0.5*$B$4^2)*$A$13+$B$4*NORMSINV(RAND())*SQRT($A$13))</f>
        <v>100.95096650591967</v>
      </c>
      <c r="C13" s="44">
        <f t="shared" ca="1" si="0"/>
        <v>0.65387649356753541</v>
      </c>
      <c r="D13" s="52">
        <f ca="1">(C13-C12)*$B$6</f>
        <v>1.7045906209899542E-2</v>
      </c>
      <c r="E13" s="53">
        <f t="shared" ref="E13:E76" ca="1" si="4">D13*B13</f>
        <v>1.7208007068586166</v>
      </c>
      <c r="F13" s="53">
        <f ca="1">F12+G12+E13</f>
        <v>65.435708933699317</v>
      </c>
      <c r="G13" s="52">
        <f t="shared" ca="1" si="1"/>
        <v>3.272603529387505E-2</v>
      </c>
      <c r="I13" s="44">
        <f t="shared" ca="1" si="2"/>
        <v>1.8362546210183257E-2</v>
      </c>
      <c r="J13" s="8"/>
      <c r="K13" s="8"/>
      <c r="L13" s="8"/>
      <c r="M13" s="8"/>
      <c r="N13" s="8"/>
      <c r="O13" s="8"/>
    </row>
    <row r="14" spans="1:15">
      <c r="A14" s="8">
        <v>0.02</v>
      </c>
      <c r="B14" s="47">
        <f t="shared" ca="1" si="3"/>
        <v>98.644017702214185</v>
      </c>
      <c r="C14" s="44">
        <f t="shared" ca="1" si="0"/>
        <v>0.60931192705922577</v>
      </c>
      <c r="D14" s="52">
        <f t="shared" ref="D14:D77" ca="1" si="5">(C14-C13)*$B$6</f>
        <v>-4.4564566508309644E-2</v>
      </c>
      <c r="E14" s="53">
        <f ca="1">D14*B14</f>
        <v>-4.3960278875371976</v>
      </c>
      <c r="F14" s="53">
        <f t="shared" ref="F14:F77" ca="1" si="6">F13+G13+E14</f>
        <v>61.072407081455992</v>
      </c>
      <c r="G14" s="52">
        <f t="shared" ca="1" si="1"/>
        <v>3.054383886410875E-2</v>
      </c>
      <c r="H14" s="8"/>
      <c r="I14" s="44">
        <f t="shared" ca="1" si="2"/>
        <v>1.9654926301450357E-2</v>
      </c>
      <c r="J14" s="8"/>
      <c r="K14" s="46" t="s">
        <v>82</v>
      </c>
      <c r="L14" s="8"/>
      <c r="M14" s="8"/>
      <c r="O14" s="8"/>
    </row>
    <row r="15" spans="1:15">
      <c r="A15" s="8">
        <v>0.03</v>
      </c>
      <c r="B15" s="47">
        <f t="shared" ca="1" si="3"/>
        <v>98.787521608675533</v>
      </c>
      <c r="C15" s="44">
        <f t="shared" ca="1" si="0"/>
        <v>0.61132701871608919</v>
      </c>
      <c r="D15" s="52">
        <f t="shared" ca="1" si="5"/>
        <v>2.0150916568634214E-3</v>
      </c>
      <c r="E15" s="53">
        <f ca="1">D15*B15</f>
        <v>0.19906591059585702</v>
      </c>
      <c r="F15" s="53">
        <f ca="1">F14+G14+E15</f>
        <v>61.30201683091596</v>
      </c>
      <c r="G15" s="52">
        <f t="shared" ca="1" si="1"/>
        <v>3.0658672444841533E-2</v>
      </c>
      <c r="I15" s="44">
        <f t="shared" ca="1" si="2"/>
        <v>1.9698270433585342E-2</v>
      </c>
      <c r="J15" s="8"/>
      <c r="K15" s="8"/>
      <c r="L15" s="8"/>
      <c r="M15" s="8"/>
      <c r="O15" s="8"/>
    </row>
    <row r="16" spans="1:15">
      <c r="A16" s="8">
        <v>0.04</v>
      </c>
      <c r="B16" s="47">
        <f t="shared" ca="1" si="3"/>
        <v>95.268272718081803</v>
      </c>
      <c r="C16" s="44">
        <f t="shared" ca="1" si="0"/>
        <v>0.53806664096732248</v>
      </c>
      <c r="D16" s="52">
        <f ca="1">(C16-C15)*$B$6</f>
        <v>-7.3260377748766703E-2</v>
      </c>
      <c r="E16" s="53">
        <f ca="1">D16*B16</f>
        <v>-6.9793896467991985</v>
      </c>
      <c r="F16" s="53">
        <f ca="1">F15+G15+E16</f>
        <v>54.353285856561605</v>
      </c>
      <c r="G16" s="52">
        <f t="shared" ca="1" si="1"/>
        <v>2.7183438221509836E-2</v>
      </c>
      <c r="H16" s="8"/>
      <c r="I16" s="44">
        <f t="shared" ca="1" si="2"/>
        <v>2.1272232564672953E-2</v>
      </c>
      <c r="J16" s="8"/>
      <c r="K16" s="8"/>
      <c r="L16" s="8"/>
      <c r="M16" s="8"/>
      <c r="O16" s="8"/>
    </row>
    <row r="17" spans="1:15">
      <c r="A17" s="8">
        <v>0.05</v>
      </c>
      <c r="B17" s="47">
        <f t="shared" ca="1" si="3"/>
        <v>97.293890459205798</v>
      </c>
      <c r="C17" s="44">
        <f t="shared" ca="1" si="0"/>
        <v>0.57941781720475616</v>
      </c>
      <c r="D17" s="52">
        <f t="shared" ca="1" si="5"/>
        <v>4.1351176237433673E-2</v>
      </c>
      <c r="E17" s="53">
        <f t="shared" ca="1" si="4"/>
        <v>4.0232168112041853</v>
      </c>
      <c r="F17" s="53">
        <f ca="1">F16+G16+E17</f>
        <v>58.403686105987305</v>
      </c>
      <c r="G17" s="52">
        <f t="shared" ca="1" si="1"/>
        <v>2.92091447306474E-2</v>
      </c>
      <c r="H17" s="8"/>
      <c r="I17" s="44">
        <f t="shared" ca="1" si="2"/>
        <v>2.0616343904585364E-2</v>
      </c>
      <c r="J17" s="8"/>
      <c r="K17" s="8"/>
      <c r="L17" s="8"/>
      <c r="M17" s="8"/>
      <c r="N17" s="8"/>
      <c r="O17" s="8"/>
    </row>
    <row r="18" spans="1:15">
      <c r="A18" s="8">
        <v>0.06</v>
      </c>
      <c r="B18" s="47">
        <f t="shared" ca="1" si="3"/>
        <v>96.918530966038674</v>
      </c>
      <c r="C18" s="44">
        <f t="shared" ref="C18:C77" ca="1" si="7">CallDelta(B18,$B$4,0,$B$3,$B$2,$B$5-A18)</f>
        <v>0.57060827421385629</v>
      </c>
      <c r="D18" s="52">
        <f t="shared" ca="1" si="5"/>
        <v>-8.8095429908998657E-3</v>
      </c>
      <c r="E18" s="53">
        <f t="shared" ca="1" si="4"/>
        <v>-0.85380796516017754</v>
      </c>
      <c r="F18" s="53">
        <f ca="1">F17+G17+E18</f>
        <v>57.579087285557776</v>
      </c>
      <c r="G18" s="52">
        <f t="shared" ca="1" si="1"/>
        <v>2.8796742228398866E-2</v>
      </c>
      <c r="H18" s="8"/>
      <c r="I18" s="44">
        <f t="shared" ca="1" si="2"/>
        <v>2.0894653864461373E-2</v>
      </c>
      <c r="J18" s="8"/>
      <c r="K18" s="8"/>
      <c r="L18" s="8"/>
      <c r="M18" s="8"/>
      <c r="N18" s="8"/>
      <c r="O18" s="8"/>
    </row>
    <row r="19" spans="1:15">
      <c r="A19" s="8">
        <v>7.0000000000000007E-2</v>
      </c>
      <c r="B19" s="47">
        <f t="shared" ca="1" si="3"/>
        <v>95.63594239823864</v>
      </c>
      <c r="C19" s="44">
        <f t="shared" ca="1" si="7"/>
        <v>0.54227878667974638</v>
      </c>
      <c r="D19" s="52">
        <f t="shared" ca="1" si="5"/>
        <v>-2.8329487534109909E-2</v>
      </c>
      <c r="E19" s="53">
        <f t="shared" ca="1" si="4"/>
        <v>-2.7093172379837549</v>
      </c>
      <c r="F19" s="53">
        <f ca="1">F18+G18+E19</f>
        <v>54.898566789802423</v>
      </c>
      <c r="G19" s="52">
        <f t="shared" ca="1" si="1"/>
        <v>2.7456146859608295E-2</v>
      </c>
      <c r="H19" s="8"/>
      <c r="I19" s="44">
        <f t="shared" ca="1" si="2"/>
        <v>2.1506486798337495E-2</v>
      </c>
      <c r="J19" s="8"/>
      <c r="K19" s="8"/>
      <c r="L19" s="8"/>
      <c r="M19" s="8"/>
      <c r="N19" s="8"/>
      <c r="O19" s="8"/>
    </row>
    <row r="20" spans="1:15">
      <c r="A20" s="8">
        <v>0.08</v>
      </c>
      <c r="B20" s="47">
        <f t="shared" ca="1" si="3"/>
        <v>99.546793129924012</v>
      </c>
      <c r="C20" s="44">
        <f t="shared" ca="1" si="7"/>
        <v>0.62249086784867591</v>
      </c>
      <c r="D20" s="52">
        <f t="shared" ca="1" si="5"/>
        <v>8.0212081168929528E-2</v>
      </c>
      <c r="E20" s="53">
        <f t="shared" ca="1" si="4"/>
        <v>7.9848554506441012</v>
      </c>
      <c r="F20" s="53">
        <f t="shared" ca="1" si="6"/>
        <v>62.910878387306127</v>
      </c>
      <c r="G20" s="52">
        <f t="shared" ca="1" si="1"/>
        <v>3.1463304364253167E-2</v>
      </c>
      <c r="H20" s="8"/>
      <c r="I20" s="44">
        <f t="shared" ca="1" si="2"/>
        <v>1.9898342970535096E-2</v>
      </c>
      <c r="J20" s="8"/>
      <c r="K20" s="8"/>
      <c r="L20" s="8"/>
      <c r="M20" s="8"/>
      <c r="N20" s="8"/>
      <c r="O20" s="8"/>
    </row>
    <row r="21" spans="1:15">
      <c r="A21" s="8">
        <v>0.09</v>
      </c>
      <c r="B21" s="47">
        <f t="shared" ca="1" si="3"/>
        <v>103.12603940849924</v>
      </c>
      <c r="C21" s="44">
        <f t="shared" ca="1" si="7"/>
        <v>0.68977718354839523</v>
      </c>
      <c r="D21" s="52">
        <f t="shared" ca="1" si="5"/>
        <v>6.7286315699719323E-2</v>
      </c>
      <c r="E21" s="53">
        <f t="shared" ca="1" si="4"/>
        <v>6.9389712445019756</v>
      </c>
      <c r="F21" s="53">
        <f t="shared" ca="1" si="6"/>
        <v>69.88131293617235</v>
      </c>
      <c r="G21" s="52">
        <f t="shared" ca="1" si="1"/>
        <v>3.494939308823982E-2</v>
      </c>
      <c r="H21" s="8"/>
      <c r="I21" s="44">
        <f t="shared" ca="1" si="2"/>
        <v>1.7936490633142156E-2</v>
      </c>
      <c r="J21" s="8"/>
      <c r="K21" s="8"/>
      <c r="L21" s="8"/>
      <c r="M21" s="8"/>
      <c r="N21" s="8"/>
      <c r="O21" s="8"/>
    </row>
    <row r="22" spans="1:15">
      <c r="A22" s="8">
        <v>0.1</v>
      </c>
      <c r="B22" s="47">
        <f t="shared" ca="1" si="3"/>
        <v>101.97294356128599</v>
      </c>
      <c r="C22" s="44">
        <f t="shared" ca="1" si="7"/>
        <v>0.66822236270969826</v>
      </c>
      <c r="D22" s="52">
        <f t="shared" ca="1" si="5"/>
        <v>-2.1554820838696975E-2</v>
      </c>
      <c r="E22" s="53">
        <f t="shared" ca="1" si="4"/>
        <v>-2.198008528858078</v>
      </c>
      <c r="F22" s="53">
        <f t="shared" ca="1" si="6"/>
        <v>67.718253800402508</v>
      </c>
      <c r="G22" s="52">
        <f t="shared" ca="1" si="1"/>
        <v>3.386759309289375E-2</v>
      </c>
      <c r="H22" s="8"/>
      <c r="I22" s="44">
        <f t="shared" ca="1" si="2"/>
        <v>1.875781717897056E-2</v>
      </c>
      <c r="J22" s="8"/>
      <c r="K22" s="8"/>
      <c r="L22" s="8"/>
      <c r="M22" s="8"/>
      <c r="N22" s="8"/>
      <c r="O22" s="8"/>
    </row>
    <row r="23" spans="1:15">
      <c r="A23" s="8">
        <v>0.11</v>
      </c>
      <c r="B23" s="47">
        <f t="shared" ca="1" si="3"/>
        <v>98.593932791090978</v>
      </c>
      <c r="C23" s="44">
        <f t="shared" ca="1" si="7"/>
        <v>0.6006920919502805</v>
      </c>
      <c r="D23" s="52">
        <f t="shared" ca="1" si="5"/>
        <v>-6.7530270759417754E-2</v>
      </c>
      <c r="E23" s="53">
        <f t="shared" ca="1" si="4"/>
        <v>-6.6580749766182103</v>
      </c>
      <c r="F23" s="53">
        <f t="shared" ca="1" si="6"/>
        <v>61.094046416877191</v>
      </c>
      <c r="G23" s="52">
        <f t="shared" ca="1" si="1"/>
        <v>3.0554661237187152E-2</v>
      </c>
      <c r="H23" s="8"/>
      <c r="I23" s="44">
        <f t="shared" ca="1" si="2"/>
        <v>2.0758667714323126E-2</v>
      </c>
      <c r="J23" s="8"/>
      <c r="K23" s="8"/>
      <c r="L23" s="8"/>
      <c r="M23" s="8"/>
      <c r="N23" s="8"/>
      <c r="O23" s="8"/>
    </row>
    <row r="24" spans="1:15">
      <c r="A24" s="8">
        <v>0.12</v>
      </c>
      <c r="B24" s="47">
        <f t="shared" ca="1" si="3"/>
        <v>97.314419301206925</v>
      </c>
      <c r="C24" s="44">
        <f t="shared" ca="1" si="7"/>
        <v>0.57269119143317382</v>
      </c>
      <c r="D24" s="52">
        <f t="shared" ca="1" si="5"/>
        <v>-2.8000900517106686E-2</v>
      </c>
      <c r="E24" s="53">
        <f t="shared" ca="1" si="4"/>
        <v>-2.7248913737331018</v>
      </c>
      <c r="F24" s="53">
        <f t="shared" ca="1" si="6"/>
        <v>58.39970970438128</v>
      </c>
      <c r="G24" s="52">
        <f t="shared" ca="1" si="1"/>
        <v>2.9207156032711335E-2</v>
      </c>
      <c r="H24" s="8"/>
      <c r="I24" s="44">
        <f t="shared" ca="1" si="2"/>
        <v>2.1486773764199961E-2</v>
      </c>
      <c r="J24" s="8"/>
      <c r="K24" s="8"/>
      <c r="L24" s="8"/>
      <c r="M24" s="8"/>
      <c r="N24" s="8"/>
      <c r="O24" s="8"/>
    </row>
    <row r="25" spans="1:15">
      <c r="A25" s="8">
        <v>0.13</v>
      </c>
      <c r="B25" s="47">
        <f t="shared" ca="1" si="3"/>
        <v>97.087536442108231</v>
      </c>
      <c r="C25" s="44">
        <f t="shared" ca="1" si="7"/>
        <v>0.56671432712252268</v>
      </c>
      <c r="D25" s="52">
        <f t="shared" ca="1" si="5"/>
        <v>-5.9768643106511421E-3</v>
      </c>
      <c r="E25" s="53">
        <f t="shared" ca="1" si="4"/>
        <v>-0.58027903156987881</v>
      </c>
      <c r="F25" s="53">
        <f t="shared" ca="1" si="6"/>
        <v>57.848637828844112</v>
      </c>
      <c r="G25" s="52">
        <f t="shared" ca="1" si="1"/>
        <v>2.8931551199476258E-2</v>
      </c>
      <c r="H25" s="8"/>
      <c r="I25" s="44">
        <f t="shared" ca="1" si="2"/>
        <v>2.1718363415326868E-2</v>
      </c>
      <c r="J25" s="8"/>
      <c r="K25" s="8"/>
      <c r="L25" s="8"/>
      <c r="M25" s="8"/>
      <c r="N25" s="8"/>
      <c r="O25" s="8"/>
    </row>
    <row r="26" spans="1:15">
      <c r="A26" s="8">
        <v>0.14000000000000001</v>
      </c>
      <c r="B26" s="47">
        <f t="shared" ca="1" si="3"/>
        <v>95.586584773580356</v>
      </c>
      <c r="C26" s="44">
        <f t="shared" ca="1" si="7"/>
        <v>0.53236277578683699</v>
      </c>
      <c r="D26" s="52">
        <f t="shared" ca="1" si="5"/>
        <v>-3.4351551335685682E-2</v>
      </c>
      <c r="E26" s="53">
        <f t="shared" ca="1" si="4"/>
        <v>-3.2835474738525168</v>
      </c>
      <c r="F26" s="53">
        <f t="shared" ca="1" si="6"/>
        <v>54.594021906191074</v>
      </c>
      <c r="G26" s="52">
        <f t="shared" ca="1" si="1"/>
        <v>2.7303836343346717E-2</v>
      </c>
      <c r="H26" s="8"/>
      <c r="I26" s="44">
        <f t="shared" ca="1" si="2"/>
        <v>2.242858044145702E-2</v>
      </c>
      <c r="J26" s="8"/>
      <c r="K26" s="8"/>
      <c r="L26" s="8"/>
      <c r="M26" s="8"/>
      <c r="N26" s="8"/>
      <c r="O26" s="8"/>
    </row>
    <row r="27" spans="1:15">
      <c r="A27" s="8">
        <v>0.15</v>
      </c>
      <c r="B27" s="47">
        <f t="shared" ca="1" si="3"/>
        <v>96.931517423758066</v>
      </c>
      <c r="C27" s="44">
        <f t="shared" ca="1" si="7"/>
        <v>0.56106330926256887</v>
      </c>
      <c r="D27" s="52">
        <f t="shared" ca="1" si="5"/>
        <v>2.8700533475731871E-2</v>
      </c>
      <c r="E27" s="53">
        <f t="shared" ca="1" si="4"/>
        <v>2.7819862606740555</v>
      </c>
      <c r="F27" s="53">
        <f t="shared" ca="1" si="6"/>
        <v>57.403312003208477</v>
      </c>
      <c r="G27" s="52">
        <f t="shared" ca="1" si="1"/>
        <v>2.8708832611651493E-2</v>
      </c>
      <c r="H27" s="8"/>
      <c r="I27" s="44">
        <f t="shared" ca="1" si="2"/>
        <v>2.2058606637620999E-2</v>
      </c>
      <c r="J27" s="8"/>
      <c r="K27" s="8"/>
      <c r="L27" s="8"/>
      <c r="M27" s="8"/>
      <c r="N27" s="8"/>
      <c r="O27" s="8"/>
    </row>
    <row r="28" spans="1:15">
      <c r="A28" s="8">
        <v>0.16</v>
      </c>
      <c r="B28" s="47">
        <f t="shared" ca="1" si="3"/>
        <v>98.427087071522877</v>
      </c>
      <c r="C28" s="44">
        <f t="shared" ca="1" si="7"/>
        <v>0.59261958147779636</v>
      </c>
      <c r="D28" s="52">
        <f t="shared" ca="1" si="5"/>
        <v>3.1556272215227499E-2</v>
      </c>
      <c r="E28" s="53">
        <f t="shared" ca="1" si="4"/>
        <v>3.105991952980875</v>
      </c>
      <c r="F28" s="53">
        <f t="shared" ca="1" si="6"/>
        <v>60.538012788800998</v>
      </c>
      <c r="G28" s="52">
        <f t="shared" ca="1" si="1"/>
        <v>3.0276574907360111E-2</v>
      </c>
      <c r="H28" s="8"/>
      <c r="I28" s="44">
        <f t="shared" ca="1" si="2"/>
        <v>2.1513264249869674E-2</v>
      </c>
      <c r="J28" s="8"/>
      <c r="K28" s="8"/>
      <c r="L28" s="8"/>
      <c r="M28" s="8"/>
      <c r="N28" s="8"/>
      <c r="O28" s="8"/>
    </row>
    <row r="29" spans="1:15">
      <c r="A29" s="8">
        <v>0.17</v>
      </c>
      <c r="B29" s="47">
        <f t="shared" ca="1" si="3"/>
        <v>101.14034281182322</v>
      </c>
      <c r="C29" s="44">
        <f t="shared" ca="1" si="7"/>
        <v>0.64843374040559454</v>
      </c>
      <c r="D29" s="52">
        <f t="shared" ca="1" si="5"/>
        <v>5.5814158927798174E-2</v>
      </c>
      <c r="E29" s="53">
        <f t="shared" ca="1" si="4"/>
        <v>5.6450631677110907</v>
      </c>
      <c r="F29" s="53">
        <f t="shared" ca="1" si="6"/>
        <v>66.213352531419446</v>
      </c>
      <c r="G29" s="52">
        <f t="shared" ca="1" si="1"/>
        <v>3.3114954314387698E-2</v>
      </c>
      <c r="H29" s="8"/>
      <c r="I29" s="44">
        <f t="shared" ca="1" si="2"/>
        <v>2.0131655817945262E-2</v>
      </c>
      <c r="J29" s="8"/>
      <c r="K29" s="8"/>
      <c r="L29" s="8"/>
      <c r="M29" s="8"/>
      <c r="N29" s="8"/>
      <c r="O29" s="8"/>
    </row>
    <row r="30" spans="1:15">
      <c r="A30" s="8">
        <v>0.18</v>
      </c>
      <c r="B30" s="47">
        <f t="shared" ca="1" si="3"/>
        <v>98.630054601354175</v>
      </c>
      <c r="C30" s="44">
        <f t="shared" ca="1" si="7"/>
        <v>0.59513441599276418</v>
      </c>
      <c r="D30" s="52">
        <f t="shared" ca="1" si="5"/>
        <v>-5.3299324412830362E-2</v>
      </c>
      <c r="E30" s="53">
        <f t="shared" ca="1" si="4"/>
        <v>-5.2569152770527481</v>
      </c>
      <c r="F30" s="53">
        <f t="shared" ca="1" si="6"/>
        <v>60.989552208681083</v>
      </c>
      <c r="G30" s="52">
        <f t="shared" ca="1" si="1"/>
        <v>3.0502401069135848E-2</v>
      </c>
      <c r="H30" s="8"/>
      <c r="I30" s="44">
        <f t="shared" ca="1" si="2"/>
        <v>2.1695791288300105E-2</v>
      </c>
      <c r="J30" s="8"/>
      <c r="K30" s="8"/>
      <c r="L30" s="8"/>
      <c r="M30" s="8"/>
      <c r="N30" s="8"/>
      <c r="O30" s="8"/>
    </row>
    <row r="31" spans="1:15">
      <c r="A31" s="8">
        <v>0.19</v>
      </c>
      <c r="B31" s="47">
        <f t="shared" ca="1" si="3"/>
        <v>97.99065436113635</v>
      </c>
      <c r="C31" s="44">
        <f t="shared" ca="1" si="7"/>
        <v>0.58013265149098159</v>
      </c>
      <c r="D31" s="52">
        <f t="shared" ca="1" si="5"/>
        <v>-1.5001764501782588E-2</v>
      </c>
      <c r="E31" s="53">
        <f t="shared" ca="1" si="4"/>
        <v>-1.4700327201013426</v>
      </c>
      <c r="F31" s="53">
        <f t="shared" ca="1" si="6"/>
        <v>59.550021889648875</v>
      </c>
      <c r="G31" s="52">
        <f t="shared" ca="1" si="1"/>
        <v>2.9782455938336026E-2</v>
      </c>
      <c r="H31" s="8"/>
      <c r="I31" s="44">
        <f t="shared" ca="1" si="2"/>
        <v>2.2160113777669896E-2</v>
      </c>
      <c r="J31" s="8"/>
      <c r="K31" s="8"/>
      <c r="L31" s="8"/>
      <c r="M31" s="8"/>
      <c r="N31" s="8"/>
      <c r="O31" s="8"/>
    </row>
    <row r="32" spans="1:15">
      <c r="A32" s="8">
        <v>0.2</v>
      </c>
      <c r="B32" s="47">
        <f t="shared" ca="1" si="3"/>
        <v>97.902244309637908</v>
      </c>
      <c r="C32" s="44">
        <f t="shared" ca="1" si="7"/>
        <v>0.57712106447959866</v>
      </c>
      <c r="D32" s="52">
        <f t="shared" ca="1" si="5"/>
        <v>-3.0115870113829324E-3</v>
      </c>
      <c r="E32" s="53">
        <f t="shared" ca="1" si="4"/>
        <v>-0.29484112734814411</v>
      </c>
      <c r="F32" s="53">
        <f t="shared" ca="1" si="6"/>
        <v>59.284963218239071</v>
      </c>
      <c r="G32" s="52">
        <f t="shared" ca="1" si="1"/>
        <v>2.9649893464774472E-2</v>
      </c>
      <c r="H32" s="8"/>
      <c r="I32" s="44">
        <f t="shared" ca="1" si="2"/>
        <v>2.2352434540771376E-2</v>
      </c>
      <c r="J32" s="8"/>
      <c r="K32" s="8"/>
      <c r="L32" s="8"/>
      <c r="M32" s="8"/>
      <c r="N32" s="8"/>
      <c r="O32" s="8"/>
    </row>
    <row r="33" spans="1:9">
      <c r="A33" s="8">
        <v>0.21</v>
      </c>
      <c r="B33" s="47">
        <f t="shared" ca="1" si="3"/>
        <v>94.264003407312416</v>
      </c>
      <c r="C33" s="44">
        <f t="shared" ca="1" si="7"/>
        <v>0.49153808473170002</v>
      </c>
      <c r="D33" s="52">
        <f t="shared" ca="1" si="5"/>
        <v>-8.5582979747898635E-2</v>
      </c>
      <c r="E33" s="53">
        <f t="shared" ca="1" si="4"/>
        <v>-8.0673942945638668</v>
      </c>
      <c r="F33" s="53">
        <f t="shared" ca="1" si="6"/>
        <v>51.247218817139974</v>
      </c>
      <c r="G33" s="52">
        <f t="shared" ca="1" si="1"/>
        <v>2.5630016378701544E-2</v>
      </c>
      <c r="I33" s="44">
        <f t="shared" ca="1" si="2"/>
        <v>2.3802520028347769E-2</v>
      </c>
    </row>
    <row r="34" spans="1:9">
      <c r="A34" s="8">
        <v>0.22</v>
      </c>
      <c r="B34" s="47">
        <f t="shared" ca="1" si="3"/>
        <v>93.670701350538906</v>
      </c>
      <c r="C34" s="44">
        <f t="shared" ca="1" si="7"/>
        <v>0.47565703233238876</v>
      </c>
      <c r="D34" s="52">
        <f t="shared" ca="1" si="5"/>
        <v>-1.5881052399311257E-2</v>
      </c>
      <c r="E34" s="53">
        <f t="shared" ca="1" si="4"/>
        <v>-1.4875893164281442</v>
      </c>
      <c r="F34" s="53">
        <f t="shared" ca="1" si="6"/>
        <v>49.78525951709053</v>
      </c>
      <c r="G34" s="52">
        <f t="shared" ca="1" si="1"/>
        <v>2.489885395330315E-2</v>
      </c>
      <c r="I34" s="44">
        <f t="shared" ca="1" si="2"/>
        <v>2.4066863660524591E-2</v>
      </c>
    </row>
    <row r="35" spans="1:9">
      <c r="A35" s="8">
        <v>0.23</v>
      </c>
      <c r="B35" s="47">
        <f t="shared" ca="1" si="3"/>
        <v>95.31602462921451</v>
      </c>
      <c r="C35" s="44">
        <f t="shared" ca="1" si="7"/>
        <v>0.51347238423766706</v>
      </c>
      <c r="D35" s="52">
        <f t="shared" ca="1" si="5"/>
        <v>3.7815351905278294E-2</v>
      </c>
      <c r="E35" s="53">
        <f t="shared" ca="1" si="4"/>
        <v>3.6044090135659199</v>
      </c>
      <c r="F35" s="53">
        <f t="shared" ca="1" si="6"/>
        <v>53.414567384609754</v>
      </c>
      <c r="G35" s="52">
        <f t="shared" ca="1" si="1"/>
        <v>2.6713961626165919E-2</v>
      </c>
      <c r="I35" s="44">
        <f t="shared" ca="1" si="2"/>
        <v>2.3835323842894912E-2</v>
      </c>
    </row>
    <row r="36" spans="1:9">
      <c r="A36" s="8">
        <v>0.24</v>
      </c>
      <c r="B36" s="47">
        <f t="shared" ca="1" si="3"/>
        <v>92.882387878301714</v>
      </c>
      <c r="C36" s="44">
        <f t="shared" ca="1" si="7"/>
        <v>0.45289260168278023</v>
      </c>
      <c r="D36" s="52">
        <f t="shared" ca="1" si="5"/>
        <v>-6.057978255488683E-2</v>
      </c>
      <c r="E36" s="53">
        <f t="shared" ca="1" si="4"/>
        <v>-5.6267948608461742</v>
      </c>
      <c r="F36" s="53">
        <f t="shared" ca="1" si="6"/>
        <v>47.814486485389743</v>
      </c>
      <c r="G36" s="52">
        <f t="shared" ca="1" si="1"/>
        <v>2.3913221049761062E-2</v>
      </c>
      <c r="I36" s="44">
        <f t="shared" ca="1" si="2"/>
        <v>2.446234330392439E-2</v>
      </c>
    </row>
    <row r="37" spans="1:9">
      <c r="A37" s="8">
        <v>0.25</v>
      </c>
      <c r="B37" s="47">
        <f t="shared" ca="1" si="3"/>
        <v>92.141222525474674</v>
      </c>
      <c r="C37" s="44">
        <f t="shared" ca="1" si="7"/>
        <v>0.43272553298225558</v>
      </c>
      <c r="D37" s="52">
        <f t="shared" ca="1" si="5"/>
        <v>-2.0167068700524649E-2</v>
      </c>
      <c r="E37" s="53">
        <f t="shared" ca="1" si="4"/>
        <v>-1.8582183648215771</v>
      </c>
      <c r="F37" s="53">
        <f t="shared" ca="1" si="6"/>
        <v>45.980181341617929</v>
      </c>
      <c r="G37" s="52">
        <f t="shared" ca="1" si="1"/>
        <v>2.2995839151512872E-2</v>
      </c>
      <c r="I37" s="44">
        <f t="shared" ca="1" si="2"/>
        <v>2.4641165203760248E-2</v>
      </c>
    </row>
    <row r="38" spans="1:9">
      <c r="A38" s="8">
        <v>0.26</v>
      </c>
      <c r="B38" s="47">
        <f t="shared" ca="1" si="3"/>
        <v>92.827199840059222</v>
      </c>
      <c r="C38" s="44">
        <f t="shared" ca="1" si="7"/>
        <v>0.44767521337955651</v>
      </c>
      <c r="D38" s="52">
        <f t="shared" ca="1" si="5"/>
        <v>1.4949680397300935E-2</v>
      </c>
      <c r="E38" s="53">
        <f t="shared" ca="1" si="4"/>
        <v>1.3877369697852699</v>
      </c>
      <c r="F38" s="53">
        <f t="shared" ca="1" si="6"/>
        <v>47.390914150554714</v>
      </c>
      <c r="G38" s="52">
        <f t="shared" ca="1" si="1"/>
        <v>2.3701381926976201E-2</v>
      </c>
      <c r="I38" s="44">
        <f t="shared" ca="1" si="2"/>
        <v>2.4764632305953313E-2</v>
      </c>
    </row>
    <row r="39" spans="1:9">
      <c r="A39" s="8">
        <v>0.27</v>
      </c>
      <c r="B39" s="47">
        <f t="shared" ca="1" si="3"/>
        <v>92.759544363487905</v>
      </c>
      <c r="C39" s="44">
        <f t="shared" ca="1" si="7"/>
        <v>0.44401470794538278</v>
      </c>
      <c r="D39" s="52">
        <f t="shared" ca="1" si="5"/>
        <v>-3.6605054341737331E-3</v>
      </c>
      <c r="E39" s="53">
        <f t="shared" ca="1" si="4"/>
        <v>-0.33954681621402694</v>
      </c>
      <c r="F39" s="53">
        <f t="shared" ca="1" si="6"/>
        <v>47.075068716267666</v>
      </c>
      <c r="G39" s="52">
        <f t="shared" ca="1" si="1"/>
        <v>2.3543419722572484E-2</v>
      </c>
      <c r="I39" s="44">
        <f t="shared" ca="1" si="2"/>
        <v>2.4920416065166779E-2</v>
      </c>
    </row>
    <row r="40" spans="1:9">
      <c r="A40" s="8">
        <v>0.28000000000000003</v>
      </c>
      <c r="B40" s="47">
        <f t="shared" ca="1" si="3"/>
        <v>96.577124413948738</v>
      </c>
      <c r="C40" s="44">
        <f t="shared" ca="1" si="7"/>
        <v>0.53655460017616896</v>
      </c>
      <c r="D40" s="52">
        <f t="shared" ca="1" si="5"/>
        <v>9.253989223078618E-2</v>
      </c>
      <c r="E40" s="53">
        <f t="shared" ca="1" si="4"/>
        <v>8.9372366852260452</v>
      </c>
      <c r="F40" s="53">
        <f t="shared" ca="1" si="6"/>
        <v>56.035848821216284</v>
      </c>
      <c r="G40" s="52">
        <f t="shared" ca="1" si="1"/>
        <v>2.8024930059265388E-2</v>
      </c>
      <c r="I40" s="44">
        <f t="shared" ca="1" si="2"/>
        <v>2.4238810758389826E-2</v>
      </c>
    </row>
    <row r="41" spans="1:9">
      <c r="A41" s="8">
        <v>0.28999999999999998</v>
      </c>
      <c r="B41" s="47">
        <f t="shared" ca="1" si="3"/>
        <v>95.120897213345089</v>
      </c>
      <c r="C41" s="44">
        <f t="shared" ca="1" si="7"/>
        <v>0.49923891379951624</v>
      </c>
      <c r="D41" s="52">
        <f t="shared" ca="1" si="5"/>
        <v>-3.7315686376652724E-2</v>
      </c>
      <c r="E41" s="53">
        <f t="shared" ca="1" si="4"/>
        <v>-3.5495015682790054</v>
      </c>
      <c r="F41" s="53">
        <f t="shared" ca="1" si="6"/>
        <v>52.514372182996546</v>
      </c>
      <c r="G41" s="52">
        <f t="shared" ca="1" si="1"/>
        <v>2.626375148220278E-2</v>
      </c>
      <c r="I41" s="44">
        <f t="shared" ca="1" si="2"/>
        <v>2.488709302495061E-2</v>
      </c>
    </row>
    <row r="42" spans="1:9">
      <c r="A42" s="8">
        <v>0.3</v>
      </c>
      <c r="B42" s="47">
        <f t="shared" ca="1" si="3"/>
        <v>93.384779094147675</v>
      </c>
      <c r="C42" s="44">
        <f t="shared" ca="1" si="7"/>
        <v>0.45375209007262873</v>
      </c>
      <c r="D42" s="52">
        <f t="shared" ca="1" si="5"/>
        <v>-4.5486823726887504E-2</v>
      </c>
      <c r="E42" s="53">
        <f t="shared" ca="1" si="4"/>
        <v>-4.2477769854298248</v>
      </c>
      <c r="F42" s="53">
        <f t="shared" ca="1" si="6"/>
        <v>48.292858949048927</v>
      </c>
      <c r="G42" s="52">
        <f t="shared" ca="1" si="1"/>
        <v>2.4152467088115907E-2</v>
      </c>
      <c r="I42" s="44">
        <f t="shared" ca="1" si="2"/>
        <v>2.5358501825494855E-2</v>
      </c>
    </row>
    <row r="43" spans="1:9">
      <c r="A43" s="8">
        <v>0.31</v>
      </c>
      <c r="B43" s="47">
        <f t="shared" ca="1" si="3"/>
        <v>94.61435330325719</v>
      </c>
      <c r="C43" s="44">
        <f t="shared" ca="1" si="7"/>
        <v>0.48304912009994327</v>
      </c>
      <c r="D43" s="52">
        <f t="shared" ca="1" si="5"/>
        <v>2.9297030027314541E-2</v>
      </c>
      <c r="E43" s="53">
        <f t="shared" ca="1" si="4"/>
        <v>2.7719195497404727</v>
      </c>
      <c r="F43" s="53">
        <f t="shared" ca="1" si="6"/>
        <v>51.088930965877516</v>
      </c>
      <c r="G43" s="52">
        <f t="shared" ca="1" si="1"/>
        <v>2.5550852663790844E-2</v>
      </c>
      <c r="I43" s="44">
        <f t="shared" ca="1" si="2"/>
        <v>2.535748869098273E-2</v>
      </c>
    </row>
    <row r="44" spans="1:9">
      <c r="A44" s="8">
        <v>0.32</v>
      </c>
      <c r="B44" s="47">
        <f t="shared" ca="1" si="3"/>
        <v>97.447193262163836</v>
      </c>
      <c r="C44" s="44">
        <f t="shared" ca="1" si="7"/>
        <v>0.55243700118973738</v>
      </c>
      <c r="D44" s="52">
        <f t="shared" ca="1" si="5"/>
        <v>6.9387881089794101E-2</v>
      </c>
      <c r="E44" s="53">
        <f t="shared" ca="1" si="4"/>
        <v>6.7616542586092088</v>
      </c>
      <c r="F44" s="53">
        <f t="shared" ca="1" si="6"/>
        <v>57.87613607715052</v>
      </c>
      <c r="G44" s="52">
        <f t="shared" ref="G44:G75" ca="1" si="8">F44*(EXP(DH_Rate*DH_dt)-1)</f>
        <v>2.8945303761483451E-2</v>
      </c>
      <c r="I44" s="44">
        <f t="shared" ref="I44:I75" ca="1" si="9">CallGamma(B44,$B$4,0,$B$3,$B$2,$B$5-A44)</f>
        <v>2.4608377314754706E-2</v>
      </c>
    </row>
    <row r="45" spans="1:9">
      <c r="A45" s="8">
        <v>0.33</v>
      </c>
      <c r="B45" s="47">
        <f t="shared" ref="B45:B76" ca="1" si="10">B44*EXP(($B$3-0.5*$B$4^2)*$A$13+$B$4*NORMSINV(RAND())*SQRT($A$13))</f>
        <v>95.873320634328024</v>
      </c>
      <c r="C45" s="44">
        <f t="shared" ca="1" si="7"/>
        <v>0.5115922407908079</v>
      </c>
      <c r="D45" s="52">
        <f t="shared" ca="1" si="5"/>
        <v>-4.0844760398929481E-2</v>
      </c>
      <c r="E45" s="53">
        <f t="shared" ca="1" si="4"/>
        <v>-3.9159228099588699</v>
      </c>
      <c r="F45" s="53">
        <f t="shared" ca="1" si="6"/>
        <v>53.98915857095313</v>
      </c>
      <c r="G45" s="52">
        <f t="shared" ca="1" si="8"/>
        <v>2.7001329055207995E-2</v>
      </c>
      <c r="I45" s="44">
        <f t="shared" ca="1" si="9"/>
        <v>2.5407475049610464E-2</v>
      </c>
    </row>
    <row r="46" spans="1:9">
      <c r="A46" s="8">
        <v>0.34</v>
      </c>
      <c r="B46" s="47">
        <f t="shared" ca="1" si="10"/>
        <v>96.007306916116278</v>
      </c>
      <c r="C46" s="44">
        <f t="shared" ca="1" si="7"/>
        <v>0.51338913962289201</v>
      </c>
      <c r="D46" s="52">
        <f t="shared" ca="1" si="5"/>
        <v>1.796898832084115E-3</v>
      </c>
      <c r="E46" s="53">
        <f t="shared" ca="1" si="4"/>
        <v>0.17251541766911052</v>
      </c>
      <c r="F46" s="53">
        <f t="shared" ca="1" si="6"/>
        <v>54.18867531767745</v>
      </c>
      <c r="G46" s="52">
        <f t="shared" ca="1" si="8"/>
        <v>2.7101112372320598E-2</v>
      </c>
      <c r="I46" s="44">
        <f t="shared" ca="1" si="9"/>
        <v>2.5559899280938814E-2</v>
      </c>
    </row>
    <row r="47" spans="1:9">
      <c r="A47" s="8">
        <v>0.35</v>
      </c>
      <c r="B47" s="47">
        <f t="shared" ca="1" si="10"/>
        <v>93.289213728661039</v>
      </c>
      <c r="C47" s="44">
        <f t="shared" ca="1" si="7"/>
        <v>0.44092320844452804</v>
      </c>
      <c r="D47" s="52">
        <f t="shared" ca="1" si="5"/>
        <v>-7.2465931178363974E-2</v>
      </c>
      <c r="E47" s="53">
        <f t="shared" ca="1" si="4"/>
        <v>-6.7602897417448382</v>
      </c>
      <c r="F47" s="53">
        <f t="shared" ca="1" si="6"/>
        <v>47.45548668830493</v>
      </c>
      <c r="G47" s="52">
        <f t="shared" ca="1" si="8"/>
        <v>2.3733676268763951E-2</v>
      </c>
      <c r="I47" s="44">
        <f t="shared" ca="1" si="9"/>
        <v>2.6229804855623758E-2</v>
      </c>
    </row>
    <row r="48" spans="1:9">
      <c r="A48" s="8">
        <v>0.36</v>
      </c>
      <c r="B48" s="47">
        <f t="shared" ca="1" si="10"/>
        <v>93.915455936371387</v>
      </c>
      <c r="C48" s="44">
        <f t="shared" ca="1" si="7"/>
        <v>0.45527485148150926</v>
      </c>
      <c r="D48" s="52">
        <f t="shared" ca="1" si="5"/>
        <v>1.4351643036981221E-2</v>
      </c>
      <c r="E48" s="53">
        <f t="shared" ca="1" si="4"/>
        <v>1.3478410992541412</v>
      </c>
      <c r="F48" s="53">
        <f t="shared" ca="1" si="6"/>
        <v>48.827061463827832</v>
      </c>
      <c r="G48" s="52">
        <f t="shared" ca="1" si="8"/>
        <v>2.4419635131950272E-2</v>
      </c>
      <c r="I48" s="44">
        <f t="shared" ca="1" si="9"/>
        <v>2.6382279046686535E-2</v>
      </c>
    </row>
    <row r="49" spans="1:9">
      <c r="A49" s="8">
        <v>0.37</v>
      </c>
      <c r="B49" s="47">
        <f t="shared" ca="1" si="10"/>
        <v>91.467071308262746</v>
      </c>
      <c r="C49" s="44">
        <f t="shared" ca="1" si="7"/>
        <v>0.3881870256029869</v>
      </c>
      <c r="D49" s="52">
        <f t="shared" ca="1" si="5"/>
        <v>-6.7087825878522356E-2</v>
      </c>
      <c r="E49" s="53">
        <f t="shared" ca="1" si="4"/>
        <v>-6.136326953547119</v>
      </c>
      <c r="F49" s="53">
        <f t="shared" ca="1" si="6"/>
        <v>42.715154145412662</v>
      </c>
      <c r="G49" s="52">
        <f t="shared" ca="1" si="8"/>
        <v>2.1362917356981093E-2</v>
      </c>
      <c r="I49" s="44">
        <f t="shared" ca="1" si="9"/>
        <v>2.6389121281526325E-2</v>
      </c>
    </row>
    <row r="50" spans="1:9">
      <c r="A50" s="8">
        <v>0.38</v>
      </c>
      <c r="B50" s="47">
        <f t="shared" ca="1" si="10"/>
        <v>92.901199784149895</v>
      </c>
      <c r="C50" s="44">
        <f t="shared" ca="1" si="7"/>
        <v>0.4238775005642933</v>
      </c>
      <c r="D50" s="52">
        <f t="shared" ca="1" si="5"/>
        <v>3.5690474961306395E-2</v>
      </c>
      <c r="E50" s="53">
        <f t="shared" ca="1" si="4"/>
        <v>3.3156879447715251</v>
      </c>
      <c r="F50" s="53">
        <f t="shared" ca="1" si="6"/>
        <v>46.052205007541168</v>
      </c>
      <c r="G50" s="52">
        <f t="shared" ca="1" si="8"/>
        <v>2.3031859988933409E-2</v>
      </c>
      <c r="I50" s="44">
        <f t="shared" ca="1" si="9"/>
        <v>2.677067664700317E-2</v>
      </c>
    </row>
    <row r="51" spans="1:9">
      <c r="A51" s="8">
        <v>0.39</v>
      </c>
      <c r="B51" s="47">
        <f t="shared" ca="1" si="10"/>
        <v>95.390450731800343</v>
      </c>
      <c r="C51" s="44">
        <f t="shared" ca="1" si="7"/>
        <v>0.48852985752304223</v>
      </c>
      <c r="D51" s="52">
        <f t="shared" ca="1" si="5"/>
        <v>6.4652356958748936E-2</v>
      </c>
      <c r="E51" s="53">
        <f t="shared" ca="1" si="4"/>
        <v>6.1672174711683097</v>
      </c>
      <c r="F51" s="53">
        <f t="shared" ca="1" si="6"/>
        <v>52.242454338698408</v>
      </c>
      <c r="G51" s="52">
        <f t="shared" ca="1" si="8"/>
        <v>2.6127758564657533E-2</v>
      </c>
      <c r="I51" s="44">
        <f t="shared" ca="1" si="9"/>
        <v>2.6762747981508583E-2</v>
      </c>
    </row>
    <row r="52" spans="1:9">
      <c r="A52" s="8">
        <v>0.4</v>
      </c>
      <c r="B52" s="47">
        <f t="shared" ca="1" si="10"/>
        <v>94.10300744836313</v>
      </c>
      <c r="C52" s="44">
        <f t="shared" ca="1" si="7"/>
        <v>0.45175615784010181</v>
      </c>
      <c r="D52" s="52">
        <f t="shared" ca="1" si="5"/>
        <v>-3.6773699682940419E-2</v>
      </c>
      <c r="E52" s="53">
        <f t="shared" ca="1" si="4"/>
        <v>-3.4605157351676112</v>
      </c>
      <c r="F52" s="53">
        <f t="shared" ca="1" si="6"/>
        <v>48.808066362095452</v>
      </c>
      <c r="G52" s="52">
        <f t="shared" ca="1" si="8"/>
        <v>2.4410135206300584E-2</v>
      </c>
      <c r="I52" s="44">
        <f t="shared" ca="1" si="9"/>
        <v>2.7165007517444526E-2</v>
      </c>
    </row>
    <row r="53" spans="1:9">
      <c r="A53" s="8">
        <v>0.41</v>
      </c>
      <c r="B53" s="47">
        <f t="shared" ca="1" si="10"/>
        <v>95.541832347151569</v>
      </c>
      <c r="C53" s="44">
        <f t="shared" ca="1" si="7"/>
        <v>0.48881919681799102</v>
      </c>
      <c r="D53" s="52">
        <f t="shared" ca="1" si="5"/>
        <v>3.7063038977889207E-2</v>
      </c>
      <c r="E53" s="53">
        <f t="shared" ca="1" si="4"/>
        <v>3.5410706563014345</v>
      </c>
      <c r="F53" s="53">
        <f t="shared" ca="1" si="6"/>
        <v>52.373547153603191</v>
      </c>
      <c r="G53" s="52">
        <f t="shared" ca="1" si="8"/>
        <v>2.6193321361443218E-2</v>
      </c>
      <c r="I53" s="44">
        <f t="shared" ca="1" si="9"/>
        <v>2.7170016208614513E-2</v>
      </c>
    </row>
    <row r="54" spans="1:9">
      <c r="A54" s="8">
        <v>0.42</v>
      </c>
      <c r="B54" s="47">
        <f t="shared" ca="1" si="10"/>
        <v>96.446352749219116</v>
      </c>
      <c r="C54" s="44">
        <f t="shared" ca="1" si="7"/>
        <v>0.51156667801886346</v>
      </c>
      <c r="D54" s="52">
        <f t="shared" ca="1" si="5"/>
        <v>2.2747481200872444E-2</v>
      </c>
      <c r="E54" s="53">
        <f t="shared" ca="1" si="4"/>
        <v>2.1939115960555742</v>
      </c>
      <c r="F54" s="53">
        <f t="shared" ca="1" si="6"/>
        <v>54.593652071020202</v>
      </c>
      <c r="G54" s="52">
        <f t="shared" ca="1" si="8"/>
        <v>2.7303651379524178E-2</v>
      </c>
      <c r="I54" s="44">
        <f t="shared" ca="1" si="9"/>
        <v>2.7145489743514679E-2</v>
      </c>
    </row>
    <row r="55" spans="1:9">
      <c r="A55" s="8">
        <v>0.43</v>
      </c>
      <c r="B55" s="47">
        <f t="shared" ca="1" si="10"/>
        <v>96.17085645185287</v>
      </c>
      <c r="C55" s="44">
        <f t="shared" ca="1" si="7"/>
        <v>0.50226207202270656</v>
      </c>
      <c r="D55" s="52">
        <f t="shared" ca="1" si="5"/>
        <v>-9.3046059961569005E-3</v>
      </c>
      <c r="E55" s="53">
        <f t="shared" ca="1" si="4"/>
        <v>-0.89483192759745478</v>
      </c>
      <c r="F55" s="53">
        <f t="shared" ca="1" si="6"/>
        <v>53.726123794802277</v>
      </c>
      <c r="G55" s="52">
        <f t="shared" ca="1" si="8"/>
        <v>2.6869778782304999E-2</v>
      </c>
      <c r="I55" s="44">
        <f t="shared" ca="1" si="9"/>
        <v>2.7472120380033261E-2</v>
      </c>
    </row>
    <row r="56" spans="1:9">
      <c r="A56" s="8">
        <v>0.44</v>
      </c>
      <c r="B56" s="47">
        <f t="shared" ca="1" si="10"/>
        <v>95.398778557222883</v>
      </c>
      <c r="C56" s="44">
        <f t="shared" ca="1" si="7"/>
        <v>0.47894016054918531</v>
      </c>
      <c r="D56" s="52">
        <f t="shared" ca="1" si="5"/>
        <v>-2.3321911473521251E-2</v>
      </c>
      <c r="E56" s="53">
        <f t="shared" ca="1" si="4"/>
        <v>-2.2248818681936093</v>
      </c>
      <c r="F56" s="53">
        <f t="shared" ca="1" si="6"/>
        <v>51.52811170539097</v>
      </c>
      <c r="G56" s="52">
        <f t="shared" ca="1" si="8"/>
        <v>2.5770497940290717E-2</v>
      </c>
      <c r="I56" s="44">
        <f t="shared" ca="1" si="9"/>
        <v>2.7902143195551371E-2</v>
      </c>
    </row>
    <row r="57" spans="1:9">
      <c r="A57" s="8">
        <v>0.45</v>
      </c>
      <c r="B57" s="47">
        <f t="shared" ca="1" si="10"/>
        <v>94.247163671051879</v>
      </c>
      <c r="C57" s="44">
        <f t="shared" ca="1" si="7"/>
        <v>0.4443723246979141</v>
      </c>
      <c r="D57" s="52">
        <f t="shared" ca="1" si="5"/>
        <v>-3.4567835851271211E-2</v>
      </c>
      <c r="E57" s="53">
        <f t="shared" ca="1" si="4"/>
        <v>-3.2579204832288129</v>
      </c>
      <c r="F57" s="53">
        <f t="shared" ca="1" si="6"/>
        <v>48.295961720102447</v>
      </c>
      <c r="G57" s="52">
        <f t="shared" ca="1" si="8"/>
        <v>2.4154018861553696E-2</v>
      </c>
      <c r="I57" s="44">
        <f t="shared" ca="1" si="9"/>
        <v>2.8260566942795943E-2</v>
      </c>
    </row>
    <row r="58" spans="1:9">
      <c r="A58" s="8">
        <v>0.46</v>
      </c>
      <c r="B58" s="47">
        <f t="shared" ca="1" si="10"/>
        <v>94.271071161963235</v>
      </c>
      <c r="C58" s="44">
        <f t="shared" ca="1" si="7"/>
        <v>0.44266363977558176</v>
      </c>
      <c r="D58" s="52">
        <f t="shared" ca="1" si="5"/>
        <v>-1.7086849223323375E-3</v>
      </c>
      <c r="E58" s="53">
        <f t="shared" ca="1" si="4"/>
        <v>-0.16107955790656542</v>
      </c>
      <c r="F58" s="53">
        <f t="shared" ca="1" si="6"/>
        <v>48.159036181057431</v>
      </c>
      <c r="G58" s="52">
        <f t="shared" ca="1" si="8"/>
        <v>2.4085538973485848E-2</v>
      </c>
      <c r="I58" s="44">
        <f t="shared" ca="1" si="9"/>
        <v>2.849628616861535E-2</v>
      </c>
    </row>
    <row r="59" spans="1:9">
      <c r="A59" s="8">
        <v>0.47</v>
      </c>
      <c r="B59" s="47">
        <f t="shared" ca="1" si="10"/>
        <v>96.852713866911415</v>
      </c>
      <c r="C59" s="44">
        <f t="shared" ca="1" si="7"/>
        <v>0.51402904580558584</v>
      </c>
      <c r="D59" s="52">
        <f t="shared" ca="1" si="5"/>
        <v>7.1365406030004075E-2</v>
      </c>
      <c r="E59" s="53">
        <f t="shared" ca="1" si="4"/>
        <v>6.9119332502199393</v>
      </c>
      <c r="F59" s="53">
        <f t="shared" ca="1" si="6"/>
        <v>55.095054970250857</v>
      </c>
      <c r="G59" s="52">
        <f t="shared" ca="1" si="8"/>
        <v>2.7554415514949065E-2</v>
      </c>
      <c r="I59" s="44">
        <f t="shared" ca="1" si="9"/>
        <v>2.8272336907815047E-2</v>
      </c>
    </row>
    <row r="60" spans="1:9">
      <c r="A60" s="8">
        <v>0.48</v>
      </c>
      <c r="B60" s="47">
        <f t="shared" ca="1" si="10"/>
        <v>96.018515133629975</v>
      </c>
      <c r="C60" s="44">
        <f t="shared" ca="1" si="7"/>
        <v>0.48830310012507805</v>
      </c>
      <c r="D60" s="52">
        <f t="shared" ca="1" si="5"/>
        <v>-2.5725945680507789E-2</v>
      </c>
      <c r="E60" s="53">
        <f t="shared" ca="1" si="4"/>
        <v>-2.47016710465078</v>
      </c>
      <c r="F60" s="53">
        <f t="shared" ca="1" si="6"/>
        <v>52.652442281115029</v>
      </c>
      <c r="G60" s="52">
        <f t="shared" ca="1" si="8"/>
        <v>2.6332803792901094E-2</v>
      </c>
      <c r="I60" s="44">
        <f t="shared" ca="1" si="9"/>
        <v>2.8796300304281212E-2</v>
      </c>
    </row>
    <row r="61" spans="1:9">
      <c r="A61" s="8">
        <v>0.49</v>
      </c>
      <c r="B61" s="47">
        <f t="shared" ca="1" si="10"/>
        <v>94.082998677586801</v>
      </c>
      <c r="C61" s="44">
        <f t="shared" ca="1" si="7"/>
        <v>0.42972073236109476</v>
      </c>
      <c r="D61" s="52">
        <f t="shared" ca="1" si="5"/>
        <v>-5.858236776398329E-2</v>
      </c>
      <c r="E61" s="53">
        <f t="shared" ca="1" si="4"/>
        <v>-5.5116048288687436</v>
      </c>
      <c r="F61" s="53">
        <f t="shared" ca="1" si="6"/>
        <v>47.167170256039192</v>
      </c>
      <c r="G61" s="52">
        <f t="shared" ca="1" si="8"/>
        <v>2.3589482007069732E-2</v>
      </c>
      <c r="I61" s="44">
        <f t="shared" ca="1" si="9"/>
        <v>2.9226329501925184E-2</v>
      </c>
    </row>
    <row r="62" spans="1:9">
      <c r="A62" s="8">
        <v>0.5</v>
      </c>
      <c r="B62" s="47">
        <f t="shared" ca="1" si="10"/>
        <v>95.546481599592923</v>
      </c>
      <c r="C62" s="44">
        <f t="shared" ca="1" si="7"/>
        <v>0.47024587039711097</v>
      </c>
      <c r="D62" s="52">
        <f t="shared" ca="1" si="5"/>
        <v>4.0525138036016206E-2</v>
      </c>
      <c r="E62" s="53">
        <f t="shared" ca="1" si="4"/>
        <v>3.8720343556791859</v>
      </c>
      <c r="F62" s="53">
        <f t="shared" ca="1" si="6"/>
        <v>51.062794093725444</v>
      </c>
      <c r="G62" s="52">
        <f t="shared" ca="1" si="8"/>
        <v>2.5537780960061207E-2</v>
      </c>
      <c r="I62" s="44">
        <f t="shared" ca="1" si="9"/>
        <v>2.9442198685123246E-2</v>
      </c>
    </row>
    <row r="63" spans="1:9">
      <c r="A63" s="8">
        <v>0.51</v>
      </c>
      <c r="B63" s="47">
        <f t="shared" ca="1" si="10"/>
        <v>99.881872409970171</v>
      </c>
      <c r="C63" s="44">
        <f t="shared" ca="1" si="7"/>
        <v>0.59349983743182622</v>
      </c>
      <c r="D63" s="52">
        <f t="shared" ca="1" si="5"/>
        <v>0.12325396703471525</v>
      </c>
      <c r="E63" s="53">
        <f t="shared" ca="1" si="4"/>
        <v>12.310837009384098</v>
      </c>
      <c r="F63" s="53">
        <f t="shared" ca="1" si="6"/>
        <v>63.39916888406961</v>
      </c>
      <c r="G63" s="52">
        <f t="shared" ca="1" si="8"/>
        <v>3.1707510659120947E-2</v>
      </c>
      <c r="I63" s="44">
        <f t="shared" ca="1" si="9"/>
        <v>2.7742394047975339E-2</v>
      </c>
    </row>
    <row r="64" spans="1:9">
      <c r="A64" s="8">
        <v>0.52</v>
      </c>
      <c r="B64" s="47">
        <f t="shared" ca="1" si="10"/>
        <v>99.130504864885125</v>
      </c>
      <c r="C64" s="44">
        <f t="shared" ca="1" si="7"/>
        <v>0.57121263594195426</v>
      </c>
      <c r="D64" s="52">
        <f t="shared" ca="1" si="5"/>
        <v>-2.2287201489871955E-2</v>
      </c>
      <c r="E64" s="53">
        <f t="shared" ca="1" si="4"/>
        <v>-2.209341535716427</v>
      </c>
      <c r="F64" s="53">
        <f t="shared" ca="1" si="6"/>
        <v>61.221534859012301</v>
      </c>
      <c r="G64" s="52">
        <f t="shared" ca="1" si="8"/>
        <v>3.0618421396966303E-2</v>
      </c>
      <c r="I64" s="44">
        <f t="shared" ca="1" si="9"/>
        <v>2.8579757316368862E-2</v>
      </c>
    </row>
    <row r="65" spans="1:9">
      <c r="A65" s="8">
        <v>0.53</v>
      </c>
      <c r="B65" s="47">
        <f t="shared" ca="1" si="10"/>
        <v>103.60517470858173</v>
      </c>
      <c r="C65" s="44">
        <f t="shared" ca="1" si="7"/>
        <v>0.69084734863652497</v>
      </c>
      <c r="D65" s="52">
        <f t="shared" ca="1" si="5"/>
        <v>0.11963471269457071</v>
      </c>
      <c r="E65" s="53">
        <f t="shared" ca="1" si="4"/>
        <v>12.394775309931978</v>
      </c>
      <c r="F65" s="53">
        <f t="shared" ca="1" si="6"/>
        <v>73.646928590341247</v>
      </c>
      <c r="G65" s="52">
        <f t="shared" ca="1" si="8"/>
        <v>3.6832671695740844E-2</v>
      </c>
      <c r="I65" s="44">
        <f t="shared" ca="1" si="9"/>
        <v>2.480512678717478E-2</v>
      </c>
    </row>
    <row r="66" spans="1:9">
      <c r="A66" s="8">
        <v>0.54</v>
      </c>
      <c r="B66" s="47">
        <f t="shared" ca="1" si="10"/>
        <v>109.07357048588503</v>
      </c>
      <c r="C66" s="44">
        <f t="shared" ca="1" si="7"/>
        <v>0.80993757723265114</v>
      </c>
      <c r="D66" s="52">
        <f t="shared" ca="1" si="5"/>
        <v>0.11909022859612617</v>
      </c>
      <c r="E66" s="53">
        <f t="shared" ca="1" si="4"/>
        <v>12.989596442959728</v>
      </c>
      <c r="F66" s="53">
        <f t="shared" ca="1" si="6"/>
        <v>86.673357704996704</v>
      </c>
      <c r="G66" s="52">
        <f t="shared" ca="1" si="8"/>
        <v>4.3347514828124642E-2</v>
      </c>
      <c r="I66" s="44">
        <f t="shared" ca="1" si="9"/>
        <v>1.8344825106733853E-2</v>
      </c>
    </row>
    <row r="67" spans="1:9">
      <c r="A67" s="8">
        <v>0.55000000000000004</v>
      </c>
      <c r="B67" s="47">
        <f t="shared" ca="1" si="10"/>
        <v>107.44710132484558</v>
      </c>
      <c r="C67" s="44">
        <f t="shared" ca="1" si="7"/>
        <v>0.77939901778617848</v>
      </c>
      <c r="D67" s="52">
        <f t="shared" ca="1" si="5"/>
        <v>-3.0538559446472657E-2</v>
      </c>
      <c r="E67" s="53">
        <f t="shared" ca="1" si="4"/>
        <v>-3.2812796911599675</v>
      </c>
      <c r="F67" s="53">
        <f t="shared" ca="1" si="6"/>
        <v>83.435425528664865</v>
      </c>
      <c r="G67" s="52">
        <f t="shared" ca="1" si="8"/>
        <v>4.1728143930971608E-2</v>
      </c>
      <c r="I67" s="44">
        <f t="shared" ca="1" si="9"/>
        <v>2.0572040735011583E-2</v>
      </c>
    </row>
    <row r="68" spans="1:9">
      <c r="A68" s="8">
        <v>0.56000000000000005</v>
      </c>
      <c r="B68" s="47">
        <f t="shared" ca="1" si="10"/>
        <v>111.28349766684677</v>
      </c>
      <c r="C68" s="44">
        <f t="shared" ca="1" si="7"/>
        <v>0.85037290144179634</v>
      </c>
      <c r="D68" s="52">
        <f t="shared" ca="1" si="5"/>
        <v>7.0973883655617853E-2</v>
      </c>
      <c r="E68" s="53">
        <f t="shared" ca="1" si="4"/>
        <v>7.8982220161970034</v>
      </c>
      <c r="F68" s="53">
        <f t="shared" ca="1" si="6"/>
        <v>91.375375688792843</v>
      </c>
      <c r="G68" s="52">
        <f t="shared" ca="1" si="8"/>
        <v>4.5699111670241231E-2</v>
      </c>
      <c r="I68" s="44">
        <f t="shared" ca="1" si="9"/>
        <v>1.5766800762394836E-2</v>
      </c>
    </row>
    <row r="69" spans="1:9">
      <c r="A69" s="8">
        <v>0.56999999999999995</v>
      </c>
      <c r="B69" s="47">
        <f t="shared" ca="1" si="10"/>
        <v>111.9768938176841</v>
      </c>
      <c r="C69" s="44">
        <f t="shared" ca="1" si="7"/>
        <v>0.86259665049625833</v>
      </c>
      <c r="D69" s="52">
        <f t="shared" ca="1" si="5"/>
        <v>1.2223749054461996E-2</v>
      </c>
      <c r="E69" s="53">
        <f t="shared" ca="1" si="4"/>
        <v>1.3687774499255074</v>
      </c>
      <c r="F69" s="53">
        <f t="shared" ca="1" si="6"/>
        <v>92.789852250388591</v>
      </c>
      <c r="G69" s="52">
        <f t="shared" ca="1" si="8"/>
        <v>4.6406526790081129E-2</v>
      </c>
      <c r="I69" s="44">
        <f t="shared" ca="1" si="9"/>
        <v>1.4964030645438497E-2</v>
      </c>
    </row>
    <row r="70" spans="1:9">
      <c r="A70" s="8">
        <v>0.57999999999999996</v>
      </c>
      <c r="B70" s="47">
        <f t="shared" ca="1" si="10"/>
        <v>111.05945469988892</v>
      </c>
      <c r="C70" s="44">
        <f t="shared" ca="1" si="7"/>
        <v>0.8499250964265791</v>
      </c>
      <c r="D70" s="52">
        <f t="shared" ca="1" si="5"/>
        <v>-1.2671554069679236E-2</v>
      </c>
      <c r="E70" s="53">
        <f t="shared" ca="1" si="4"/>
        <v>-1.4072958851787343</v>
      </c>
      <c r="F70" s="53">
        <f t="shared" ca="1" si="6"/>
        <v>91.42896289199993</v>
      </c>
      <c r="G70" s="52">
        <f t="shared" ca="1" si="8"/>
        <v>4.5725911971361707E-2</v>
      </c>
      <c r="I70" s="44">
        <f t="shared" ca="1" si="9"/>
        <v>1.6202652135598371E-2</v>
      </c>
    </row>
    <row r="71" spans="1:9">
      <c r="A71" s="8">
        <v>0.59</v>
      </c>
      <c r="B71" s="47">
        <f t="shared" ca="1" si="10"/>
        <v>113.07881952335225</v>
      </c>
      <c r="C71" s="44">
        <f t="shared" ca="1" si="7"/>
        <v>0.88177629158906634</v>
      </c>
      <c r="D71" s="52">
        <f t="shared" ca="1" si="5"/>
        <v>3.1851195162487245E-2</v>
      </c>
      <c r="E71" s="53">
        <f t="shared" ca="1" si="4"/>
        <v>3.6016955493819656</v>
      </c>
      <c r="F71" s="53">
        <f t="shared" ca="1" si="6"/>
        <v>95.076384353353262</v>
      </c>
      <c r="G71" s="52">
        <f t="shared" ca="1" si="8"/>
        <v>4.7550078705718174E-2</v>
      </c>
      <c r="I71" s="44">
        <f t="shared" ca="1" si="9"/>
        <v>1.3669171175576035E-2</v>
      </c>
    </row>
    <row r="72" spans="1:9">
      <c r="A72" s="8">
        <v>0.6</v>
      </c>
      <c r="B72" s="47">
        <f t="shared" ca="1" si="10"/>
        <v>114.70826495871474</v>
      </c>
      <c r="C72" s="44">
        <f t="shared" ca="1" si="7"/>
        <v>0.90425659603980368</v>
      </c>
      <c r="D72" s="52">
        <f t="shared" ca="1" si="5"/>
        <v>2.2480304450737343E-2</v>
      </c>
      <c r="E72" s="53">
        <f t="shared" ca="1" si="4"/>
        <v>2.5786767192877531</v>
      </c>
      <c r="F72" s="53">
        <f t="shared" ca="1" si="6"/>
        <v>97.70261115134673</v>
      </c>
      <c r="G72" s="52">
        <f t="shared" ca="1" si="8"/>
        <v>4.886352043778433E-2</v>
      </c>
      <c r="I72" s="44">
        <f t="shared" ca="1" si="9"/>
        <v>1.1715782875808139E-2</v>
      </c>
    </row>
    <row r="73" spans="1:9">
      <c r="A73" s="8">
        <v>0.61</v>
      </c>
      <c r="B73" s="47">
        <f t="shared" ca="1" si="10"/>
        <v>115.83856050306289</v>
      </c>
      <c r="C73" s="44">
        <f t="shared" ca="1" si="7"/>
        <v>0.91860287615090541</v>
      </c>
      <c r="D73" s="52">
        <f t="shared" ca="1" si="5"/>
        <v>1.4346280111101728E-2</v>
      </c>
      <c r="E73" s="53">
        <f t="shared" ca="1" si="4"/>
        <v>1.6618524366437453</v>
      </c>
      <c r="F73" s="53">
        <f t="shared" ca="1" si="6"/>
        <v>99.413327108428263</v>
      </c>
      <c r="G73" s="52">
        <f t="shared" ca="1" si="8"/>
        <v>4.9719092291463957E-2</v>
      </c>
      <c r="I73" s="44">
        <f t="shared" ca="1" si="9"/>
        <v>1.0410579549377096E-2</v>
      </c>
    </row>
    <row r="74" spans="1:9">
      <c r="A74" s="8">
        <v>0.62</v>
      </c>
      <c r="B74" s="47">
        <f t="shared" ca="1" si="10"/>
        <v>116.18184562527003</v>
      </c>
      <c r="C74" s="44">
        <f t="shared" ca="1" si="7"/>
        <v>0.92397166913271389</v>
      </c>
      <c r="D74" s="52">
        <f t="shared" ca="1" si="5"/>
        <v>5.368792981808479E-3</v>
      </c>
      <c r="E74" s="53">
        <f t="shared" ca="1" si="4"/>
        <v>0.62375627740650585</v>
      </c>
      <c r="F74" s="53">
        <f t="shared" ca="1" si="6"/>
        <v>100.08680247812623</v>
      </c>
      <c r="G74" s="52">
        <f t="shared" ca="1" si="8"/>
        <v>5.0055914174766583E-2</v>
      </c>
      <c r="I74" s="44">
        <f t="shared" ca="1" si="9"/>
        <v>9.9855731207948509E-3</v>
      </c>
    </row>
    <row r="75" spans="1:9">
      <c r="A75" s="8">
        <v>0.63</v>
      </c>
      <c r="B75" s="47">
        <f t="shared" ca="1" si="10"/>
        <v>121.28760290000916</v>
      </c>
      <c r="C75" s="44">
        <f t="shared" ca="1" si="7"/>
        <v>0.96401451884557765</v>
      </c>
      <c r="D75" s="52">
        <f t="shared" ca="1" si="5"/>
        <v>4.0042849712863759E-2</v>
      </c>
      <c r="E75" s="53">
        <f t="shared" ca="1" si="4"/>
        <v>4.8567012549585655</v>
      </c>
      <c r="F75" s="53">
        <f t="shared" ca="1" si="6"/>
        <v>104.99355964725956</v>
      </c>
      <c r="G75" s="52">
        <f t="shared" ca="1" si="8"/>
        <v>5.2509906206215852E-2</v>
      </c>
      <c r="I75" s="44">
        <f t="shared" ca="1" si="9"/>
        <v>5.3573744938525516E-3</v>
      </c>
    </row>
    <row r="76" spans="1:9">
      <c r="A76" s="8">
        <v>0.64</v>
      </c>
      <c r="B76" s="47">
        <f t="shared" ca="1" si="10"/>
        <v>121.25400918491655</v>
      </c>
      <c r="C76" s="44">
        <f t="shared" ca="1" si="7"/>
        <v>0.96531321381444291</v>
      </c>
      <c r="D76" s="52">
        <f t="shared" ca="1" si="5"/>
        <v>1.2986949688652549E-3</v>
      </c>
      <c r="E76" s="53">
        <f t="shared" ca="1" si="4"/>
        <v>0.15747197168319255</v>
      </c>
      <c r="F76" s="53">
        <f t="shared" ca="1" si="6"/>
        <v>105.20354152514896</v>
      </c>
      <c r="G76" s="52">
        <f t="shared" ref="G76:G107" ca="1" si="11">F76*(EXP(DH_Rate*DH_dt)-1)</f>
        <v>5.261492339727044E-2</v>
      </c>
      <c r="I76" s="44">
        <f t="shared" ref="I76:I111" ca="1" si="12">CallGamma(B76,$B$4,0,$B$3,$B$2,$B$5-A76)</f>
        <v>5.2714417931901177E-3</v>
      </c>
    </row>
    <row r="77" spans="1:9">
      <c r="A77" s="8">
        <v>0.65</v>
      </c>
      <c r="B77" s="47">
        <f t="shared" ref="B77:B112" ca="1" si="13">B76*EXP(($B$3-0.5*$B$4^2)*$A$13+$B$4*NORMSINV(RAND())*SQRT($A$13))</f>
        <v>121.34922593058509</v>
      </c>
      <c r="C77" s="44">
        <f t="shared" ca="1" si="7"/>
        <v>0.96729584249090672</v>
      </c>
      <c r="D77" s="52">
        <f t="shared" ca="1" si="5"/>
        <v>1.9826286764638157E-3</v>
      </c>
      <c r="E77" s="53">
        <f t="shared" ref="E77:E112" ca="1" si="14">D77*B77</f>
        <v>0.24059045519666447</v>
      </c>
      <c r="F77" s="53">
        <f t="shared" ca="1" si="6"/>
        <v>105.4967469037429</v>
      </c>
      <c r="G77" s="52">
        <f t="shared" ca="1" si="11"/>
        <v>5.2761562743348915E-2</v>
      </c>
      <c r="I77" s="44">
        <f t="shared" ca="1" si="12"/>
        <v>5.0894542164754177E-3</v>
      </c>
    </row>
    <row r="78" spans="1:9">
      <c r="A78" s="8">
        <v>0.66</v>
      </c>
      <c r="B78" s="47">
        <f t="shared" ca="1" si="13"/>
        <v>120.62291075888594</v>
      </c>
      <c r="C78" s="44">
        <f t="shared" ref="C78:C111" ca="1" si="15">CallDelta(B78,$B$4,0,$B$3,$B$2,$B$5-A78)</f>
        <v>0.96499725523786961</v>
      </c>
      <c r="D78" s="52">
        <f t="shared" ref="D78:D111" ca="1" si="16">(C78-C77)*$B$6</f>
        <v>-2.2985872530371099E-3</v>
      </c>
      <c r="E78" s="53">
        <f t="shared" ca="1" si="14"/>
        <v>-0.2772622850946081</v>
      </c>
      <c r="F78" s="53">
        <f t="shared" ref="F78:F112" ca="1" si="17">F77+G77+E78</f>
        <v>105.27224618139164</v>
      </c>
      <c r="G78" s="52">
        <f t="shared" ca="1" si="11"/>
        <v>5.2649284314905329E-2</v>
      </c>
      <c r="I78" s="44">
        <f t="shared" ca="1" si="12"/>
        <v>5.4933912241674947E-3</v>
      </c>
    </row>
    <row r="79" spans="1:9">
      <c r="A79" s="8">
        <v>0.67</v>
      </c>
      <c r="B79" s="47">
        <f t="shared" ca="1" si="13"/>
        <v>117.8509241260217</v>
      </c>
      <c r="C79" s="44">
        <f t="shared" ca="1" si="15"/>
        <v>0.94852054560433774</v>
      </c>
      <c r="D79" s="52">
        <f t="shared" ca="1" si="16"/>
        <v>-1.6476709633531872E-2</v>
      </c>
      <c r="E79" s="53">
        <f t="shared" ca="1" si="14"/>
        <v>-1.9417954568678553</v>
      </c>
      <c r="F79" s="53">
        <f t="shared" ca="1" si="17"/>
        <v>103.3831000088387</v>
      </c>
      <c r="G79" s="52">
        <f t="shared" ca="1" si="11"/>
        <v>5.1704475045995318E-2</v>
      </c>
      <c r="I79" s="44">
        <f t="shared" ca="1" si="12"/>
        <v>7.796034114516316E-3</v>
      </c>
    </row>
    <row r="80" spans="1:9">
      <c r="A80" s="8">
        <v>0.68</v>
      </c>
      <c r="B80" s="47">
        <f t="shared" ca="1" si="13"/>
        <v>118.49854751283324</v>
      </c>
      <c r="C80" s="44">
        <f t="shared" ca="1" si="15"/>
        <v>0.95526595335713815</v>
      </c>
      <c r="D80" s="52">
        <f t="shared" ca="1" si="16"/>
        <v>6.7454077528004142E-3</v>
      </c>
      <c r="E80" s="53">
        <f t="shared" ca="1" si="14"/>
        <v>0.79932102108865355</v>
      </c>
      <c r="F80" s="53">
        <f t="shared" ca="1" si="17"/>
        <v>104.23412550497335</v>
      </c>
      <c r="G80" s="52">
        <f t="shared" ca="1" si="11"/>
        <v>5.2130094189981505E-2</v>
      </c>
      <c r="I80" s="44">
        <f t="shared" ca="1" si="12"/>
        <v>7.0365126213215229E-3</v>
      </c>
    </row>
    <row r="81" spans="1:9">
      <c r="A81" s="8">
        <v>0.69</v>
      </c>
      <c r="B81" s="47">
        <f t="shared" ca="1" si="13"/>
        <v>118.30198553863735</v>
      </c>
      <c r="C81" s="44">
        <f t="shared" ca="1" si="15"/>
        <v>0.95582706712150667</v>
      </c>
      <c r="D81" s="52">
        <f t="shared" ca="1" si="16"/>
        <v>5.611137643685149E-4</v>
      </c>
      <c r="E81" s="53">
        <f t="shared" ca="1" si="14"/>
        <v>6.6380872437854413E-2</v>
      </c>
      <c r="F81" s="53">
        <f t="shared" ca="1" si="17"/>
        <v>104.35263647160119</v>
      </c>
      <c r="G81" s="52">
        <f t="shared" ca="1" si="11"/>
        <v>5.2189364489635529E-2</v>
      </c>
      <c r="I81" s="44">
        <f t="shared" ca="1" si="12"/>
        <v>7.0885220131319121E-3</v>
      </c>
    </row>
    <row r="82" spans="1:9">
      <c r="A82" s="8">
        <v>0.7</v>
      </c>
      <c r="B82" s="47">
        <f t="shared" ca="1" si="13"/>
        <v>117.4395518071161</v>
      </c>
      <c r="C82" s="44">
        <f t="shared" ca="1" si="15"/>
        <v>0.95145979632111055</v>
      </c>
      <c r="D82" s="52">
        <f t="shared" ca="1" si="16"/>
        <v>-4.3672708003961169E-3</v>
      </c>
      <c r="E82" s="53">
        <f t="shared" ca="1" si="14"/>
        <v>-0.51289032541882518</v>
      </c>
      <c r="F82" s="53">
        <f t="shared" ca="1" si="17"/>
        <v>103.891935510672</v>
      </c>
      <c r="G82" s="52">
        <f t="shared" ca="1" si="11"/>
        <v>5.1958956411951716E-2</v>
      </c>
      <c r="I82" s="44">
        <f t="shared" ca="1" si="12"/>
        <v>7.8293990584368048E-3</v>
      </c>
    </row>
    <row r="83" spans="1:9">
      <c r="A83" s="8">
        <v>0.71</v>
      </c>
      <c r="B83" s="47">
        <f t="shared" ca="1" si="13"/>
        <v>115.38959637349924</v>
      </c>
      <c r="C83" s="44">
        <f t="shared" ca="1" si="15"/>
        <v>0.93543471873850537</v>
      </c>
      <c r="D83" s="52">
        <f t="shared" ca="1" si="16"/>
        <v>-1.6025077582605185E-2</v>
      </c>
      <c r="E83" s="53">
        <f t="shared" ca="1" si="14"/>
        <v>-1.8491272341108234</v>
      </c>
      <c r="F83" s="53">
        <f t="shared" ca="1" si="17"/>
        <v>102.09476723297313</v>
      </c>
      <c r="G83" s="52">
        <f t="shared" ca="1" si="11"/>
        <v>5.1060147589622039E-2</v>
      </c>
      <c r="I83" s="44">
        <f t="shared" ca="1" si="12"/>
        <v>1.0149399168857726E-2</v>
      </c>
    </row>
    <row r="84" spans="1:9">
      <c r="A84" s="8">
        <v>0.72</v>
      </c>
      <c r="B84" s="47">
        <f t="shared" ca="1" si="13"/>
        <v>113.64977782341458</v>
      </c>
      <c r="C84" s="44">
        <f t="shared" ca="1" si="15"/>
        <v>0.9183758304268701</v>
      </c>
      <c r="D84" s="52">
        <f t="shared" ca="1" si="16"/>
        <v>-1.7058888311635267E-2</v>
      </c>
      <c r="E84" s="53">
        <f t="shared" ca="1" si="14"/>
        <v>-1.9387388665317919</v>
      </c>
      <c r="F84" s="53">
        <f t="shared" ca="1" si="17"/>
        <v>100.20708851403096</v>
      </c>
      <c r="G84" s="52">
        <f t="shared" ca="1" si="11"/>
        <v>5.0116072230979698E-2</v>
      </c>
      <c r="I84" s="44">
        <f t="shared" ca="1" si="12"/>
        <v>1.2549459378915283E-2</v>
      </c>
    </row>
    <row r="85" spans="1:9">
      <c r="A85" s="8">
        <v>0.73</v>
      </c>
      <c r="B85" s="47">
        <f t="shared" ca="1" si="13"/>
        <v>117.42399990077509</v>
      </c>
      <c r="C85" s="44">
        <f t="shared" ca="1" si="15"/>
        <v>0.95795595903201869</v>
      </c>
      <c r="D85" s="52">
        <f t="shared" ca="1" si="16"/>
        <v>3.958012860514859E-2</v>
      </c>
      <c r="E85" s="53">
        <f t="shared" ca="1" si="14"/>
        <v>4.6476570174036329</v>
      </c>
      <c r="F85" s="53">
        <f t="shared" ca="1" si="17"/>
        <v>104.90486160366557</v>
      </c>
      <c r="G85" s="52">
        <f t="shared" ca="1" si="11"/>
        <v>5.2465546095315306E-2</v>
      </c>
      <c r="I85" s="44">
        <f t="shared" ca="1" si="12"/>
        <v>7.3529425427903737E-3</v>
      </c>
    </row>
    <row r="86" spans="1:9">
      <c r="A86" s="8">
        <v>0.74</v>
      </c>
      <c r="B86" s="47">
        <f t="shared" ca="1" si="13"/>
        <v>117.11163209149791</v>
      </c>
      <c r="C86" s="44">
        <f t="shared" ca="1" si="15"/>
        <v>0.95794902210872646</v>
      </c>
      <c r="D86" s="52">
        <f t="shared" ca="1" si="16"/>
        <v>-6.9369232922333879E-6</v>
      </c>
      <c r="E86" s="53">
        <f t="shared" ca="1" si="14"/>
        <v>-8.1239440844697896E-4</v>
      </c>
      <c r="F86" s="53">
        <f t="shared" ca="1" si="17"/>
        <v>104.95651475535244</v>
      </c>
      <c r="G86" s="52">
        <f t="shared" ca="1" si="11"/>
        <v>5.249137912887894E-2</v>
      </c>
      <c r="I86" s="44">
        <f t="shared" ca="1" si="12"/>
        <v>7.5140003550132461E-3</v>
      </c>
    </row>
    <row r="87" spans="1:9">
      <c r="A87" s="8">
        <v>0.75</v>
      </c>
      <c r="B87" s="47">
        <f t="shared" ca="1" si="13"/>
        <v>115.85203497716773</v>
      </c>
      <c r="C87" s="44">
        <f t="shared" ca="1" si="15"/>
        <v>0.95016303370696664</v>
      </c>
      <c r="D87" s="52">
        <f t="shared" ca="1" si="16"/>
        <v>-7.7859884017598135E-3</v>
      </c>
      <c r="E87" s="53">
        <f t="shared" ca="1" si="14"/>
        <v>-0.90202260065250017</v>
      </c>
      <c r="F87" s="53">
        <f t="shared" ca="1" si="17"/>
        <v>104.10698353382882</v>
      </c>
      <c r="G87" s="52">
        <f t="shared" ca="1" si="11"/>
        <v>5.2066507309013736E-2</v>
      </c>
      <c r="I87" s="44">
        <f t="shared" ca="1" si="12"/>
        <v>8.8792028168971446E-3</v>
      </c>
    </row>
    <row r="88" spans="1:9">
      <c r="A88" s="8">
        <v>0.76</v>
      </c>
      <c r="B88" s="47">
        <f t="shared" ca="1" si="13"/>
        <v>116.14336228287573</v>
      </c>
      <c r="C88" s="44">
        <f t="shared" ca="1" si="15"/>
        <v>0.95532870762901012</v>
      </c>
      <c r="D88" s="52">
        <f t="shared" ca="1" si="16"/>
        <v>5.1656739220434789E-3</v>
      </c>
      <c r="E88" s="53">
        <f t="shared" ca="1" si="14"/>
        <v>0.59995873776309927</v>
      </c>
      <c r="F88" s="53">
        <f t="shared" ca="1" si="17"/>
        <v>104.75900877890093</v>
      </c>
      <c r="G88" s="52">
        <f t="shared" ca="1" si="11"/>
        <v>5.2392601448290922E-2</v>
      </c>
      <c r="I88" s="44">
        <f t="shared" ca="1" si="12"/>
        <v>8.280460345109637E-3</v>
      </c>
    </row>
    <row r="89" spans="1:9">
      <c r="A89" s="8">
        <v>0.77</v>
      </c>
      <c r="B89" s="47">
        <f t="shared" ca="1" si="13"/>
        <v>114.30154683461886</v>
      </c>
      <c r="C89" s="44">
        <f t="shared" ca="1" si="15"/>
        <v>0.94079228418542349</v>
      </c>
      <c r="D89" s="52">
        <f t="shared" ca="1" si="16"/>
        <v>-1.4536423443586632E-2</v>
      </c>
      <c r="E89" s="53">
        <f t="shared" ca="1" si="14"/>
        <v>-1.661535685044969</v>
      </c>
      <c r="F89" s="53">
        <f t="shared" ca="1" si="17"/>
        <v>103.14986569530426</v>
      </c>
      <c r="G89" s="52">
        <f t="shared" ca="1" si="11"/>
        <v>5.158782873007927E-2</v>
      </c>
      <c r="I89" s="44">
        <f t="shared" ca="1" si="12"/>
        <v>1.0752893956798969E-2</v>
      </c>
    </row>
    <row r="90" spans="1:9">
      <c r="A90" s="8">
        <v>0.78</v>
      </c>
      <c r="B90" s="47">
        <f t="shared" ca="1" si="13"/>
        <v>113.26910350307787</v>
      </c>
      <c r="C90" s="44">
        <f t="shared" ca="1" si="15"/>
        <v>0.93219823029804838</v>
      </c>
      <c r="D90" s="52">
        <f t="shared" ca="1" si="16"/>
        <v>-8.5940538873751082E-3</v>
      </c>
      <c r="E90" s="53">
        <f t="shared" ca="1" si="14"/>
        <v>-0.97344077928011985</v>
      </c>
      <c r="F90" s="53">
        <f t="shared" ca="1" si="17"/>
        <v>102.22801274475421</v>
      </c>
      <c r="G90" s="52">
        <f t="shared" ca="1" si="11"/>
        <v>5.1126787003977839E-2</v>
      </c>
      <c r="I90" s="44">
        <f t="shared" ca="1" si="12"/>
        <v>1.2329261453311464E-2</v>
      </c>
    </row>
    <row r="91" spans="1:9">
      <c r="A91" s="8">
        <v>0.79</v>
      </c>
      <c r="B91" s="47">
        <f t="shared" ca="1" si="13"/>
        <v>111.35037511699008</v>
      </c>
      <c r="C91" s="44">
        <f t="shared" ca="1" si="15"/>
        <v>0.90880582016048295</v>
      </c>
      <c r="D91" s="52">
        <f t="shared" ca="1" si="16"/>
        <v>-2.3392410137565434E-2</v>
      </c>
      <c r="E91" s="53">
        <f t="shared" ca="1" si="14"/>
        <v>-2.6047536437083925</v>
      </c>
      <c r="F91" s="53">
        <f t="shared" ca="1" si="17"/>
        <v>99.674385888049798</v>
      </c>
      <c r="G91" s="52">
        <f t="shared" ca="1" si="11"/>
        <v>4.9849654319061555E-2</v>
      </c>
      <c r="I91" s="44">
        <f t="shared" ca="1" si="12"/>
        <v>1.6068628580963987E-2</v>
      </c>
    </row>
    <row r="92" spans="1:9">
      <c r="A92" s="8">
        <v>0.8</v>
      </c>
      <c r="B92" s="47">
        <f t="shared" ca="1" si="13"/>
        <v>115.55271253465713</v>
      </c>
      <c r="C92" s="44">
        <f t="shared" ca="1" si="15"/>
        <v>0.96186223862032771</v>
      </c>
      <c r="D92" s="52">
        <f t="shared" ca="1" si="16"/>
        <v>5.3056418459844767E-2</v>
      </c>
      <c r="E92" s="53">
        <f t="shared" ca="1" si="14"/>
        <v>6.1308130704089185</v>
      </c>
      <c r="F92" s="53">
        <f t="shared" ca="1" si="17"/>
        <v>105.85504861277778</v>
      </c>
      <c r="G92" s="52">
        <f t="shared" ca="1" si="11"/>
        <v>5.2940758393045503E-2</v>
      </c>
      <c r="I92" s="44">
        <f t="shared" ca="1" si="12"/>
        <v>8.0203663030709461E-3</v>
      </c>
    </row>
    <row r="93" spans="1:9">
      <c r="A93" s="8">
        <v>0.81</v>
      </c>
      <c r="B93" s="47">
        <f t="shared" ca="1" si="13"/>
        <v>116.35716472607368</v>
      </c>
      <c r="C93" s="44">
        <f t="shared" ca="1" si="15"/>
        <v>0.97064248113727469</v>
      </c>
      <c r="D93" s="52">
        <f t="shared" ca="1" si="16"/>
        <v>8.7802425169469789E-3</v>
      </c>
      <c r="E93" s="53">
        <f t="shared" ca="1" si="14"/>
        <v>1.0216441248792754</v>
      </c>
      <c r="F93" s="53">
        <f t="shared" ca="1" si="17"/>
        <v>106.9296334960501</v>
      </c>
      <c r="G93" s="52">
        <f t="shared" ca="1" si="11"/>
        <v>5.3478185180181964E-2</v>
      </c>
      <c r="I93" s="44">
        <f t="shared" ca="1" si="12"/>
        <v>6.5883363560854911E-3</v>
      </c>
    </row>
    <row r="94" spans="1:9">
      <c r="A94" s="8">
        <v>0.82</v>
      </c>
      <c r="B94" s="47">
        <f t="shared" ca="1" si="13"/>
        <v>115.76632261835275</v>
      </c>
      <c r="C94" s="44">
        <f t="shared" ca="1" si="15"/>
        <v>0.96952619304573584</v>
      </c>
      <c r="D94" s="52">
        <f t="shared" ca="1" si="16"/>
        <v>-1.1162880915388529E-3</v>
      </c>
      <c r="E94" s="53">
        <f t="shared" ca="1" si="14"/>
        <v>-0.12922856734011212</v>
      </c>
      <c r="F94" s="53">
        <f t="shared" ca="1" si="17"/>
        <v>106.85388311389018</v>
      </c>
      <c r="G94" s="52">
        <f t="shared" ca="1" si="11"/>
        <v>5.3440300518725913E-2</v>
      </c>
      <c r="I94" s="44">
        <f t="shared" ca="1" si="12"/>
        <v>7.0172934698451333E-3</v>
      </c>
    </row>
    <row r="95" spans="1:9">
      <c r="A95" s="8">
        <v>0.83</v>
      </c>
      <c r="B95" s="47">
        <f t="shared" ca="1" si="13"/>
        <v>112.64671934342347</v>
      </c>
      <c r="C95" s="44">
        <f t="shared" ca="1" si="15"/>
        <v>0.94390688778771459</v>
      </c>
      <c r="D95" s="52">
        <f t="shared" ca="1" si="16"/>
        <v>-2.5619305258021252E-2</v>
      </c>
      <c r="E95" s="53">
        <f t="shared" ca="1" si="14"/>
        <v>-2.8859306891738132</v>
      </c>
      <c r="F95" s="53">
        <f t="shared" ca="1" si="17"/>
        <v>104.02139272523509</v>
      </c>
      <c r="G95" s="52">
        <f t="shared" ca="1" si="11"/>
        <v>5.2023701204082437E-2</v>
      </c>
      <c r="I95" s="44">
        <f t="shared" ca="1" si="12"/>
        <v>1.2163031005461055E-2</v>
      </c>
    </row>
    <row r="96" spans="1:9">
      <c r="A96" s="8">
        <v>0.84</v>
      </c>
      <c r="B96" s="47">
        <f t="shared" ca="1" si="13"/>
        <v>114.71358046332448</v>
      </c>
      <c r="C96" s="44">
        <f t="shared" ca="1" si="15"/>
        <v>0.96826279718491315</v>
      </c>
      <c r="D96" s="52">
        <f t="shared" ca="1" si="16"/>
        <v>2.4355909397198561E-2</v>
      </c>
      <c r="E96" s="53">
        <f t="shared" ca="1" si="14"/>
        <v>2.793953572392978</v>
      </c>
      <c r="F96" s="53">
        <f t="shared" ca="1" si="17"/>
        <v>106.86736999883215</v>
      </c>
      <c r="G96" s="52">
        <f t="shared" ca="1" si="11"/>
        <v>5.3447045647338522E-2</v>
      </c>
      <c r="I96" s="44">
        <f t="shared" ca="1" si="12"/>
        <v>7.7679944131215208E-3</v>
      </c>
    </row>
    <row r="97" spans="1:9">
      <c r="A97" s="8">
        <v>0.85</v>
      </c>
      <c r="B97" s="47">
        <f t="shared" ca="1" si="13"/>
        <v>114.09113741429013</v>
      </c>
      <c r="C97" s="44">
        <f t="shared" ca="1" si="15"/>
        <v>0.96692748459329625</v>
      </c>
      <c r="D97" s="52">
        <f t="shared" ca="1" si="16"/>
        <v>-1.3353125916168995E-3</v>
      </c>
      <c r="E97" s="53">
        <f t="shared" ca="1" si="14"/>
        <v>-0.15234733238119558</v>
      </c>
      <c r="F97" s="53">
        <f t="shared" ca="1" si="17"/>
        <v>106.76846971209828</v>
      </c>
      <c r="G97" s="52">
        <f t="shared" ca="1" si="11"/>
        <v>5.3397583139375079E-2</v>
      </c>
      <c r="I97" s="44">
        <f t="shared" ca="1" si="12"/>
        <v>8.345533524550492E-3</v>
      </c>
    </row>
    <row r="98" spans="1:9">
      <c r="A98" s="8">
        <v>0.86</v>
      </c>
      <c r="B98" s="47">
        <f t="shared" ca="1" si="13"/>
        <v>111.99114707250482</v>
      </c>
      <c r="C98" s="44">
        <f t="shared" ca="1" si="15"/>
        <v>0.94994495040956606</v>
      </c>
      <c r="D98" s="52">
        <f t="shared" ca="1" si="16"/>
        <v>-1.6982534183730191E-2</v>
      </c>
      <c r="E98" s="53">
        <f t="shared" ca="1" si="14"/>
        <v>-1.9018934834339685</v>
      </c>
      <c r="F98" s="53">
        <f t="shared" ca="1" si="17"/>
        <v>104.91997381180369</v>
      </c>
      <c r="G98" s="52">
        <f t="shared" ca="1" si="11"/>
        <v>5.2473104088725256E-2</v>
      </c>
      <c r="I98" s="44">
        <f t="shared" ca="1" si="12"/>
        <v>1.2317206804639857E-2</v>
      </c>
    </row>
    <row r="99" spans="1:9">
      <c r="A99" s="8">
        <v>0.87</v>
      </c>
      <c r="B99" s="47">
        <f t="shared" ca="1" si="13"/>
        <v>109.22856955418818</v>
      </c>
      <c r="C99" s="44">
        <f t="shared" ca="1" si="15"/>
        <v>0.91154216789068998</v>
      </c>
      <c r="D99" s="52">
        <f t="shared" ca="1" si="16"/>
        <v>-3.8402782518876077E-2</v>
      </c>
      <c r="E99" s="53">
        <f t="shared" ca="1" si="14"/>
        <v>-4.1946810014374174</v>
      </c>
      <c r="F99" s="53">
        <f t="shared" ca="1" si="17"/>
        <v>100.77776591445499</v>
      </c>
      <c r="G99" s="52">
        <f t="shared" ca="1" si="11"/>
        <v>5.0401482277757315E-2</v>
      </c>
      <c r="I99" s="44">
        <f t="shared" ca="1" si="12"/>
        <v>2.0353432425973286E-2</v>
      </c>
    </row>
    <row r="100" spans="1:9">
      <c r="A100" s="8">
        <v>0.88</v>
      </c>
      <c r="B100" s="47">
        <f t="shared" ca="1" si="13"/>
        <v>108.65061075124504</v>
      </c>
      <c r="C100" s="44">
        <f t="shared" ca="1" si="15"/>
        <v>0.90637711137658439</v>
      </c>
      <c r="D100" s="52">
        <f t="shared" ca="1" si="16"/>
        <v>-5.1650565141055926E-3</v>
      </c>
      <c r="E100" s="53">
        <f t="shared" ca="1" si="14"/>
        <v>-0.56118654482226937</v>
      </c>
      <c r="F100" s="53">
        <f t="shared" ca="1" si="17"/>
        <v>100.26698085191049</v>
      </c>
      <c r="G100" s="52">
        <f t="shared" ca="1" si="11"/>
        <v>5.0146025887709604E-2</v>
      </c>
      <c r="I100" s="44">
        <f t="shared" ca="1" si="12"/>
        <v>2.2212839985070482E-2</v>
      </c>
    </row>
    <row r="101" spans="1:9">
      <c r="A101" s="8">
        <v>0.89</v>
      </c>
      <c r="B101" s="47">
        <f t="shared" ca="1" si="13"/>
        <v>106.06435620431384</v>
      </c>
      <c r="C101" s="44">
        <f t="shared" ca="1" si="15"/>
        <v>0.84223085657518071</v>
      </c>
      <c r="D101" s="52">
        <f t="shared" ca="1" si="16"/>
        <v>-6.4146254801403679E-2</v>
      </c>
      <c r="E101" s="53">
        <f t="shared" ca="1" si="14"/>
        <v>-6.8036312184287571</v>
      </c>
      <c r="F101" s="53">
        <f t="shared" ca="1" si="17"/>
        <v>93.51349565936944</v>
      </c>
      <c r="G101" s="52">
        <f t="shared" ca="1" si="11"/>
        <v>4.6768438965075404E-2</v>
      </c>
      <c r="I101" s="44">
        <f t="shared" ca="1" si="12"/>
        <v>3.4266579747536406E-2</v>
      </c>
    </row>
    <row r="102" spans="1:9">
      <c r="A102" s="8">
        <v>0.9</v>
      </c>
      <c r="B102" s="47">
        <f t="shared" ca="1" si="13"/>
        <v>108.25285017453149</v>
      </c>
      <c r="C102" s="44">
        <f t="shared" ca="1" si="15"/>
        <v>0.91379718301823587</v>
      </c>
      <c r="D102" s="52">
        <f t="shared" ca="1" si="16"/>
        <v>7.1566326443055162E-2</v>
      </c>
      <c r="E102" s="53">
        <f t="shared" ca="1" si="14"/>
        <v>7.7472588139816612</v>
      </c>
      <c r="F102" s="53">
        <f t="shared" ca="1" si="17"/>
        <v>101.30752291231617</v>
      </c>
      <c r="G102" s="52">
        <f t="shared" ca="1" si="11"/>
        <v>5.0666427007350578E-2</v>
      </c>
      <c r="I102" s="44">
        <f t="shared" ca="1" si="12"/>
        <v>2.2968571767588212E-2</v>
      </c>
    </row>
    <row r="103" spans="1:9">
      <c r="A103" s="8">
        <v>0.91</v>
      </c>
      <c r="B103" s="47">
        <f t="shared" ca="1" si="13"/>
        <v>107.01846602727706</v>
      </c>
      <c r="C103" s="44">
        <f t="shared" ca="1" si="15"/>
        <v>0.89168145673888799</v>
      </c>
      <c r="D103" s="52">
        <f t="shared" ca="1" si="16"/>
        <v>-2.211572627934788E-2</v>
      </c>
      <c r="E103" s="53">
        <f t="shared" ca="1" si="14"/>
        <v>-2.3667911014949494</v>
      </c>
      <c r="F103" s="53">
        <f t="shared" ca="1" si="17"/>
        <v>98.991398237828577</v>
      </c>
      <c r="G103" s="52">
        <f t="shared" ca="1" si="11"/>
        <v>4.9508075106264038E-2</v>
      </c>
      <c r="I103" s="44">
        <f t="shared" ca="1" si="12"/>
        <v>2.8961604302923605E-2</v>
      </c>
    </row>
    <row r="104" spans="1:9">
      <c r="A104" s="8">
        <v>0.92</v>
      </c>
      <c r="B104" s="47">
        <f t="shared" ca="1" si="13"/>
        <v>108.15744209162706</v>
      </c>
      <c r="C104" s="44">
        <f t="shared" ca="1" si="15"/>
        <v>0.93125963839001258</v>
      </c>
      <c r="D104" s="52">
        <f t="shared" ca="1" si="16"/>
        <v>3.9578181651124589E-2</v>
      </c>
      <c r="E104" s="53">
        <f t="shared" ca="1" si="14"/>
        <v>4.2806748900234046</v>
      </c>
      <c r="F104" s="53">
        <f t="shared" ca="1" si="17"/>
        <v>103.32158120295824</v>
      </c>
      <c r="G104" s="52">
        <f t="shared" ca="1" si="11"/>
        <v>5.1673707951922561E-2</v>
      </c>
      <c r="I104" s="44">
        <f t="shared" ca="1" si="12"/>
        <v>2.1640451929383544E-2</v>
      </c>
    </row>
    <row r="105" spans="1:9">
      <c r="A105" s="8">
        <v>0.93</v>
      </c>
      <c r="B105" s="47">
        <f t="shared" ca="1" si="13"/>
        <v>106.20760337292273</v>
      </c>
      <c r="C105" s="44">
        <f t="shared" ca="1" si="15"/>
        <v>0.89079296934913965</v>
      </c>
      <c r="D105" s="52">
        <f t="shared" ca="1" si="16"/>
        <v>-4.0466669040872927E-2</v>
      </c>
      <c r="E105" s="53">
        <f t="shared" ca="1" si="14"/>
        <v>-4.2978679353163631</v>
      </c>
      <c r="F105" s="53">
        <f t="shared" ca="1" si="17"/>
        <v>99.075386975593801</v>
      </c>
      <c r="G105" s="52">
        <f t="shared" ca="1" si="11"/>
        <v>4.9550079975488846E-2</v>
      </c>
      <c r="I105" s="44">
        <f t="shared" ca="1" si="12"/>
        <v>3.3285043157441616E-2</v>
      </c>
    </row>
    <row r="106" spans="1:9">
      <c r="A106" s="8">
        <v>0.94</v>
      </c>
      <c r="B106" s="47">
        <f t="shared" ca="1" si="13"/>
        <v>106.56716842449723</v>
      </c>
      <c r="C106" s="44">
        <f t="shared" ca="1" si="15"/>
        <v>0.91683138480010784</v>
      </c>
      <c r="D106" s="52">
        <f t="shared" ca="1" si="16"/>
        <v>2.6038415450968189E-2</v>
      </c>
      <c r="E106" s="53">
        <f t="shared" ca="1" si="14"/>
        <v>2.7748402048703578</v>
      </c>
      <c r="F106" s="53">
        <f t="shared" ca="1" si="17"/>
        <v>101.89977726043965</v>
      </c>
      <c r="G106" s="52">
        <f t="shared" ca="1" si="11"/>
        <v>5.0962628225545953E-2</v>
      </c>
      <c r="I106" s="44">
        <f t="shared" ca="1" si="12"/>
        <v>2.9322645658853553E-2</v>
      </c>
    </row>
    <row r="107" spans="1:9">
      <c r="A107" s="8">
        <v>0.95</v>
      </c>
      <c r="B107" s="47">
        <f t="shared" ca="1" si="13"/>
        <v>106.73508161329458</v>
      </c>
      <c r="C107" s="44">
        <f t="shared" ca="1" si="15"/>
        <v>0.93769705031936856</v>
      </c>
      <c r="D107" s="52">
        <f t="shared" ca="1" si="16"/>
        <v>2.0865665519260723E-2</v>
      </c>
      <c r="E107" s="53">
        <f t="shared" ca="1" si="14"/>
        <v>2.2270985121139999</v>
      </c>
      <c r="F107" s="53">
        <f t="shared" ca="1" si="17"/>
        <v>104.17783840077919</v>
      </c>
      <c r="G107" s="52">
        <f t="shared" ca="1" si="11"/>
        <v>5.2101943600823611E-2</v>
      </c>
      <c r="I107" s="44">
        <f t="shared" ca="1" si="12"/>
        <v>2.5701398827412483E-2</v>
      </c>
    </row>
    <row r="108" spans="1:9">
      <c r="A108" s="8">
        <v>0.96</v>
      </c>
      <c r="B108" s="47">
        <f t="shared" ca="1" si="13"/>
        <v>103.15456101021221</v>
      </c>
      <c r="C108" s="44">
        <f t="shared" ca="1" si="15"/>
        <v>0.8013510536798728</v>
      </c>
      <c r="D108" s="52">
        <f t="shared" ca="1" si="16"/>
        <v>-0.13634599663949576</v>
      </c>
      <c r="E108" s="53">
        <f t="shared" ca="1" si="14"/>
        <v>-14.064711428847053</v>
      </c>
      <c r="F108" s="53">
        <f t="shared" ca="1" si="17"/>
        <v>90.165228915532964</v>
      </c>
      <c r="G108" s="52">
        <f t="shared" ref="G108:G112" ca="1" si="18">F108*(EXP(DH_Rate*DH_dt)-1)</f>
        <v>4.5093886990050194E-2</v>
      </c>
      <c r="I108" s="44">
        <f t="shared" ca="1" si="12"/>
        <v>6.7573751254083186E-2</v>
      </c>
    </row>
    <row r="109" spans="1:9">
      <c r="A109" s="8">
        <v>0.97</v>
      </c>
      <c r="B109" s="47">
        <f t="shared" ca="1" si="13"/>
        <v>104.24830850126649</v>
      </c>
      <c r="C109" s="44">
        <f t="shared" ca="1" si="15"/>
        <v>0.8964657309516243</v>
      </c>
      <c r="D109" s="52">
        <f t="shared" ca="1" si="16"/>
        <v>9.5114677271751491E-2</v>
      </c>
      <c r="E109" s="53">
        <f t="shared" ca="1" si="14"/>
        <v>9.9155442192239498</v>
      </c>
      <c r="F109" s="53">
        <f t="shared" ca="1" si="17"/>
        <v>100.12586702174696</v>
      </c>
      <c r="G109" s="52">
        <f t="shared" ca="1" si="18"/>
        <v>5.0075451330458841E-2</v>
      </c>
      <c r="I109" s="44">
        <f t="shared" ca="1" si="12"/>
        <v>4.9841868377272121E-2</v>
      </c>
    </row>
    <row r="110" spans="1:9">
      <c r="A110" s="8">
        <v>0.98</v>
      </c>
      <c r="B110" s="47">
        <f t="shared" ca="1" si="13"/>
        <v>102.43047783373554</v>
      </c>
      <c r="C110" s="44">
        <f t="shared" ca="1" si="15"/>
        <v>0.81554710160070831</v>
      </c>
      <c r="D110" s="52">
        <f t="shared" ca="1" si="16"/>
        <v>-8.0918629350915983E-2</v>
      </c>
      <c r="E110" s="53">
        <f t="shared" ca="1" si="14"/>
        <v>-8.2885338700652618</v>
      </c>
      <c r="F110" s="53">
        <f t="shared" ca="1" si="17"/>
        <v>91.887408603012148</v>
      </c>
      <c r="G110" s="52">
        <f t="shared" ca="1" si="18"/>
        <v>4.5955192142133804E-2</v>
      </c>
      <c r="I110" s="44">
        <f t="shared" ca="1" si="12"/>
        <v>9.1965040764242126E-2</v>
      </c>
    </row>
    <row r="111" spans="1:9">
      <c r="A111" s="8">
        <v>0.99</v>
      </c>
      <c r="B111" s="47">
        <f t="shared" ca="1" si="13"/>
        <v>102.3237312231069</v>
      </c>
      <c r="C111" s="44">
        <f t="shared" ca="1" si="15"/>
        <v>0.88170864371946178</v>
      </c>
      <c r="D111" s="52">
        <f t="shared" ca="1" si="16"/>
        <v>6.6161542118753469E-2</v>
      </c>
      <c r="E111" s="53">
        <f t="shared" ca="1" si="14"/>
        <v>6.7698958530655968</v>
      </c>
      <c r="F111" s="53">
        <f t="shared" ca="1" si="17"/>
        <v>98.70325964821987</v>
      </c>
      <c r="G111" s="52">
        <f t="shared" ca="1" si="18"/>
        <v>4.9363969788132372E-2</v>
      </c>
      <c r="I111" s="44">
        <f t="shared" ca="1" si="12"/>
        <v>9.6764189704680648E-2</v>
      </c>
    </row>
    <row r="112" spans="1:9">
      <c r="A112" s="8">
        <v>1</v>
      </c>
      <c r="B112" s="47">
        <f t="shared" ca="1" si="13"/>
        <v>100.85743996638755</v>
      </c>
      <c r="C112" s="45">
        <f ca="1">IF(B112&gt;B2,1,0)</f>
        <v>1</v>
      </c>
      <c r="D112" s="52">
        <f ca="1">(C112-C111)*$B$6</f>
        <v>0.11829135628053822</v>
      </c>
      <c r="E112" s="53">
        <f t="shared" ca="1" si="14"/>
        <v>11.930563364606943</v>
      </c>
      <c r="F112" s="53">
        <f t="shared" ca="1" si="17"/>
        <v>110.68318698261494</v>
      </c>
      <c r="G112" s="52">
        <f t="shared" ca="1" si="18"/>
        <v>5.5355431195858687E-2</v>
      </c>
      <c r="I112" s="44">
        <f>0</f>
        <v>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11"/>
  <sheetViews>
    <sheetView zoomScale="77" zoomScaleNormal="134" zoomScalePageLayoutView="134" workbookViewId="0">
      <selection activeCell="E14" sqref="E14"/>
    </sheetView>
  </sheetViews>
  <sheetFormatPr defaultColWidth="8.85546875" defaultRowHeight="12.75"/>
  <cols>
    <col min="1" max="1" width="12.85546875" style="8" bestFit="1" customWidth="1"/>
    <col min="2" max="2" width="12" style="8" bestFit="1" customWidth="1"/>
    <col min="3" max="3" width="9.28515625" style="8" customWidth="1"/>
    <col min="4" max="4" width="13.28515625" style="8" customWidth="1"/>
    <col min="5" max="5" width="10.42578125" style="8" customWidth="1"/>
    <col min="6" max="6" width="9.7109375" style="8" customWidth="1"/>
    <col min="7" max="7" width="11" style="8" customWidth="1"/>
    <col min="8" max="9" width="8.85546875" style="8"/>
    <col min="10" max="10" width="12.42578125" style="8" customWidth="1"/>
    <col min="11" max="17" width="8.85546875" style="8"/>
    <col min="18" max="18" width="12.42578125" style="9" customWidth="1"/>
    <col min="19" max="19" width="9" style="8" customWidth="1"/>
    <col min="20" max="20" width="11.42578125" style="9" customWidth="1"/>
    <col min="21" max="16384" width="8.85546875" style="8"/>
  </cols>
  <sheetData>
    <row r="1" spans="1:27">
      <c r="A1" s="14" t="s">
        <v>27</v>
      </c>
      <c r="B1" s="22">
        <v>100</v>
      </c>
      <c r="D1" s="14" t="s">
        <v>64</v>
      </c>
      <c r="E1" s="23">
        <v>0.35</v>
      </c>
      <c r="G1" s="10" t="s">
        <v>61</v>
      </c>
      <c r="H1" s="48">
        <f>CallOption(B1,Vol_a,0,PL_r,PL_K,PL_T)</f>
        <v>14.766783224409622</v>
      </c>
      <c r="I1" s="19" t="s">
        <v>96</v>
      </c>
      <c r="K1" s="24" t="s">
        <v>43</v>
      </c>
      <c r="P1" s="21" t="s">
        <v>71</v>
      </c>
      <c r="Q1" s="8">
        <v>1E-3</v>
      </c>
    </row>
    <row r="2" spans="1:27">
      <c r="A2" s="14" t="s">
        <v>28</v>
      </c>
      <c r="B2" s="42">
        <v>0.02</v>
      </c>
      <c r="D2" s="14" t="s">
        <v>65</v>
      </c>
      <c r="E2" s="23">
        <v>0.2</v>
      </c>
      <c r="G2" s="10" t="s">
        <v>62</v>
      </c>
      <c r="H2" s="48">
        <f>CallOption(B1,Vol_i,0,PL_r, PL_K,PL_T)</f>
        <v>8.9160351198191705</v>
      </c>
      <c r="I2" s="19" t="s">
        <v>97</v>
      </c>
      <c r="P2" s="21" t="s">
        <v>72</v>
      </c>
      <c r="Q2" s="8">
        <v>0.999</v>
      </c>
    </row>
    <row r="3" spans="1:27">
      <c r="A3" s="14" t="s">
        <v>29</v>
      </c>
      <c r="B3" s="22">
        <v>100</v>
      </c>
      <c r="G3" s="10" t="s">
        <v>33</v>
      </c>
      <c r="H3" s="49">
        <f>H1-H2</f>
        <v>5.8507481045904512</v>
      </c>
      <c r="I3" s="19" t="s">
        <v>98</v>
      </c>
      <c r="K3" s="21" t="s">
        <v>66</v>
      </c>
    </row>
    <row r="4" spans="1:27" ht="15">
      <c r="A4" s="14" t="s">
        <v>30</v>
      </c>
      <c r="B4" s="41">
        <v>1</v>
      </c>
      <c r="C4" s="21"/>
      <c r="H4" s="44"/>
      <c r="T4" s="11" t="s">
        <v>59</v>
      </c>
      <c r="U4" s="49">
        <f>SUM(U11:U211)</f>
        <v>4.6647552808996124</v>
      </c>
      <c r="Y4" s="51" t="s">
        <v>92</v>
      </c>
    </row>
    <row r="5" spans="1:27">
      <c r="G5" s="11" t="s">
        <v>34</v>
      </c>
      <c r="H5" s="49">
        <f>EXP(-PL_r*PL_T)*G211</f>
        <v>4.7253287979829457</v>
      </c>
    </row>
    <row r="6" spans="1:27" ht="15">
      <c r="A6" s="11" t="s">
        <v>31</v>
      </c>
      <c r="B6" s="12">
        <v>5.0000000000000001E-3</v>
      </c>
      <c r="D6" s="11" t="s">
        <v>53</v>
      </c>
      <c r="E6" s="20">
        <v>0.2</v>
      </c>
      <c r="K6" s="57" t="s">
        <v>99</v>
      </c>
      <c r="L6" s="59"/>
      <c r="M6" s="59"/>
      <c r="N6" s="59"/>
      <c r="O6" s="60"/>
      <c r="P6" s="60"/>
      <c r="Y6" s="51" t="s">
        <v>95</v>
      </c>
    </row>
    <row r="7" spans="1:27">
      <c r="D7" s="25" t="s">
        <v>55</v>
      </c>
      <c r="K7" s="59"/>
      <c r="L7" s="59"/>
      <c r="M7" s="59"/>
      <c r="N7" s="59"/>
      <c r="O7" s="60"/>
      <c r="P7" s="60"/>
      <c r="Y7" s="57" t="s">
        <v>94</v>
      </c>
    </row>
    <row r="8" spans="1:27">
      <c r="D8" s="13"/>
    </row>
    <row r="9" spans="1:27" ht="15">
      <c r="B9" s="8" t="s">
        <v>23</v>
      </c>
      <c r="C9" s="8" t="s">
        <v>41</v>
      </c>
      <c r="D9" s="8" t="s">
        <v>20</v>
      </c>
      <c r="E9" s="8" t="s">
        <v>54</v>
      </c>
      <c r="G9" s="8" t="s">
        <v>44</v>
      </c>
      <c r="J9" s="8" t="s">
        <v>40</v>
      </c>
      <c r="Y9" s="51" t="s">
        <v>91</v>
      </c>
    </row>
    <row r="10" spans="1:27" ht="38.25">
      <c r="A10" s="15" t="s">
        <v>32</v>
      </c>
      <c r="B10" s="16" t="s">
        <v>38</v>
      </c>
      <c r="C10" s="16" t="s">
        <v>39</v>
      </c>
      <c r="D10" s="16" t="s">
        <v>63</v>
      </c>
      <c r="E10" s="16" t="s">
        <v>42</v>
      </c>
      <c r="F10" s="16" t="s">
        <v>69</v>
      </c>
      <c r="G10" s="16" t="s">
        <v>67</v>
      </c>
      <c r="J10" s="16" t="s">
        <v>68</v>
      </c>
      <c r="K10" s="46"/>
      <c r="Q10" s="16" t="s">
        <v>74</v>
      </c>
      <c r="R10" s="50" t="s">
        <v>25</v>
      </c>
      <c r="S10" s="16" t="s">
        <v>93</v>
      </c>
      <c r="T10" s="50" t="s">
        <v>100</v>
      </c>
      <c r="V10" s="16" t="s">
        <v>75</v>
      </c>
      <c r="Y10" s="8" t="s">
        <v>102</v>
      </c>
      <c r="Z10" s="8" t="s">
        <v>103</v>
      </c>
    </row>
    <row r="11" spans="1:27">
      <c r="A11" s="8">
        <v>0</v>
      </c>
      <c r="B11" s="47">
        <v>100</v>
      </c>
      <c r="C11" s="47">
        <f t="shared" ref="C11:C74" si="0">CallOption(B11,Vol_i,0,PL_r, PL_K,PL_T-A11)</f>
        <v>8.9160351198191705</v>
      </c>
      <c r="D11" s="44">
        <f t="shared" ref="D11:D42" si="1">CallDelta(B11,$E$6,0,PL_r, PL_K, PL_T-A11)</f>
        <v>0.57925968418588936</v>
      </c>
      <c r="E11" s="47">
        <f>V_0-Delta_0*S_0</f>
        <v>-49.009933298769766</v>
      </c>
      <c r="F11" s="47">
        <f>-E11</f>
        <v>49.009933298769766</v>
      </c>
      <c r="G11" s="47">
        <f t="shared" ref="G11:G42" si="2">F11+E11</f>
        <v>0</v>
      </c>
      <c r="J11" s="47">
        <v>0</v>
      </c>
      <c r="Q11" s="8">
        <f t="shared" ref="Q11:Q42" si="3">PL_K</f>
        <v>100</v>
      </c>
      <c r="R11" s="9">
        <f t="shared" ref="R11:R42" si="4">CallGamma(B11,$E$6,0,PL_r, PL_K, PL_T-A11)</f>
        <v>1.9552134865534521E-2</v>
      </c>
      <c r="V11" s="47"/>
    </row>
    <row r="12" spans="1:27">
      <c r="A12" s="8">
        <f t="shared" ref="A12:A43" si="5">A11+dt</f>
        <v>5.0000000000000001E-3</v>
      </c>
      <c r="B12" s="47">
        <f>B11*EXP((PL_r-0.5*Vol_a^2)*dt+Vol_a*SQRT(dt)*bs!A2)</f>
        <v>106.05913065497754</v>
      </c>
      <c r="C12" s="47">
        <f t="shared" si="0"/>
        <v>12.743663999281637</v>
      </c>
      <c r="D12" s="44">
        <f t="shared" si="1"/>
        <v>0.68947770048375423</v>
      </c>
      <c r="E12" s="47">
        <f>C12-D12*B12</f>
        <v>-60.381741520018323</v>
      </c>
      <c r="F12" s="47">
        <f>J12+F11*EXP(PL_r*dt)</f>
        <v>60.704461528225181</v>
      </c>
      <c r="G12" s="47">
        <f t="shared" si="2"/>
        <v>0.32272000820685776</v>
      </c>
      <c r="H12" s="44">
        <f>C12-V_0</f>
        <v>3.8276288794624662</v>
      </c>
      <c r="I12" s="44">
        <f>(B12-S_0)*Delta_0</f>
        <v>3.509810109643329</v>
      </c>
      <c r="J12" s="47">
        <f>(D12-D11)*B12</f>
        <v>11.689626991067694</v>
      </c>
      <c r="K12" s="21" t="s">
        <v>70</v>
      </c>
      <c r="Q12" s="8">
        <f t="shared" si="3"/>
        <v>100</v>
      </c>
      <c r="R12" s="9">
        <f t="shared" si="4"/>
        <v>1.6685884238364358E-2</v>
      </c>
      <c r="S12" s="8">
        <f t="shared" ref="S12:S43" si="6">IF(V12^2 &lt; ($E$6^2*dt), -1, 1)</f>
        <v>1</v>
      </c>
      <c r="T12" s="9">
        <f t="shared" ref="T12:T43" si="7">0.5*R12*(B12^2)*(V12^2-$E$6^2*dt)</f>
        <v>0.32576791572643132</v>
      </c>
      <c r="U12" s="9">
        <f t="shared" ref="U12:U43" si="8">T12*EXP(-PL_r*A12)</f>
        <v>0.32573534056364395</v>
      </c>
      <c r="V12" s="9">
        <f>(B12-B11)/B11</f>
        <v>6.0591306549775369E-2</v>
      </c>
      <c r="Y12" s="47">
        <f>C12-V_0</f>
        <v>3.8276288794624662</v>
      </c>
      <c r="Z12" s="8">
        <f>(B12-S_0)*Delta_0</f>
        <v>3.509810109643329</v>
      </c>
      <c r="AA12" s="47">
        <f>Y12-Z12</f>
        <v>0.31781876981913726</v>
      </c>
    </row>
    <row r="13" spans="1:27">
      <c r="A13" s="8">
        <f t="shared" si="5"/>
        <v>0.01</v>
      </c>
      <c r="B13" s="47">
        <f>B12*EXP((PL_r-0.5*Vol_a^2)*dt+Vol_a*SQRT(dt)*bs!A3)</f>
        <v>108.86133945698943</v>
      </c>
      <c r="C13" s="47">
        <f t="shared" si="0"/>
        <v>14.714757046600013</v>
      </c>
      <c r="D13" s="44">
        <f t="shared" si="1"/>
        <v>0.73423107722803849</v>
      </c>
      <c r="E13" s="47">
        <f t="shared" ref="E13:E75" si="9">C13-D13*B13</f>
        <v>-65.214621491392506</v>
      </c>
      <c r="F13" s="47">
        <f t="shared" ref="F13:F43" si="10">J13+F12*EXP(PL_r*dt)</f>
        <v>65.582444815516496</v>
      </c>
      <c r="G13" s="47">
        <f t="shared" si="2"/>
        <v>0.36782332412398944</v>
      </c>
      <c r="H13" s="44"/>
      <c r="I13" s="44"/>
      <c r="J13" s="47">
        <f t="shared" ref="J13:J43" si="11">(D13-D12)*B13</f>
        <v>4.8719125376060646</v>
      </c>
      <c r="Q13" s="8">
        <f t="shared" si="3"/>
        <v>100</v>
      </c>
      <c r="R13" s="9">
        <f t="shared" si="4"/>
        <v>1.5142110677592498E-2</v>
      </c>
      <c r="S13" s="8">
        <f t="shared" si="6"/>
        <v>1</v>
      </c>
      <c r="T13" s="9">
        <f t="shared" si="7"/>
        <v>4.4689181518759308E-2</v>
      </c>
      <c r="U13" s="9">
        <f t="shared" si="8"/>
        <v>4.4680244576179605E-2</v>
      </c>
      <c r="V13" s="9">
        <f t="shared" ref="V13:V76" si="12">(B13-B12)/B12</f>
        <v>2.6421193391899422E-2</v>
      </c>
      <c r="Y13" s="47">
        <f>C13-C12</f>
        <v>1.9710930473183765</v>
      </c>
      <c r="Z13" s="8">
        <f>(B13-B12)*Delta_0</f>
        <v>1.6232065856763267</v>
      </c>
      <c r="AA13" s="47">
        <f t="shared" ref="AA13:AA14" si="13">Y13-Z13</f>
        <v>0.34788646164204984</v>
      </c>
    </row>
    <row r="14" spans="1:27">
      <c r="A14" s="8">
        <f t="shared" si="5"/>
        <v>1.4999999999999999E-2</v>
      </c>
      <c r="B14" s="47">
        <f>B13*EXP((PL_r-0.5*Vol_a^2)*dt+Vol_a*SQRT(dt)*bs!A4)</f>
        <v>106.71915066947629</v>
      </c>
      <c r="C14" s="47">
        <f t="shared" si="0"/>
        <v>13.152762200600414</v>
      </c>
      <c r="D14" s="44">
        <f t="shared" si="1"/>
        <v>0.7005951500281159</v>
      </c>
      <c r="E14" s="47">
        <f t="shared" si="9"/>
        <v>-61.614157173554439</v>
      </c>
      <c r="F14" s="47">
        <f t="shared" si="10"/>
        <v>61.999405805165132</v>
      </c>
      <c r="G14" s="47">
        <f t="shared" si="2"/>
        <v>0.38524863161069334</v>
      </c>
      <c r="H14" s="44"/>
      <c r="I14" s="44"/>
      <c r="J14" s="47">
        <f t="shared" si="11"/>
        <v>-3.5895975827560744</v>
      </c>
      <c r="K14" s="14" t="s">
        <v>73</v>
      </c>
      <c r="Q14" s="8">
        <f t="shared" si="3"/>
        <v>100</v>
      </c>
      <c r="R14" s="9">
        <f t="shared" si="4"/>
        <v>1.6398886676111817E-2</v>
      </c>
      <c r="S14" s="8">
        <f t="shared" si="6"/>
        <v>1</v>
      </c>
      <c r="T14" s="9">
        <f t="shared" si="7"/>
        <v>1.7484078526353062E-2</v>
      </c>
      <c r="U14" s="9">
        <f t="shared" si="8"/>
        <v>1.7478834089500017E-2</v>
      </c>
      <c r="V14" s="9">
        <f t="shared" si="12"/>
        <v>-1.967814100210941E-2</v>
      </c>
      <c r="Y14" s="47">
        <f>C14-C13</f>
        <v>-1.5619948459995996</v>
      </c>
      <c r="Z14" s="8">
        <f>(B14-B13)*Delta_0</f>
        <v>-1.2408836005214117</v>
      </c>
      <c r="AA14" s="47">
        <f t="shared" si="13"/>
        <v>-0.32111124547818792</v>
      </c>
    </row>
    <row r="15" spans="1:27">
      <c r="A15" s="8">
        <f t="shared" si="5"/>
        <v>0.02</v>
      </c>
      <c r="B15" s="47">
        <f>B14*EXP((PL_r-0.5*Vol_a^2)*dt+Vol_a*SQRT(dt)*bs!A5)</f>
        <v>107.10219052214622</v>
      </c>
      <c r="C15" s="47">
        <f t="shared" si="0"/>
        <v>13.3975012506843</v>
      </c>
      <c r="D15" s="44">
        <f t="shared" si="1"/>
        <v>0.7069647575057062</v>
      </c>
      <c r="E15" s="47">
        <f t="shared" si="9"/>
        <v>-62.319972900134744</v>
      </c>
      <c r="F15" s="47">
        <f t="shared" si="10"/>
        <v>62.687804969369175</v>
      </c>
      <c r="G15" s="47">
        <f t="shared" si="2"/>
        <v>0.36783206923443146</v>
      </c>
      <c r="H15" s="44"/>
      <c r="I15" s="44"/>
      <c r="J15" s="47">
        <f t="shared" si="11"/>
        <v>0.68219891361616347</v>
      </c>
      <c r="Q15" s="8">
        <f t="shared" si="3"/>
        <v>100</v>
      </c>
      <c r="R15" s="9">
        <f t="shared" si="4"/>
        <v>1.6221072458388282E-2</v>
      </c>
      <c r="S15" s="8">
        <f t="shared" si="6"/>
        <v>-1</v>
      </c>
      <c r="T15" s="9">
        <f t="shared" si="7"/>
        <v>-1.740846471965497E-2</v>
      </c>
      <c r="U15" s="9">
        <f t="shared" si="8"/>
        <v>-1.7401502726258615E-2</v>
      </c>
      <c r="V15" s="9">
        <f t="shared" si="12"/>
        <v>3.5892325816595993E-3</v>
      </c>
    </row>
    <row r="16" spans="1:27">
      <c r="A16" s="8">
        <f t="shared" si="5"/>
        <v>2.5000000000000001E-2</v>
      </c>
      <c r="B16" s="47">
        <f>B15*EXP((PL_r-0.5*Vol_a^2)*dt+Vol_a*SQRT(dt)*bs!A6)</f>
        <v>107.2345641331967</v>
      </c>
      <c r="C16" s="47">
        <f t="shared" si="0"/>
        <v>13.466381734363367</v>
      </c>
      <c r="D16" s="44">
        <f t="shared" si="1"/>
        <v>0.70924333927563821</v>
      </c>
      <c r="E16" s="47">
        <f t="shared" si="9"/>
        <v>-62.589018617232639</v>
      </c>
      <c r="F16" s="47">
        <f t="shared" si="10"/>
        <v>62.938416786256099</v>
      </c>
      <c r="G16" s="47">
        <f t="shared" si="2"/>
        <v>0.3493981690234591</v>
      </c>
      <c r="H16" s="44"/>
      <c r="I16" s="44"/>
      <c r="J16" s="47">
        <f t="shared" si="11"/>
        <v>0.24434272294050685</v>
      </c>
      <c r="Q16" s="8">
        <f t="shared" si="3"/>
        <v>100</v>
      </c>
      <c r="R16" s="9">
        <f t="shared" si="4"/>
        <v>1.6183589556083962E-2</v>
      </c>
      <c r="S16" s="8">
        <f t="shared" si="6"/>
        <v>-1</v>
      </c>
      <c r="T16" s="9">
        <f t="shared" si="7"/>
        <v>-1.8467775651053082E-2</v>
      </c>
      <c r="U16" s="9">
        <f t="shared" si="8"/>
        <v>-1.8458544071314816E-2</v>
      </c>
      <c r="V16" s="9">
        <f t="shared" si="12"/>
        <v>1.2359561499641855E-3</v>
      </c>
    </row>
    <row r="17" spans="1:22">
      <c r="A17" s="8">
        <f t="shared" si="5"/>
        <v>3.0000000000000002E-2</v>
      </c>
      <c r="B17" s="47">
        <f>B16*EXP((PL_r-0.5*Vol_a^2)*dt+Vol_a*SQRT(dt)*bs!A7)</f>
        <v>108.71789023449425</v>
      </c>
      <c r="C17" s="47">
        <f t="shared" si="0"/>
        <v>14.511264921242216</v>
      </c>
      <c r="D17" s="44">
        <f t="shared" si="1"/>
        <v>0.73280606305469664</v>
      </c>
      <c r="E17" s="47">
        <f t="shared" si="9"/>
        <v>-65.157864205110158</v>
      </c>
      <c r="F17" s="47">
        <f t="shared" si="10"/>
        <v>65.506400560074681</v>
      </c>
      <c r="G17" s="47">
        <f t="shared" si="2"/>
        <v>0.34853635496452284</v>
      </c>
      <c r="H17" s="44"/>
      <c r="I17" s="44"/>
      <c r="J17" s="47">
        <f t="shared" si="11"/>
        <v>2.5616896174373824</v>
      </c>
      <c r="Q17" s="8">
        <f t="shared" si="3"/>
        <v>100</v>
      </c>
      <c r="R17" s="9">
        <f t="shared" si="4"/>
        <v>1.5359091659518513E-2</v>
      </c>
      <c r="S17" s="8">
        <f t="shared" si="6"/>
        <v>-1</v>
      </c>
      <c r="T17" s="9">
        <f t="shared" si="7"/>
        <v>-7.8614250106151247E-4</v>
      </c>
      <c r="U17" s="9">
        <f t="shared" si="8"/>
        <v>-7.8567095703822886E-4</v>
      </c>
      <c r="V17" s="9">
        <f t="shared" si="12"/>
        <v>1.3832537235430001E-2</v>
      </c>
    </row>
    <row r="18" spans="1:22">
      <c r="A18" s="8">
        <f t="shared" si="5"/>
        <v>3.5000000000000003E-2</v>
      </c>
      <c r="B18" s="47">
        <f>B17*EXP((PL_r-0.5*Vol_a^2)*dt+Vol_a*SQRT(dt)*bs!A8)</f>
        <v>108.5679628235071</v>
      </c>
      <c r="C18" s="47">
        <f t="shared" si="0"/>
        <v>14.376849533058746</v>
      </c>
      <c r="D18" s="44">
        <f t="shared" si="1"/>
        <v>0.73068546345735186</v>
      </c>
      <c r="E18" s="47">
        <f t="shared" si="9"/>
        <v>-64.952182699256085</v>
      </c>
      <c r="F18" s="47">
        <f t="shared" si="10"/>
        <v>65.282722349425541</v>
      </c>
      <c r="G18" s="47">
        <f t="shared" si="2"/>
        <v>0.33053965016945597</v>
      </c>
      <c r="H18" s="44"/>
      <c r="I18" s="44"/>
      <c r="J18" s="47">
        <f t="shared" si="11"/>
        <v>-0.23022917824807282</v>
      </c>
      <c r="Q18" s="8">
        <f t="shared" si="3"/>
        <v>100</v>
      </c>
      <c r="R18" s="9">
        <f t="shared" si="4"/>
        <v>1.5481545928781745E-2</v>
      </c>
      <c r="S18" s="8">
        <f t="shared" si="6"/>
        <v>-1</v>
      </c>
      <c r="T18" s="9">
        <f t="shared" si="7"/>
        <v>-1.8074582848006022E-2</v>
      </c>
      <c r="U18" s="9">
        <f t="shared" si="8"/>
        <v>-1.8061935067252132E-2</v>
      </c>
      <c r="V18" s="9">
        <f t="shared" si="12"/>
        <v>-1.3790500410168663E-3</v>
      </c>
    </row>
    <row r="19" spans="1:22">
      <c r="A19" s="8">
        <f t="shared" si="5"/>
        <v>0.04</v>
      </c>
      <c r="B19" s="47">
        <f>B18*EXP((PL_r-0.5*Vol_a^2)*dt+Vol_a*SQRT(dt)*bs!A9)</f>
        <v>108.01035611531945</v>
      </c>
      <c r="C19" s="47">
        <f t="shared" si="0"/>
        <v>13.946971229564582</v>
      </c>
      <c r="D19" s="44">
        <f t="shared" si="1"/>
        <v>0.72213268534281072</v>
      </c>
      <c r="E19" s="47">
        <f t="shared" si="9"/>
        <v>-64.050837276824339</v>
      </c>
      <c r="F19" s="47">
        <f t="shared" si="10"/>
        <v>64.365462338158082</v>
      </c>
      <c r="G19" s="47">
        <f t="shared" si="2"/>
        <v>0.31462506133374291</v>
      </c>
      <c r="H19" s="44"/>
      <c r="I19" s="44"/>
      <c r="J19" s="47">
        <f t="shared" si="11"/>
        <v>-0.92378860992689871</v>
      </c>
      <c r="Q19" s="8">
        <f t="shared" si="3"/>
        <v>100</v>
      </c>
      <c r="R19" s="9">
        <f t="shared" si="4"/>
        <v>1.5845204708677913E-2</v>
      </c>
      <c r="S19" s="8">
        <f t="shared" si="6"/>
        <v>-1</v>
      </c>
      <c r="T19" s="9">
        <f t="shared" si="7"/>
        <v>-1.6047292836173004E-2</v>
      </c>
      <c r="U19" s="9">
        <f t="shared" si="8"/>
        <v>-1.6034460135668678E-2</v>
      </c>
      <c r="V19" s="9">
        <f t="shared" si="12"/>
        <v>-5.1360152082260127E-3</v>
      </c>
    </row>
    <row r="20" spans="1:22">
      <c r="A20" s="8">
        <f t="shared" si="5"/>
        <v>4.4999999999999998E-2</v>
      </c>
      <c r="B20" s="47">
        <f>B19*EXP((PL_r-0.5*Vol_a^2)*dt+Vol_a*SQRT(dt)*bs!A10)</f>
        <v>106.90919715747205</v>
      </c>
      <c r="C20" s="47">
        <f t="shared" si="0"/>
        <v>13.13644208372812</v>
      </c>
      <c r="D20" s="44">
        <f t="shared" si="1"/>
        <v>0.70446159456809354</v>
      </c>
      <c r="E20" s="47">
        <f t="shared" si="9"/>
        <v>-62.176981419819334</v>
      </c>
      <c r="F20" s="47">
        <f t="shared" si="10"/>
        <v>62.482697078608119</v>
      </c>
      <c r="G20" s="47">
        <f t="shared" si="2"/>
        <v>0.30571565878878459</v>
      </c>
      <c r="H20" s="44"/>
      <c r="I20" s="44"/>
      <c r="J20" s="47">
        <f t="shared" si="11"/>
        <v>-1.8892021276218245</v>
      </c>
      <c r="Q20" s="8">
        <f t="shared" si="3"/>
        <v>100</v>
      </c>
      <c r="R20" s="9">
        <f t="shared" si="4"/>
        <v>1.6526479960595346E-2</v>
      </c>
      <c r="S20" s="8">
        <f t="shared" si="6"/>
        <v>-1</v>
      </c>
      <c r="T20" s="9">
        <f t="shared" si="7"/>
        <v>-9.0727232927935234E-3</v>
      </c>
      <c r="U20" s="9">
        <f t="shared" si="8"/>
        <v>-9.0645615151808551E-3</v>
      </c>
      <c r="V20" s="9">
        <f t="shared" si="12"/>
        <v>-1.0194938684136253E-2</v>
      </c>
    </row>
    <row r="21" spans="1:22">
      <c r="A21" s="8">
        <f t="shared" si="5"/>
        <v>4.9999999999999996E-2</v>
      </c>
      <c r="B21" s="47">
        <f>B20*EXP((PL_r-0.5*Vol_a^2)*dt+Vol_a*SQRT(dt)*bs!A11)</f>
        <v>105.21091691948398</v>
      </c>
      <c r="C21" s="47">
        <f t="shared" si="0"/>
        <v>11.939066570844197</v>
      </c>
      <c r="D21" s="44">
        <f t="shared" si="1"/>
        <v>0.67563181052295163</v>
      </c>
      <c r="E21" s="47">
        <f t="shared" si="9"/>
        <v>-59.144775714246613</v>
      </c>
      <c r="F21" s="47">
        <f t="shared" si="10"/>
        <v>59.455737646759786</v>
      </c>
      <c r="G21" s="47">
        <f t="shared" si="2"/>
        <v>0.31096193251317317</v>
      </c>
      <c r="H21" s="44"/>
      <c r="I21" s="44"/>
      <c r="J21" s="47">
        <f t="shared" si="11"/>
        <v>-3.0332080139800905</v>
      </c>
      <c r="Q21" s="8">
        <f t="shared" si="3"/>
        <v>100</v>
      </c>
      <c r="R21" s="9">
        <f t="shared" si="4"/>
        <v>1.7534769578613611E-2</v>
      </c>
      <c r="S21" s="8">
        <f t="shared" si="6"/>
        <v>1</v>
      </c>
      <c r="T21" s="9">
        <f t="shared" si="7"/>
        <v>5.0796915066802437E-3</v>
      </c>
      <c r="U21" s="9">
        <f t="shared" si="8"/>
        <v>5.0746143541729131E-3</v>
      </c>
      <c r="V21" s="9">
        <f t="shared" si="12"/>
        <v>-1.5885258547836519E-2</v>
      </c>
    </row>
    <row r="22" spans="1:22">
      <c r="A22" s="8">
        <f t="shared" si="5"/>
        <v>5.4999999999999993E-2</v>
      </c>
      <c r="B22" s="47">
        <f>B21*EXP((PL_r-0.5*Vol_a^2)*dt+Vol_a*SQRT(dt)*bs!A12)</f>
        <v>106.55687375264074</v>
      </c>
      <c r="C22" s="47">
        <f t="shared" si="0"/>
        <v>12.838870486924449</v>
      </c>
      <c r="D22" s="44">
        <f t="shared" si="1"/>
        <v>0.69884297385066285</v>
      </c>
      <c r="E22" s="47">
        <f t="shared" si="9"/>
        <v>-61.627652050600645</v>
      </c>
      <c r="F22" s="47">
        <f t="shared" si="10"/>
        <v>61.934992518175918</v>
      </c>
      <c r="G22" s="47">
        <f t="shared" si="2"/>
        <v>0.30734046757527267</v>
      </c>
      <c r="H22" s="44"/>
      <c r="I22" s="44"/>
      <c r="J22" s="47">
        <f t="shared" si="11"/>
        <v>2.4733090003628497</v>
      </c>
      <c r="Q22" s="8">
        <f t="shared" si="3"/>
        <v>100</v>
      </c>
      <c r="R22" s="9">
        <f t="shared" si="4"/>
        <v>1.6812136977779241E-2</v>
      </c>
      <c r="S22" s="8">
        <f t="shared" si="6"/>
        <v>-1</v>
      </c>
      <c r="T22" s="9">
        <f t="shared" si="7"/>
        <v>-3.4685608684633185E-3</v>
      </c>
      <c r="U22" s="9">
        <f t="shared" si="8"/>
        <v>-3.4647475492181031E-3</v>
      </c>
      <c r="V22" s="9">
        <f t="shared" si="12"/>
        <v>1.2792938913238433E-2</v>
      </c>
    </row>
    <row r="23" spans="1:22">
      <c r="A23" s="8">
        <f t="shared" si="5"/>
        <v>5.9999999999999991E-2</v>
      </c>
      <c r="B23" s="47">
        <f>B22*EXP((PL_r-0.5*Vol_a^2)*dt+Vol_a*SQRT(dt)*bs!A13)</f>
        <v>106.27150971896603</v>
      </c>
      <c r="C23" s="47">
        <f t="shared" si="0"/>
        <v>12.614821207793824</v>
      </c>
      <c r="D23" s="44">
        <f t="shared" si="1"/>
        <v>0.69413261757403677</v>
      </c>
      <c r="E23" s="47">
        <f t="shared" si="9"/>
        <v>-61.151700006976753</v>
      </c>
      <c r="F23" s="47">
        <f t="shared" si="10"/>
        <v>61.440609654281765</v>
      </c>
      <c r="G23" s="47">
        <f t="shared" si="2"/>
        <v>0.28890964730501167</v>
      </c>
      <c r="H23" s="44"/>
      <c r="I23" s="44"/>
      <c r="J23" s="47">
        <f t="shared" si="11"/>
        <v>-0.50057667283126128</v>
      </c>
      <c r="Q23" s="8">
        <f t="shared" si="3"/>
        <v>100</v>
      </c>
      <c r="R23" s="9">
        <f t="shared" si="4"/>
        <v>1.7019621784226089E-2</v>
      </c>
      <c r="S23" s="8">
        <f t="shared" si="6"/>
        <v>-1</v>
      </c>
      <c r="T23" s="9">
        <f t="shared" si="7"/>
        <v>-1.8532067923219601E-2</v>
      </c>
      <c r="U23" s="9">
        <f t="shared" si="8"/>
        <v>-1.8509842779465008E-2</v>
      </c>
      <c r="V23" s="9">
        <f t="shared" si="12"/>
        <v>-2.6780443496976984E-3</v>
      </c>
    </row>
    <row r="24" spans="1:22">
      <c r="A24" s="8">
        <f t="shared" si="5"/>
        <v>6.4999999999999988E-2</v>
      </c>
      <c r="B24" s="47">
        <f>B23*EXP((PL_r-0.5*Vol_a^2)*dt+Vol_a*SQRT(dt)*bs!A14)</f>
        <v>106.28852612476101</v>
      </c>
      <c r="C24" s="47">
        <f t="shared" si="0"/>
        <v>12.601274865761994</v>
      </c>
      <c r="D24" s="44">
        <f t="shared" si="1"/>
        <v>0.69453552557963261</v>
      </c>
      <c r="E24" s="47">
        <f t="shared" si="9"/>
        <v>-61.219882489383409</v>
      </c>
      <c r="F24" s="47">
        <f t="shared" si="10"/>
        <v>61.489578520539133</v>
      </c>
      <c r="G24" s="47">
        <f t="shared" si="2"/>
        <v>0.26969603115572482</v>
      </c>
      <c r="H24" s="44"/>
      <c r="I24" s="44"/>
      <c r="J24" s="47">
        <f t="shared" si="11"/>
        <v>4.2824498078648444E-2</v>
      </c>
      <c r="Q24" s="8">
        <f t="shared" si="3"/>
        <v>100</v>
      </c>
      <c r="R24" s="9">
        <f t="shared" si="4"/>
        <v>1.7052375248678496E-2</v>
      </c>
      <c r="S24" s="8">
        <f t="shared" si="6"/>
        <v>-1</v>
      </c>
      <c r="T24" s="9">
        <f t="shared" si="7"/>
        <v>-1.9262026350654146E-2</v>
      </c>
      <c r="U24" s="9">
        <f t="shared" si="8"/>
        <v>-1.9237001985759741E-2</v>
      </c>
      <c r="V24" s="9">
        <f t="shared" si="12"/>
        <v>1.6012199167938734E-4</v>
      </c>
    </row>
    <row r="25" spans="1:22">
      <c r="A25" s="8">
        <f t="shared" si="5"/>
        <v>6.9999999999999993E-2</v>
      </c>
      <c r="B25" s="47">
        <f>B24*EXP((PL_r-0.5*Vol_a^2)*dt+Vol_a*SQRT(dt)*bs!A15)</f>
        <v>110.92486936788501</v>
      </c>
      <c r="C25" s="47">
        <f t="shared" si="0"/>
        <v>15.970291109340366</v>
      </c>
      <c r="D25" s="44">
        <f t="shared" si="1"/>
        <v>0.76744065161794606</v>
      </c>
      <c r="E25" s="47">
        <f t="shared" si="9"/>
        <v>-69.15796291898485</v>
      </c>
      <c r="F25" s="47">
        <f t="shared" si="10"/>
        <v>69.582719367898449</v>
      </c>
      <c r="G25" s="47">
        <f t="shared" si="2"/>
        <v>0.42475644891359821</v>
      </c>
      <c r="H25" s="44"/>
      <c r="I25" s="44"/>
      <c r="J25" s="47">
        <f t="shared" si="11"/>
        <v>8.0869915820491105</v>
      </c>
      <c r="Q25" s="8">
        <f t="shared" si="3"/>
        <v>100</v>
      </c>
      <c r="R25" s="9">
        <f t="shared" si="4"/>
        <v>1.4280753002422278E-2</v>
      </c>
      <c r="S25" s="8">
        <f t="shared" si="6"/>
        <v>1</v>
      </c>
      <c r="T25" s="9">
        <f t="shared" si="7"/>
        <v>0.14959811516610977</v>
      </c>
      <c r="U25" s="9">
        <f t="shared" si="8"/>
        <v>0.14938882434263781</v>
      </c>
      <c r="V25" s="9">
        <f t="shared" si="12"/>
        <v>4.3620355010679922E-2</v>
      </c>
    </row>
    <row r="26" spans="1:22">
      <c r="A26" s="8">
        <f t="shared" si="5"/>
        <v>7.4999999999999997E-2</v>
      </c>
      <c r="B26" s="47">
        <f>B25*EXP((PL_r-0.5*Vol_a^2)*dt+Vol_a*SQRT(dt)*bs!A16)</f>
        <v>110.69849403738593</v>
      </c>
      <c r="C26" s="47">
        <f t="shared" si="0"/>
        <v>15.77235758339765</v>
      </c>
      <c r="D26" s="44">
        <f t="shared" si="1"/>
        <v>0.7644700307909218</v>
      </c>
      <c r="E26" s="47">
        <f t="shared" si="9"/>
        <v>-68.853323561871449</v>
      </c>
      <c r="F26" s="47">
        <f t="shared" si="10"/>
        <v>69.260834735852754</v>
      </c>
      <c r="G26" s="47">
        <f t="shared" si="2"/>
        <v>0.40751117398130532</v>
      </c>
      <c r="H26" s="44"/>
      <c r="I26" s="44"/>
      <c r="J26" s="47">
        <f t="shared" si="11"/>
        <v>-0.32884325190767971</v>
      </c>
      <c r="Q26" s="8">
        <f t="shared" si="3"/>
        <v>100</v>
      </c>
      <c r="R26" s="9">
        <f t="shared" si="4"/>
        <v>1.4449807639899014E-2</v>
      </c>
      <c r="S26" s="8">
        <f t="shared" si="6"/>
        <v>-1</v>
      </c>
      <c r="T26" s="9">
        <f t="shared" si="7"/>
        <v>-1.7338284287037514E-2</v>
      </c>
      <c r="U26" s="9">
        <f t="shared" si="8"/>
        <v>-1.7312296356427653E-2</v>
      </c>
      <c r="V26" s="9">
        <f t="shared" si="12"/>
        <v>-2.0407987116784622E-3</v>
      </c>
    </row>
    <row r="27" spans="1:22">
      <c r="A27" s="8">
        <f t="shared" si="5"/>
        <v>0.08</v>
      </c>
      <c r="B27" s="47">
        <f>B26*EXP((PL_r-0.5*Vol_a^2)*dt+Vol_a*SQRT(dt)*bs!A17)</f>
        <v>111.42368430521698</v>
      </c>
      <c r="C27" s="47">
        <f t="shared" si="0"/>
        <v>16.306100124526964</v>
      </c>
      <c r="D27" s="44">
        <f t="shared" si="1"/>
        <v>0.77508760663206033</v>
      </c>
      <c r="E27" s="47">
        <f t="shared" si="9"/>
        <v>-70.057016665729932</v>
      </c>
      <c r="F27" s="47">
        <f t="shared" si="10"/>
        <v>70.450810584251769</v>
      </c>
      <c r="G27" s="47">
        <f t="shared" si="2"/>
        <v>0.39379391852183687</v>
      </c>
      <c r="H27" s="44"/>
      <c r="I27" s="44"/>
      <c r="J27" s="47">
        <f t="shared" si="11"/>
        <v>1.1830494186097191</v>
      </c>
      <c r="Q27" s="8">
        <f t="shared" si="3"/>
        <v>100</v>
      </c>
      <c r="R27" s="9">
        <f t="shared" si="4"/>
        <v>1.4028052539165925E-2</v>
      </c>
      <c r="S27" s="8">
        <f t="shared" si="6"/>
        <v>-1</v>
      </c>
      <c r="T27" s="9">
        <f t="shared" si="7"/>
        <v>-1.367898966438433E-2</v>
      </c>
      <c r="U27" s="9">
        <f t="shared" si="8"/>
        <v>-1.365712078069363E-2</v>
      </c>
      <c r="V27" s="9">
        <f t="shared" si="12"/>
        <v>6.5510400492542944E-3</v>
      </c>
    </row>
    <row r="28" spans="1:22">
      <c r="A28" s="8">
        <f t="shared" si="5"/>
        <v>8.5000000000000006E-2</v>
      </c>
      <c r="B28" s="47">
        <f>B27*EXP((PL_r-0.5*Vol_a^2)*dt+Vol_a*SQRT(dt)*bs!A18)</f>
        <v>110.74806131235003</v>
      </c>
      <c r="C28" s="47">
        <f t="shared" si="0"/>
        <v>15.761027177374402</v>
      </c>
      <c r="D28" s="44">
        <f t="shared" si="1"/>
        <v>0.76575329445595475</v>
      </c>
      <c r="E28" s="47">
        <f t="shared" si="9"/>
        <v>-69.044665627167703</v>
      </c>
      <c r="F28" s="47">
        <f t="shared" si="10"/>
        <v>69.424099040388029</v>
      </c>
      <c r="G28" s="47">
        <f t="shared" si="2"/>
        <v>0.37943341322032609</v>
      </c>
      <c r="H28" s="44"/>
      <c r="I28" s="44"/>
      <c r="J28" s="47">
        <f t="shared" si="11"/>
        <v>-1.0337569771879569</v>
      </c>
      <c r="Q28" s="8">
        <f t="shared" si="3"/>
        <v>100</v>
      </c>
      <c r="R28" s="9">
        <f t="shared" si="4"/>
        <v>1.4478270516691854E-2</v>
      </c>
      <c r="S28" s="8">
        <f t="shared" si="6"/>
        <v>-1</v>
      </c>
      <c r="T28" s="9">
        <f t="shared" si="7"/>
        <v>-1.449332081621731E-2</v>
      </c>
      <c r="U28" s="9">
        <f t="shared" si="8"/>
        <v>-1.4468703101815748E-2</v>
      </c>
      <c r="V28" s="9">
        <f t="shared" si="12"/>
        <v>-6.0635492093067955E-3</v>
      </c>
    </row>
    <row r="29" spans="1:22">
      <c r="A29" s="8">
        <f t="shared" si="5"/>
        <v>9.0000000000000011E-2</v>
      </c>
      <c r="B29" s="47">
        <f>B28*EXP((PL_r-0.5*Vol_a^2)*dt+Vol_a*SQRT(dt)*bs!A19)</f>
        <v>113.79314612145266</v>
      </c>
      <c r="C29" s="47">
        <f t="shared" si="0"/>
        <v>18.133307478397924</v>
      </c>
      <c r="D29" s="44">
        <f t="shared" si="1"/>
        <v>0.80731472926281833</v>
      </c>
      <c r="E29" s="47">
        <f t="shared" si="9"/>
        <v>-73.733575474606965</v>
      </c>
      <c r="F29" s="47">
        <f t="shared" si="10"/>
        <v>74.160448221418804</v>
      </c>
      <c r="G29" s="47">
        <f t="shared" si="2"/>
        <v>0.42687274681183851</v>
      </c>
      <c r="H29" s="44"/>
      <c r="I29" s="44"/>
      <c r="J29" s="47">
        <f t="shared" si="11"/>
        <v>4.7294064239946563</v>
      </c>
      <c r="Q29" s="8">
        <f t="shared" si="3"/>
        <v>100</v>
      </c>
      <c r="R29" s="9">
        <f t="shared" si="4"/>
        <v>1.2607326694243654E-2</v>
      </c>
      <c r="S29" s="8">
        <f t="shared" si="6"/>
        <v>1</v>
      </c>
      <c r="T29" s="9">
        <f t="shared" si="7"/>
        <v>4.5384383162497717E-2</v>
      </c>
      <c r="U29" s="9">
        <f t="shared" si="8"/>
        <v>4.5302764751412171E-2</v>
      </c>
      <c r="V29" s="9">
        <f t="shared" si="12"/>
        <v>2.7495603742573697E-2</v>
      </c>
    </row>
    <row r="30" spans="1:22">
      <c r="A30" s="8">
        <f t="shared" si="5"/>
        <v>9.5000000000000015E-2</v>
      </c>
      <c r="B30" s="47">
        <f>B29*EXP((PL_r-0.5*Vol_a^2)*dt+Vol_a*SQRT(dt)*bs!A20)</f>
        <v>113.26698401805409</v>
      </c>
      <c r="C30" s="47">
        <f t="shared" si="0"/>
        <v>17.686385183725804</v>
      </c>
      <c r="D30" s="44">
        <f t="shared" si="1"/>
        <v>0.80095243995928078</v>
      </c>
      <c r="E30" s="47">
        <f t="shared" si="9"/>
        <v>-73.035082032363476</v>
      </c>
      <c r="F30" s="47">
        <f t="shared" si="10"/>
        <v>73.447227316193519</v>
      </c>
      <c r="G30" s="47">
        <f t="shared" si="2"/>
        <v>0.41214528383004279</v>
      </c>
      <c r="H30" s="44"/>
      <c r="I30" s="44"/>
      <c r="J30" s="47">
        <f t="shared" si="11"/>
        <v>-0.72063732086202403</v>
      </c>
      <c r="Q30" s="8">
        <f t="shared" si="3"/>
        <v>100</v>
      </c>
      <c r="R30" s="9">
        <f t="shared" si="4"/>
        <v>1.2953693716716721E-2</v>
      </c>
      <c r="S30" s="8">
        <f t="shared" si="6"/>
        <v>-1</v>
      </c>
      <c r="T30" s="9">
        <f t="shared" si="7"/>
        <v>-1.4842275212167714E-2</v>
      </c>
      <c r="U30" s="9">
        <f t="shared" si="8"/>
        <v>-1.4814101662612215E-2</v>
      </c>
      <c r="V30" s="9">
        <f t="shared" si="12"/>
        <v>-4.6238470534683837E-3</v>
      </c>
    </row>
    <row r="31" spans="1:22">
      <c r="A31" s="8">
        <f t="shared" si="5"/>
        <v>0.10000000000000002</v>
      </c>
      <c r="B31" s="47">
        <f>B30*EXP((PL_r-0.5*Vol_a^2)*dt+Vol_a*SQRT(dt)*bs!A21)</f>
        <v>118.05011129125134</v>
      </c>
      <c r="C31" s="47">
        <f t="shared" si="0"/>
        <v>21.63244923533982</v>
      </c>
      <c r="D31" s="44">
        <f t="shared" si="1"/>
        <v>0.85640629758494324</v>
      </c>
      <c r="E31" s="47">
        <f t="shared" si="9"/>
        <v>-79.466409505091249</v>
      </c>
      <c r="F31" s="47">
        <f t="shared" si="10"/>
        <v>80.00090647041219</v>
      </c>
      <c r="G31" s="47">
        <f t="shared" si="2"/>
        <v>0.53449696532094038</v>
      </c>
      <c r="H31" s="44"/>
      <c r="I31" s="44"/>
      <c r="J31" s="47">
        <f t="shared" si="11"/>
        <v>6.5463340642386605</v>
      </c>
      <c r="Q31" s="8">
        <f t="shared" si="3"/>
        <v>100</v>
      </c>
      <c r="R31" s="9">
        <f t="shared" si="4"/>
        <v>1.0109197048381816E-2</v>
      </c>
      <c r="S31" s="8">
        <f t="shared" si="6"/>
        <v>1</v>
      </c>
      <c r="T31" s="9">
        <f t="shared" si="7"/>
        <v>0.11152559795214205</v>
      </c>
      <c r="U31" s="9">
        <f t="shared" si="8"/>
        <v>0.1113027696588072</v>
      </c>
      <c r="V31" s="9">
        <f t="shared" si="12"/>
        <v>4.2228786390523555E-2</v>
      </c>
    </row>
    <row r="32" spans="1:22">
      <c r="A32" s="8">
        <f t="shared" si="5"/>
        <v>0.10500000000000002</v>
      </c>
      <c r="B32" s="47">
        <f>B31*EXP((PL_r-0.5*Vol_a^2)*dt+Vol_a*SQRT(dt)*bs!A22)</f>
        <v>120.33822753700005</v>
      </c>
      <c r="C32" s="47">
        <f t="shared" si="0"/>
        <v>23.596320173008039</v>
      </c>
      <c r="D32" s="44">
        <f t="shared" si="1"/>
        <v>0.87853278818603053</v>
      </c>
      <c r="E32" s="47">
        <f t="shared" si="9"/>
        <v>-82.124758390437577</v>
      </c>
      <c r="F32" s="47">
        <f t="shared" si="10"/>
        <v>82.671569621626034</v>
      </c>
      <c r="G32" s="47">
        <f t="shared" si="2"/>
        <v>0.54681123118845676</v>
      </c>
      <c r="H32" s="44"/>
      <c r="I32" s="44"/>
      <c r="J32" s="47">
        <f t="shared" si="11"/>
        <v>2.6626626605489352</v>
      </c>
      <c r="Q32" s="8">
        <f t="shared" si="3"/>
        <v>100</v>
      </c>
      <c r="R32" s="9">
        <f t="shared" si="4"/>
        <v>8.8611034993810976E-3</v>
      </c>
      <c r="S32" s="8">
        <f t="shared" si="6"/>
        <v>1</v>
      </c>
      <c r="T32" s="9">
        <f t="shared" si="7"/>
        <v>1.12719401598809E-2</v>
      </c>
      <c r="U32" s="9">
        <f t="shared" si="8"/>
        <v>1.1248293922784092E-2</v>
      </c>
      <c r="V32" s="9">
        <f t="shared" si="12"/>
        <v>1.9382584401835143E-2</v>
      </c>
    </row>
    <row r="33" spans="1:22">
      <c r="A33" s="8">
        <f t="shared" si="5"/>
        <v>0.11000000000000003</v>
      </c>
      <c r="B33" s="47">
        <f>B32*EXP((PL_r-0.5*Vol_a^2)*dt+Vol_a*SQRT(dt)*bs!A23)</f>
        <v>116.90149916665912</v>
      </c>
      <c r="C33" s="47">
        <f t="shared" si="0"/>
        <v>20.610492796066595</v>
      </c>
      <c r="D33" s="44">
        <f t="shared" si="1"/>
        <v>0.84526479406851396</v>
      </c>
      <c r="E33" s="47">
        <f t="shared" si="9"/>
        <v>-78.202228823340079</v>
      </c>
      <c r="F33" s="47">
        <f t="shared" si="10"/>
        <v>78.790758805354557</v>
      </c>
      <c r="G33" s="47">
        <f t="shared" si="2"/>
        <v>0.58852998201447804</v>
      </c>
      <c r="H33" s="44"/>
      <c r="I33" s="44"/>
      <c r="J33" s="47">
        <f t="shared" si="11"/>
        <v>-3.8890783866052843</v>
      </c>
      <c r="Q33" s="8">
        <f t="shared" si="3"/>
        <v>100</v>
      </c>
      <c r="R33" s="9">
        <f t="shared" si="4"/>
        <v>1.0791108736821946E-2</v>
      </c>
      <c r="S33" s="8">
        <f t="shared" si="6"/>
        <v>1</v>
      </c>
      <c r="T33" s="9">
        <f t="shared" si="7"/>
        <v>4.5392360310256882E-2</v>
      </c>
      <c r="U33" s="9">
        <f t="shared" si="8"/>
        <v>4.5292606886574244E-2</v>
      </c>
      <c r="V33" s="9">
        <f t="shared" si="12"/>
        <v>-2.8558908010210212E-2</v>
      </c>
    </row>
    <row r="34" spans="1:22">
      <c r="A34" s="8">
        <f t="shared" si="5"/>
        <v>0.11500000000000003</v>
      </c>
      <c r="B34" s="47">
        <f>B33*EXP((PL_r-0.5*Vol_a^2)*dt+Vol_a*SQRT(dt)*bs!A24)</f>
        <v>111.84554079438578</v>
      </c>
      <c r="C34" s="47">
        <f t="shared" si="0"/>
        <v>16.46331915452032</v>
      </c>
      <c r="D34" s="44">
        <f t="shared" si="1"/>
        <v>0.78323030093195467</v>
      </c>
      <c r="E34" s="47">
        <f t="shared" si="9"/>
        <v>-71.137497419763676</v>
      </c>
      <c r="F34" s="47">
        <f t="shared" si="10"/>
        <v>71.860356842437938</v>
      </c>
      <c r="G34" s="47">
        <f t="shared" si="2"/>
        <v>0.72285942267426151</v>
      </c>
      <c r="I34" s="44"/>
      <c r="J34" s="47">
        <f t="shared" si="11"/>
        <v>-6.9382814327640867</v>
      </c>
      <c r="Q34" s="8">
        <f t="shared" si="3"/>
        <v>100</v>
      </c>
      <c r="R34" s="9">
        <f t="shared" si="4"/>
        <v>1.3951100138130773E-2</v>
      </c>
      <c r="S34" s="8">
        <f t="shared" si="6"/>
        <v>1</v>
      </c>
      <c r="T34" s="9">
        <f t="shared" si="7"/>
        <v>0.14577145316342632</v>
      </c>
      <c r="U34" s="9">
        <f t="shared" si="8"/>
        <v>0.14543656409121375</v>
      </c>
      <c r="V34" s="9">
        <f t="shared" si="12"/>
        <v>-4.3249730827364122E-2</v>
      </c>
    </row>
    <row r="35" spans="1:22">
      <c r="A35" s="8">
        <f t="shared" si="5"/>
        <v>0.12000000000000004</v>
      </c>
      <c r="B35" s="47">
        <f>B34*EXP((PL_r-0.5*Vol_a^2)*dt+Vol_a*SQRT(dt)*bs!A25)</f>
        <v>109.44075947665736</v>
      </c>
      <c r="C35" s="47">
        <f t="shared" si="0"/>
        <v>14.596347364726284</v>
      </c>
      <c r="D35" s="44">
        <f t="shared" si="1"/>
        <v>0.74807835573648962</v>
      </c>
      <c r="E35" s="47">
        <f t="shared" si="9"/>
        <v>-67.273916035124202</v>
      </c>
      <c r="F35" s="47">
        <f t="shared" si="10"/>
        <v>68.020487658162409</v>
      </c>
      <c r="G35" s="47">
        <f t="shared" si="2"/>
        <v>0.74657162303820712</v>
      </c>
      <c r="I35" s="44"/>
      <c r="J35" s="47">
        <f t="shared" si="11"/>
        <v>-3.8470555792735319</v>
      </c>
      <c r="Q35" s="8">
        <f t="shared" si="3"/>
        <v>100</v>
      </c>
      <c r="R35" s="9">
        <f t="shared" si="4"/>
        <v>1.5539297759531508E-2</v>
      </c>
      <c r="S35" s="8">
        <f t="shared" si="6"/>
        <v>1</v>
      </c>
      <c r="T35" s="9">
        <f t="shared" si="7"/>
        <v>2.4408446832178552E-2</v>
      </c>
      <c r="U35" s="9">
        <f t="shared" si="8"/>
        <v>2.4349936799904864E-2</v>
      </c>
      <c r="V35" s="9">
        <f t="shared" si="12"/>
        <v>-2.1500913676561453E-2</v>
      </c>
    </row>
    <row r="36" spans="1:22">
      <c r="A36" s="8">
        <f t="shared" si="5"/>
        <v>0.12500000000000003</v>
      </c>
      <c r="B36" s="47">
        <f>B35*EXP((PL_r-0.5*Vol_a^2)*dt+Vol_a*SQRT(dt)*bs!A26)</f>
        <v>109.57111608054947</v>
      </c>
      <c r="C36" s="47">
        <f t="shared" si="0"/>
        <v>14.668667685813773</v>
      </c>
      <c r="D36" s="44">
        <f t="shared" si="1"/>
        <v>0.75037044796268393</v>
      </c>
      <c r="E36" s="47">
        <f t="shared" si="9"/>
        <v>-67.550259771319375</v>
      </c>
      <c r="F36" s="47">
        <f t="shared" si="10"/>
        <v>68.27843715042566</v>
      </c>
      <c r="G36" s="47">
        <f t="shared" si="2"/>
        <v>0.72817737910628466</v>
      </c>
      <c r="I36" s="44"/>
      <c r="J36" s="47">
        <f t="shared" si="11"/>
        <v>0.2511471033836617</v>
      </c>
      <c r="Q36" s="8">
        <f t="shared" si="3"/>
        <v>100</v>
      </c>
      <c r="R36" s="9">
        <f t="shared" si="4"/>
        <v>1.5489946858082514E-2</v>
      </c>
      <c r="S36" s="8">
        <f t="shared" si="6"/>
        <v>-1</v>
      </c>
      <c r="T36" s="9">
        <f t="shared" si="7"/>
        <v>-1.8465043225150735E-2</v>
      </c>
      <c r="U36" s="9">
        <f t="shared" si="8"/>
        <v>-1.8418938272291924E-2</v>
      </c>
      <c r="V36" s="9">
        <f t="shared" si="12"/>
        <v>1.191115673131949E-3</v>
      </c>
    </row>
    <row r="37" spans="1:22">
      <c r="A37" s="8">
        <f t="shared" si="5"/>
        <v>0.13000000000000003</v>
      </c>
      <c r="B37" s="47">
        <f>B36*EXP((PL_r-0.5*Vol_a^2)*dt+Vol_a*SQRT(dt)*bs!A27)</f>
        <v>109.17096020315992</v>
      </c>
      <c r="C37" s="47">
        <f t="shared" si="0"/>
        <v>14.344167130449449</v>
      </c>
      <c r="D37" s="44">
        <f t="shared" si="1"/>
        <v>0.74438056635422434</v>
      </c>
      <c r="E37" s="47">
        <f t="shared" si="9"/>
        <v>-66.920574055013219</v>
      </c>
      <c r="F37" s="47">
        <f t="shared" si="10"/>
        <v>67.631344208845491</v>
      </c>
      <c r="G37" s="47">
        <f t="shared" si="2"/>
        <v>0.71077015383227149</v>
      </c>
      <c r="I37" s="44"/>
      <c r="J37" s="47">
        <f t="shared" si="11"/>
        <v>-0.65392112669878155</v>
      </c>
      <c r="Q37" s="8">
        <f t="shared" si="3"/>
        <v>100</v>
      </c>
      <c r="R37" s="9">
        <f t="shared" si="4"/>
        <v>1.5787294137048522E-2</v>
      </c>
      <c r="S37" s="8">
        <f t="shared" si="6"/>
        <v>-1</v>
      </c>
      <c r="T37" s="9">
        <f t="shared" si="7"/>
        <v>-1.7561015624048177E-2</v>
      </c>
      <c r="U37" s="9">
        <f t="shared" si="8"/>
        <v>-1.7515416288249812E-2</v>
      </c>
      <c r="V37" s="9">
        <f t="shared" si="12"/>
        <v>-3.6520197265799757E-3</v>
      </c>
    </row>
    <row r="38" spans="1:22">
      <c r="A38" s="8">
        <f t="shared" si="5"/>
        <v>0.13500000000000004</v>
      </c>
      <c r="B38" s="47">
        <f>B37*EXP((PL_r-0.5*Vol_a^2)*dt+Vol_a*SQRT(dt)*bs!A28)</f>
        <v>107.28611444618382</v>
      </c>
      <c r="C38" s="47">
        <f t="shared" si="0"/>
        <v>12.943935269867438</v>
      </c>
      <c r="D38" s="44">
        <f t="shared" si="1"/>
        <v>0.71365769442320115</v>
      </c>
      <c r="E38" s="47">
        <f t="shared" si="9"/>
        <v>-63.621625809419797</v>
      </c>
      <c r="F38" s="47">
        <f t="shared" si="10"/>
        <v>64.341970127327173</v>
      </c>
      <c r="G38" s="47">
        <f t="shared" si="2"/>
        <v>0.72034431790737585</v>
      </c>
      <c r="I38" s="44"/>
      <c r="J38" s="47">
        <f t="shared" si="11"/>
        <v>-3.2961375541072022</v>
      </c>
      <c r="Q38" s="8">
        <f t="shared" si="3"/>
        <v>100</v>
      </c>
      <c r="R38" s="9">
        <f t="shared" si="4"/>
        <v>1.7050214073883029E-2</v>
      </c>
      <c r="S38" s="8">
        <f t="shared" si="6"/>
        <v>1</v>
      </c>
      <c r="T38" s="9">
        <f t="shared" si="7"/>
        <v>9.6245650692386633E-3</v>
      </c>
      <c r="U38" s="9">
        <f t="shared" si="8"/>
        <v>9.5986137935393113E-3</v>
      </c>
      <c r="V38" s="9">
        <f t="shared" si="12"/>
        <v>-1.7265083621766559E-2</v>
      </c>
    </row>
    <row r="39" spans="1:22">
      <c r="A39" s="8">
        <f t="shared" si="5"/>
        <v>0.14000000000000004</v>
      </c>
      <c r="B39" s="47">
        <f>B38*EXP((PL_r-0.5*Vol_a^2)*dt+Vol_a*SQRT(dt)*bs!A29)</f>
        <v>104.37504661053859</v>
      </c>
      <c r="C39" s="47">
        <f t="shared" si="0"/>
        <v>10.914885906179308</v>
      </c>
      <c r="D39" s="44">
        <f t="shared" si="1"/>
        <v>0.66142107682805917</v>
      </c>
      <c r="E39" s="47">
        <f t="shared" si="9"/>
        <v>-58.120969816941994</v>
      </c>
      <c r="F39" s="47">
        <f t="shared" si="10"/>
        <v>58.896205249790661</v>
      </c>
      <c r="G39" s="47">
        <f t="shared" si="2"/>
        <v>0.77523543284866747</v>
      </c>
      <c r="I39" s="44"/>
      <c r="J39" s="47">
        <f t="shared" si="11"/>
        <v>-5.4521993962698243</v>
      </c>
      <c r="Q39" s="8">
        <f t="shared" si="3"/>
        <v>100</v>
      </c>
      <c r="R39" s="9">
        <f t="shared" si="4"/>
        <v>1.8897015788648462E-2</v>
      </c>
      <c r="S39" s="8">
        <f t="shared" si="6"/>
        <v>1</v>
      </c>
      <c r="T39" s="9">
        <f t="shared" si="7"/>
        <v>5.5196729057022033E-2</v>
      </c>
      <c r="U39" s="9">
        <f t="shared" si="8"/>
        <v>5.5042394385035123E-2</v>
      </c>
      <c r="V39" s="9">
        <f t="shared" si="12"/>
        <v>-2.7133686877116408E-2</v>
      </c>
    </row>
    <row r="40" spans="1:22">
      <c r="A40" s="8">
        <f t="shared" si="5"/>
        <v>0.14500000000000005</v>
      </c>
      <c r="B40" s="47">
        <f>B39*EXP((PL_r-0.5*Vol_a^2)*dt+Vol_a*SQRT(dt)*bs!A30)</f>
        <v>107.2808847088057</v>
      </c>
      <c r="C40" s="47">
        <f t="shared" si="0"/>
        <v>12.888115323307652</v>
      </c>
      <c r="D40" s="44">
        <f t="shared" si="1"/>
        <v>0.71395116850222629</v>
      </c>
      <c r="E40" s="47">
        <f t="shared" si="9"/>
        <v>-63.705197672496801</v>
      </c>
      <c r="F40" s="47">
        <f t="shared" si="10"/>
        <v>64.537569873445804</v>
      </c>
      <c r="G40" s="47">
        <f t="shared" si="2"/>
        <v>0.83237220094900266</v>
      </c>
      <c r="I40" s="44"/>
      <c r="J40" s="47">
        <f t="shared" si="11"/>
        <v>5.6354747086393164</v>
      </c>
      <c r="Q40" s="8">
        <f t="shared" si="3"/>
        <v>100</v>
      </c>
      <c r="R40" s="9">
        <f t="shared" si="4"/>
        <v>1.7142118376174603E-2</v>
      </c>
      <c r="S40" s="8">
        <f t="shared" si="6"/>
        <v>1</v>
      </c>
      <c r="T40" s="9">
        <f t="shared" si="7"/>
        <v>5.672981951986425E-2</v>
      </c>
      <c r="U40" s="9">
        <f t="shared" si="8"/>
        <v>5.6565541361717549E-2</v>
      </c>
      <c r="V40" s="9">
        <f t="shared" si="12"/>
        <v>2.7840352580726063E-2</v>
      </c>
    </row>
    <row r="41" spans="1:22">
      <c r="A41" s="8">
        <f t="shared" si="5"/>
        <v>0.15000000000000005</v>
      </c>
      <c r="B41" s="47">
        <f>B40*EXP((PL_r-0.5*Vol_a^2)*dt+Vol_a*SQRT(dt)*bs!A31)</f>
        <v>107.72523741061501</v>
      </c>
      <c r="C41" s="47">
        <f t="shared" si="0"/>
        <v>13.181007837235114</v>
      </c>
      <c r="D41" s="44">
        <f t="shared" si="1"/>
        <v>0.72171908151169772</v>
      </c>
      <c r="E41" s="47">
        <f t="shared" si="9"/>
        <v>-64.566351562383531</v>
      </c>
      <c r="F41" s="47">
        <f t="shared" si="10"/>
        <v>65.380824226262078</v>
      </c>
      <c r="G41" s="47">
        <f t="shared" si="2"/>
        <v>0.81447266387854711</v>
      </c>
      <c r="I41" s="44"/>
      <c r="J41" s="47">
        <f t="shared" si="11"/>
        <v>0.83680027313031569</v>
      </c>
      <c r="Q41" s="8">
        <f t="shared" si="3"/>
        <v>100</v>
      </c>
      <c r="R41" s="9">
        <f t="shared" si="4"/>
        <v>1.6896123302666662E-2</v>
      </c>
      <c r="S41" s="8">
        <f t="shared" si="6"/>
        <v>-1</v>
      </c>
      <c r="T41" s="9">
        <f t="shared" si="7"/>
        <v>-1.7925578677102996E-2</v>
      </c>
      <c r="U41" s="9">
        <f t="shared" si="8"/>
        <v>-1.7871882525571092E-2</v>
      </c>
      <c r="V41" s="9">
        <f t="shared" si="12"/>
        <v>4.1419559786016105E-3</v>
      </c>
    </row>
    <row r="42" spans="1:22">
      <c r="A42" s="8">
        <f t="shared" si="5"/>
        <v>0.15500000000000005</v>
      </c>
      <c r="B42" s="47">
        <f>B41*EXP((PL_r-0.5*Vol_a^2)*dt+Vol_a*SQRT(dt)*bs!A32)</f>
        <v>103.4675431440088</v>
      </c>
      <c r="C42" s="47">
        <f t="shared" si="0"/>
        <v>10.242946389056527</v>
      </c>
      <c r="D42" s="44">
        <f t="shared" si="1"/>
        <v>0.64403329628922101</v>
      </c>
      <c r="E42" s="47">
        <f t="shared" si="9"/>
        <v>-56.393596480926647</v>
      </c>
      <c r="F42" s="47">
        <f t="shared" si="10"/>
        <v>57.349405301416922</v>
      </c>
      <c r="G42" s="47">
        <f t="shared" si="2"/>
        <v>0.95580882049027593</v>
      </c>
      <c r="I42" s="44"/>
      <c r="J42" s="47">
        <f t="shared" si="11"/>
        <v>-8.0379573341828099</v>
      </c>
      <c r="Q42" s="8">
        <f t="shared" si="3"/>
        <v>100</v>
      </c>
      <c r="R42" s="9">
        <f t="shared" si="4"/>
        <v>1.9590195808592108E-2</v>
      </c>
      <c r="S42" s="8">
        <f t="shared" si="6"/>
        <v>1</v>
      </c>
      <c r="T42" s="9">
        <f t="shared" si="7"/>
        <v>0.14283413320274804</v>
      </c>
      <c r="U42" s="9">
        <f t="shared" si="8"/>
        <v>0.14239203299918357</v>
      </c>
      <c r="V42" s="9">
        <f t="shared" si="12"/>
        <v>-3.9523647094665527E-2</v>
      </c>
    </row>
    <row r="43" spans="1:22">
      <c r="A43" s="8">
        <f t="shared" si="5"/>
        <v>0.16000000000000006</v>
      </c>
      <c r="B43" s="47">
        <f>B42*EXP((PL_r-0.5*Vol_a^2)*dt+Vol_a*SQRT(dt)*bs!A33)</f>
        <v>103.94156383880787</v>
      </c>
      <c r="C43" s="47">
        <f t="shared" si="0"/>
        <v>10.52378847547331</v>
      </c>
      <c r="D43" s="44">
        <f t="shared" ref="D43:D74" si="14">CallDelta(B43,$E$6,0,PL_r, PL_K, PL_T-A43)</f>
        <v>0.65328449674269384</v>
      </c>
      <c r="E43" s="47">
        <f t="shared" si="9"/>
        <v>-57.379623747610864</v>
      </c>
      <c r="F43" s="47">
        <f t="shared" si="10"/>
        <v>58.316724771223903</v>
      </c>
      <c r="G43" s="47">
        <f t="shared" ref="G43:G74" si="15">F43+E43</f>
        <v>0.93710102361303882</v>
      </c>
      <c r="I43" s="44"/>
      <c r="J43" s="47">
        <f t="shared" si="11"/>
        <v>0.96158424252025443</v>
      </c>
      <c r="Q43" s="8">
        <f t="shared" ref="Q43:Q74" si="16">PL_K</f>
        <v>100</v>
      </c>
      <c r="R43" s="9">
        <f t="shared" ref="R43:R74" si="17">CallGamma(B43,$E$6,0,PL_r, PL_K, PL_T-A43)</f>
        <v>1.9373465295852644E-2</v>
      </c>
      <c r="S43" s="8">
        <f t="shared" si="6"/>
        <v>-1</v>
      </c>
      <c r="T43" s="9">
        <f t="shared" si="7"/>
        <v>-1.8734243488498618E-2</v>
      </c>
      <c r="U43" s="9">
        <f t="shared" si="8"/>
        <v>-1.8674389726429933E-2</v>
      </c>
      <c r="V43" s="9">
        <f t="shared" si="12"/>
        <v>4.5813467720917222E-3</v>
      </c>
    </row>
    <row r="44" spans="1:22">
      <c r="A44" s="8">
        <f t="shared" ref="A44:A75" si="18">A43+dt</f>
        <v>0.16500000000000006</v>
      </c>
      <c r="B44" s="47">
        <f>B43*EXP((PL_r-0.5*Vol_a^2)*dt+Vol_a*SQRT(dt)*bs!A34)</f>
        <v>104.70142153213469</v>
      </c>
      <c r="C44" s="47">
        <f t="shared" si="0"/>
        <v>10.999084224722303</v>
      </c>
      <c r="D44" s="44">
        <f t="shared" si="14"/>
        <v>0.66790762890964239</v>
      </c>
      <c r="E44" s="47">
        <f t="shared" si="9"/>
        <v>-58.931793974274747</v>
      </c>
      <c r="F44" s="47">
        <f t="shared" ref="F44:F75" si="19">J44+F43*EXP(PL_r*dt)</f>
        <v>59.853619460426167</v>
      </c>
      <c r="G44" s="47">
        <f t="shared" si="15"/>
        <v>0.92182548615141968</v>
      </c>
      <c r="I44" s="44"/>
      <c r="J44" s="47">
        <f t="shared" ref="J44:J75" si="20">(D44-D43)*B44</f>
        <v>1.5310627251317983</v>
      </c>
      <c r="Q44" s="8">
        <f t="shared" si="16"/>
        <v>100</v>
      </c>
      <c r="R44" s="9">
        <f t="shared" si="17"/>
        <v>1.8973888090134963E-2</v>
      </c>
      <c r="S44" s="8">
        <f t="shared" ref="S44:S75" si="21">IF(V44^2 &lt; ($E$6^2*dt), -1, 1)</f>
        <v>-1</v>
      </c>
      <c r="T44" s="9">
        <f t="shared" ref="T44:T75" si="22">0.5*R44*(B44^2)*(V44^2-$E$6^2*dt)</f>
        <v>-1.52419246194524E-2</v>
      </c>
      <c r="U44" s="9">
        <f t="shared" ref="U44:U75" si="23">T44*EXP(-PL_r*A44)</f>
        <v>-1.5191709169271518E-2</v>
      </c>
      <c r="V44" s="9">
        <f t="shared" si="12"/>
        <v>7.3104316046774705E-3</v>
      </c>
    </row>
    <row r="45" spans="1:22">
      <c r="A45" s="8">
        <f t="shared" si="18"/>
        <v>0.17000000000000007</v>
      </c>
      <c r="B45" s="47">
        <f>B44*EXP((PL_r-0.5*Vol_a^2)*dt+Vol_a*SQRT(dt)*bs!A35)</f>
        <v>106.0554466216135</v>
      </c>
      <c r="C45" s="47">
        <f t="shared" si="0"/>
        <v>11.894016288440973</v>
      </c>
      <c r="D45" s="44">
        <f t="shared" si="14"/>
        <v>0.69317524309037426</v>
      </c>
      <c r="E45" s="47">
        <f t="shared" si="9"/>
        <v>-61.620993704554174</v>
      </c>
      <c r="F45" s="47">
        <f t="shared" si="19"/>
        <v>62.539373228650419</v>
      </c>
      <c r="G45" s="47">
        <f t="shared" si="15"/>
        <v>0.91837952409624535</v>
      </c>
      <c r="I45" s="44"/>
      <c r="J45" s="47">
        <f t="shared" si="20"/>
        <v>2.6797681070001329</v>
      </c>
      <c r="Q45" s="8">
        <f t="shared" si="16"/>
        <v>100</v>
      </c>
      <c r="R45" s="9">
        <f t="shared" si="17"/>
        <v>1.8174329174295747E-2</v>
      </c>
      <c r="S45" s="8">
        <f t="shared" si="21"/>
        <v>-1</v>
      </c>
      <c r="T45" s="9">
        <f t="shared" si="22"/>
        <v>-3.3480878629136711E-3</v>
      </c>
      <c r="U45" s="9">
        <f t="shared" si="23"/>
        <v>-3.3367236942140346E-3</v>
      </c>
      <c r="V45" s="9">
        <f t="shared" si="12"/>
        <v>1.2932251249933949E-2</v>
      </c>
    </row>
    <row r="46" spans="1:22">
      <c r="A46" s="8">
        <f t="shared" si="18"/>
        <v>0.17500000000000007</v>
      </c>
      <c r="B46" s="47">
        <f>B45*EXP((PL_r-0.5*Vol_a^2)*dt+Vol_a*SQRT(dt)*bs!A36)</f>
        <v>110.7717111152209</v>
      </c>
      <c r="C46" s="47">
        <f t="shared" si="0"/>
        <v>15.328301804336604</v>
      </c>
      <c r="D46" s="44">
        <f t="shared" si="14"/>
        <v>0.77180641974203235</v>
      </c>
      <c r="E46" s="47">
        <f t="shared" si="9"/>
        <v>-70.166015960200724</v>
      </c>
      <c r="F46" s="47">
        <f t="shared" si="19"/>
        <v>71.255737463387959</v>
      </c>
      <c r="G46" s="47">
        <f t="shared" si="15"/>
        <v>1.0897215031872349</v>
      </c>
      <c r="I46" s="44"/>
      <c r="J46" s="47">
        <f t="shared" si="20"/>
        <v>8.7101099847073726</v>
      </c>
      <c r="Q46" s="8">
        <f t="shared" si="16"/>
        <v>100</v>
      </c>
      <c r="R46" s="9">
        <f t="shared" si="17"/>
        <v>1.5023251464196348E-2</v>
      </c>
      <c r="S46" s="8">
        <f t="shared" si="21"/>
        <v>1</v>
      </c>
      <c r="T46" s="9">
        <f t="shared" si="22"/>
        <v>0.16383877709275449</v>
      </c>
      <c r="U46" s="9">
        <f t="shared" si="23"/>
        <v>0.16326634371569865</v>
      </c>
      <c r="V46" s="9">
        <f t="shared" si="12"/>
        <v>4.4469799938084927E-2</v>
      </c>
    </row>
    <row r="47" spans="1:22">
      <c r="A47" s="8">
        <f t="shared" si="18"/>
        <v>0.18000000000000008</v>
      </c>
      <c r="B47" s="47">
        <f>B46*EXP((PL_r-0.5*Vol_a^2)*dt+Vol_a*SQRT(dt)*bs!A37)</f>
        <v>113.63578185001649</v>
      </c>
      <c r="C47" s="47">
        <f t="shared" si="0"/>
        <v>17.573370496044873</v>
      </c>
      <c r="D47" s="44">
        <f t="shared" si="14"/>
        <v>0.81243935982258353</v>
      </c>
      <c r="E47" s="47">
        <f t="shared" si="9"/>
        <v>-74.748811363121277</v>
      </c>
      <c r="F47" s="47">
        <f t="shared" si="19"/>
        <v>75.880219308343172</v>
      </c>
      <c r="G47" s="47">
        <f t="shared" si="15"/>
        <v>1.1314079452218948</v>
      </c>
      <c r="I47" s="44"/>
      <c r="J47" s="47">
        <f t="shared" si="20"/>
        <v>4.6173559149183054</v>
      </c>
      <c r="Q47" s="8">
        <f t="shared" si="16"/>
        <v>100</v>
      </c>
      <c r="R47" s="9">
        <f t="shared" si="17"/>
        <v>1.3081082941721894E-2</v>
      </c>
      <c r="S47" s="8">
        <f t="shared" si="21"/>
        <v>1</v>
      </c>
      <c r="T47" s="9">
        <f t="shared" si="22"/>
        <v>3.9569941333258467E-2</v>
      </c>
      <c r="U47" s="9">
        <f t="shared" si="23"/>
        <v>3.9427745650259437E-2</v>
      </c>
      <c r="V47" s="9">
        <f t="shared" si="12"/>
        <v>2.5855615174315422E-2</v>
      </c>
    </row>
    <row r="48" spans="1:22">
      <c r="A48" s="8">
        <f t="shared" si="18"/>
        <v>0.18500000000000008</v>
      </c>
      <c r="B48" s="47">
        <f>B47*EXP((PL_r-0.5*Vol_a^2)*dt+Vol_a*SQRT(dt)*bs!A38)</f>
        <v>118.41529523950531</v>
      </c>
      <c r="C48" s="47">
        <f t="shared" si="0"/>
        <v>21.571625827845622</v>
      </c>
      <c r="D48" s="44">
        <f t="shared" si="14"/>
        <v>0.86794134121231692</v>
      </c>
      <c r="E48" s="47">
        <f t="shared" si="9"/>
        <v>-81.205904342383107</v>
      </c>
      <c r="F48" s="47">
        <f t="shared" si="19"/>
        <v>82.460091222330561</v>
      </c>
      <c r="G48" s="47">
        <f t="shared" si="15"/>
        <v>1.2541868799474543</v>
      </c>
      <c r="I48" s="44"/>
      <c r="J48" s="47">
        <f t="shared" si="20"/>
        <v>6.5722835126428087</v>
      </c>
      <c r="Q48" s="8">
        <f t="shared" si="16"/>
        <v>100</v>
      </c>
      <c r="R48" s="9">
        <f t="shared" si="17"/>
        <v>1.0002317621105539E-2</v>
      </c>
      <c r="S48" s="8">
        <f t="shared" si="21"/>
        <v>1</v>
      </c>
      <c r="T48" s="9">
        <f t="shared" si="22"/>
        <v>0.11003217696819785</v>
      </c>
      <c r="U48" s="9">
        <f t="shared" si="23"/>
        <v>0.1096258101556155</v>
      </c>
      <c r="V48" s="9">
        <f t="shared" si="12"/>
        <v>4.2059933162576585E-2</v>
      </c>
    </row>
    <row r="49" spans="1:22">
      <c r="A49" s="8">
        <f t="shared" si="18"/>
        <v>0.19000000000000009</v>
      </c>
      <c r="B49" s="47">
        <f>B48*EXP((PL_r-0.5*Vol_a^2)*dt+Vol_a*SQRT(dt)*bs!A39)</f>
        <v>124.1440796948097</v>
      </c>
      <c r="C49" s="47">
        <f t="shared" si="0"/>
        <v>26.670642485785848</v>
      </c>
      <c r="D49" s="44">
        <f t="shared" si="14"/>
        <v>0.91643955662550591</v>
      </c>
      <c r="E49" s="47">
        <f t="shared" si="9"/>
        <v>-87.099902867407025</v>
      </c>
      <c r="F49" s="47">
        <f t="shared" si="19"/>
        <v>88.48910396307798</v>
      </c>
      <c r="G49" s="47">
        <f t="shared" si="15"/>
        <v>1.3892010956709555</v>
      </c>
      <c r="I49" s="44"/>
      <c r="J49" s="47">
        <f t="shared" si="20"/>
        <v>6.0207663193109831</v>
      </c>
      <c r="Q49" s="8">
        <f t="shared" si="16"/>
        <v>100</v>
      </c>
      <c r="R49" s="9">
        <f t="shared" si="17"/>
        <v>6.8749267271749756E-3</v>
      </c>
      <c r="S49" s="8">
        <f t="shared" si="21"/>
        <v>1</v>
      </c>
      <c r="T49" s="9">
        <f t="shared" si="22"/>
        <v>0.11339818895315854</v>
      </c>
      <c r="U49" s="9">
        <f t="shared" si="23"/>
        <v>0.112968093533981</v>
      </c>
      <c r="V49" s="9">
        <f t="shared" si="12"/>
        <v>4.8378754144195846E-2</v>
      </c>
    </row>
    <row r="50" spans="1:22">
      <c r="A50" s="8">
        <f t="shared" si="18"/>
        <v>0.19500000000000009</v>
      </c>
      <c r="B50" s="47">
        <f>B49*EXP((PL_r-0.5*Vol_a^2)*dt+Vol_a*SQRT(dt)*bs!A40)</f>
        <v>120.3456056101456</v>
      </c>
      <c r="C50" s="47">
        <f t="shared" si="0"/>
        <v>23.222560854137683</v>
      </c>
      <c r="D50" s="44">
        <f t="shared" si="14"/>
        <v>0.88714968565305696</v>
      </c>
      <c r="E50" s="47">
        <f t="shared" si="9"/>
        <v>-83.542005332629756</v>
      </c>
      <c r="F50" s="47">
        <f t="shared" si="19"/>
        <v>84.973046055512171</v>
      </c>
      <c r="G50" s="47">
        <f t="shared" si="15"/>
        <v>1.4310407228824147</v>
      </c>
      <c r="I50" s="44"/>
      <c r="J50" s="47">
        <f t="shared" si="20"/>
        <v>-3.5249072604223932</v>
      </c>
      <c r="Q50" s="8">
        <f t="shared" si="16"/>
        <v>100</v>
      </c>
      <c r="R50" s="9">
        <f t="shared" si="17"/>
        <v>8.8681557020421093E-3</v>
      </c>
      <c r="S50" s="8">
        <f t="shared" si="21"/>
        <v>1</v>
      </c>
      <c r="T50" s="9">
        <f t="shared" si="22"/>
        <v>4.7277732622443905E-2</v>
      </c>
      <c r="U50" s="9">
        <f t="shared" si="23"/>
        <v>4.7093708545417036E-2</v>
      </c>
      <c r="V50" s="9">
        <f t="shared" si="12"/>
        <v>-3.0597303504138963E-2</v>
      </c>
    </row>
    <row r="51" spans="1:22">
      <c r="A51" s="8">
        <f t="shared" si="18"/>
        <v>0.20000000000000009</v>
      </c>
      <c r="B51" s="47">
        <f>B50*EXP((PL_r-0.5*Vol_a^2)*dt+Vol_a*SQRT(dt)*bs!A41)</f>
        <v>121.25064076199224</v>
      </c>
      <c r="C51" s="47">
        <f t="shared" si="0"/>
        <v>24.008284166089851</v>
      </c>
      <c r="D51" s="44">
        <f t="shared" si="14"/>
        <v>0.89545159381325945</v>
      </c>
      <c r="E51" s="47">
        <f t="shared" si="9"/>
        <v>-84.565795355115071</v>
      </c>
      <c r="F51" s="47">
        <f t="shared" si="19"/>
        <v>85.988155468968884</v>
      </c>
      <c r="G51" s="47">
        <f t="shared" si="15"/>
        <v>1.4223601138538129</v>
      </c>
      <c r="I51" s="44"/>
      <c r="J51" s="47">
        <f t="shared" si="20"/>
        <v>1.0066116839717636</v>
      </c>
      <c r="Q51" s="8">
        <f t="shared" si="16"/>
        <v>100</v>
      </c>
      <c r="R51" s="9">
        <f t="shared" si="17"/>
        <v>8.3572698245838479E-3</v>
      </c>
      <c r="S51" s="8">
        <f t="shared" si="21"/>
        <v>-1</v>
      </c>
      <c r="T51" s="9">
        <f t="shared" si="22"/>
        <v>-8.8122773762035079E-3</v>
      </c>
      <c r="U51" s="9">
        <f t="shared" si="23"/>
        <v>-8.7770986710140001E-3</v>
      </c>
      <c r="V51" s="9">
        <f t="shared" si="12"/>
        <v>7.5203007808899098E-3</v>
      </c>
    </row>
    <row r="52" spans="1:22">
      <c r="A52" s="8">
        <f t="shared" si="18"/>
        <v>0.2050000000000001</v>
      </c>
      <c r="B52" s="47">
        <f>B51*EXP((PL_r-0.5*Vol_a^2)*dt+Vol_a*SQRT(dt)*bs!A42)</f>
        <v>119.93173747015612</v>
      </c>
      <c r="C52" s="47">
        <f t="shared" si="0"/>
        <v>22.813331341661069</v>
      </c>
      <c r="D52" s="44">
        <f t="shared" si="14"/>
        <v>0.88445248439704915</v>
      </c>
      <c r="E52" s="47">
        <f t="shared" si="9"/>
        <v>-83.260591821873177</v>
      </c>
      <c r="F52" s="47">
        <f t="shared" si="19"/>
        <v>84.677612411560446</v>
      </c>
      <c r="G52" s="47">
        <f t="shared" si="15"/>
        <v>1.4170205896872687</v>
      </c>
      <c r="I52" s="44"/>
      <c r="J52" s="47">
        <f t="shared" si="20"/>
        <v>-1.3191423029104552</v>
      </c>
      <c r="Q52" s="8">
        <f t="shared" si="16"/>
        <v>100</v>
      </c>
      <c r="R52" s="9">
        <f t="shared" si="17"/>
        <v>9.106456673693919E-3</v>
      </c>
      <c r="S52" s="8">
        <f t="shared" si="21"/>
        <v>-1</v>
      </c>
      <c r="T52" s="9">
        <f t="shared" si="22"/>
        <v>-5.3493856000324013E-3</v>
      </c>
      <c r="U52" s="9">
        <f t="shared" si="23"/>
        <v>-5.3274980192736677E-3</v>
      </c>
      <c r="V52" s="9">
        <f t="shared" si="12"/>
        <v>-1.0877495438766796E-2</v>
      </c>
    </row>
    <row r="53" spans="1:22">
      <c r="A53" s="8">
        <f t="shared" si="18"/>
        <v>0.2100000000000001</v>
      </c>
      <c r="B53" s="47">
        <f>B52*EXP((PL_r-0.5*Vol_a^2)*dt+Vol_a*SQRT(dt)*bs!A43)</f>
        <v>120.83547852124042</v>
      </c>
      <c r="C53" s="47">
        <f t="shared" si="0"/>
        <v>23.595334227279764</v>
      </c>
      <c r="D53" s="44">
        <f t="shared" si="14"/>
        <v>0.89296154378113424</v>
      </c>
      <c r="E53" s="47">
        <f t="shared" si="9"/>
        <v>-84.306101216579165</v>
      </c>
      <c r="F53" s="47">
        <f t="shared" si="19"/>
        <v>85.714276858645349</v>
      </c>
      <c r="G53" s="47">
        <f t="shared" si="15"/>
        <v>1.4081756420661833</v>
      </c>
      <c r="I53" s="44"/>
      <c r="J53" s="47">
        <f t="shared" si="20"/>
        <v>1.0281962624415721</v>
      </c>
      <c r="Q53" s="8">
        <f t="shared" si="16"/>
        <v>100</v>
      </c>
      <c r="R53" s="9">
        <f t="shared" si="17"/>
        <v>8.5837063320331648E-3</v>
      </c>
      <c r="S53" s="8">
        <f t="shared" si="21"/>
        <v>-1</v>
      </c>
      <c r="T53" s="9">
        <f t="shared" si="22"/>
        <v>-8.9748622397871937E-3</v>
      </c>
      <c r="U53" s="9">
        <f t="shared" si="23"/>
        <v>-8.9372468659597078E-3</v>
      </c>
      <c r="V53" s="9">
        <f t="shared" si="12"/>
        <v>7.5354620065367058E-3</v>
      </c>
    </row>
    <row r="54" spans="1:22">
      <c r="A54" s="8">
        <f t="shared" si="18"/>
        <v>0.21500000000000011</v>
      </c>
      <c r="B54" s="47">
        <f>B53*EXP((PL_r-0.5*Vol_a^2)*dt+Vol_a*SQRT(dt)*bs!A44)</f>
        <v>123.09147704427784</v>
      </c>
      <c r="C54" s="47">
        <f t="shared" si="0"/>
        <v>25.610834596395179</v>
      </c>
      <c r="D54" s="44">
        <f t="shared" si="14"/>
        <v>0.91143491224895545</v>
      </c>
      <c r="E54" s="47">
        <f t="shared" si="9"/>
        <v>-86.579034982050501</v>
      </c>
      <c r="F54" s="47">
        <f t="shared" si="19"/>
        <v>87.996762925604187</v>
      </c>
      <c r="G54" s="47">
        <f t="shared" si="15"/>
        <v>1.417727943553686</v>
      </c>
      <c r="I54" s="44"/>
      <c r="J54" s="47">
        <f t="shared" si="20"/>
        <v>2.2739142106873014</v>
      </c>
      <c r="Q54" s="8">
        <f t="shared" si="16"/>
        <v>100</v>
      </c>
      <c r="R54" s="9">
        <f t="shared" si="17"/>
        <v>7.3565609380745935E-3</v>
      </c>
      <c r="S54" s="8">
        <f t="shared" si="21"/>
        <v>1</v>
      </c>
      <c r="T54" s="9">
        <f t="shared" si="22"/>
        <v>8.2799714771161822E-3</v>
      </c>
      <c r="U54" s="9">
        <f t="shared" si="23"/>
        <v>8.2444440384994537E-3</v>
      </c>
      <c r="V54" s="9">
        <f t="shared" si="12"/>
        <v>1.8670001150703937E-2</v>
      </c>
    </row>
    <row r="55" spans="1:22">
      <c r="A55" s="8">
        <f t="shared" si="18"/>
        <v>0.22000000000000011</v>
      </c>
      <c r="B55" s="47">
        <f>B54*EXP((PL_r-0.5*Vol_a^2)*dt+Vol_a*SQRT(dt)*bs!A45)</f>
        <v>124.0051598797219</v>
      </c>
      <c r="C55" s="47">
        <f t="shared" si="0"/>
        <v>26.427264822406258</v>
      </c>
      <c r="D55" s="44">
        <f t="shared" si="14"/>
        <v>0.91844665842970852</v>
      </c>
      <c r="E55" s="47">
        <f t="shared" si="9"/>
        <v>-87.464859897166079</v>
      </c>
      <c r="F55" s="47">
        <f t="shared" si="19"/>
        <v>88.875055748075539</v>
      </c>
      <c r="G55" s="47">
        <f t="shared" si="15"/>
        <v>1.4101958509094601</v>
      </c>
      <c r="I55" s="44"/>
      <c r="J55" s="47">
        <f t="shared" si="20"/>
        <v>0.86949270618031316</v>
      </c>
      <c r="Q55" s="8">
        <f t="shared" si="16"/>
        <v>100</v>
      </c>
      <c r="R55" s="9">
        <f t="shared" si="17"/>
        <v>6.8865434637282764E-3</v>
      </c>
      <c r="S55" s="8">
        <f t="shared" si="21"/>
        <v>-1</v>
      </c>
      <c r="T55" s="9">
        <f t="shared" si="22"/>
        <v>-7.6722990150595895E-3</v>
      </c>
      <c r="U55" s="9">
        <f t="shared" si="23"/>
        <v>-7.63861505844132E-3</v>
      </c>
      <c r="V55" s="9">
        <f t="shared" si="12"/>
        <v>7.4227952851308992E-3</v>
      </c>
    </row>
    <row r="56" spans="1:22">
      <c r="A56" s="8">
        <f t="shared" si="18"/>
        <v>0.22500000000000012</v>
      </c>
      <c r="B56" s="47">
        <f>B55*EXP((PL_r-0.5*Vol_a^2)*dt+Vol_a*SQRT(dt)*bs!A46)</f>
        <v>120.99177807743155</v>
      </c>
      <c r="C56" s="47">
        <f t="shared" si="0"/>
        <v>23.672344184364178</v>
      </c>
      <c r="D56" s="44">
        <f t="shared" si="14"/>
        <v>0.89586427914562117</v>
      </c>
      <c r="E56" s="47">
        <f t="shared" si="9"/>
        <v>-84.71986786552101</v>
      </c>
      <c r="F56" s="47">
        <f t="shared" si="19"/>
        <v>86.151661475239763</v>
      </c>
      <c r="G56" s="47">
        <f t="shared" si="15"/>
        <v>1.4317936097187527</v>
      </c>
      <c r="I56" s="44"/>
      <c r="J56" s="47">
        <f t="shared" si="20"/>
        <v>-2.7322822228006842</v>
      </c>
      <c r="Q56" s="8">
        <f t="shared" si="16"/>
        <v>100</v>
      </c>
      <c r="R56" s="9">
        <f t="shared" si="17"/>
        <v>8.4848063908071827E-3</v>
      </c>
      <c r="S56" s="8">
        <f t="shared" si="21"/>
        <v>1</v>
      </c>
      <c r="T56" s="9">
        <f t="shared" si="22"/>
        <v>2.4252592344982508E-2</v>
      </c>
      <c r="U56" s="9">
        <f t="shared" si="23"/>
        <v>2.4143700869005337E-2</v>
      </c>
      <c r="V56" s="9">
        <f t="shared" si="12"/>
        <v>-2.4300454958593388E-2</v>
      </c>
    </row>
    <row r="57" spans="1:22">
      <c r="A57" s="8">
        <f t="shared" si="18"/>
        <v>0.23000000000000012</v>
      </c>
      <c r="B57" s="47">
        <f>B56*EXP((PL_r-0.5*Vol_a^2)*dt+Vol_a*SQRT(dt)*bs!A47)</f>
        <v>116.47967722280387</v>
      </c>
      <c r="C57" s="47">
        <f t="shared" si="0"/>
        <v>19.702356010053762</v>
      </c>
      <c r="D57" s="44">
        <f t="shared" si="14"/>
        <v>0.85192247504160212</v>
      </c>
      <c r="E57" s="47">
        <f t="shared" si="9"/>
        <v>-79.529298901644239</v>
      </c>
      <c r="F57" s="47">
        <f t="shared" si="19"/>
        <v>81.041949913536143</v>
      </c>
      <c r="G57" s="47">
        <f t="shared" si="15"/>
        <v>1.5126510118919043</v>
      </c>
      <c r="I57" s="44"/>
      <c r="J57" s="47">
        <f t="shared" si="20"/>
        <v>-5.118327158623817</v>
      </c>
      <c r="Q57" s="8">
        <f t="shared" si="16"/>
        <v>100</v>
      </c>
      <c r="R57" s="9">
        <f t="shared" si="17"/>
        <v>1.1307951839402241E-2</v>
      </c>
      <c r="S57" s="8">
        <f t="shared" si="21"/>
        <v>1</v>
      </c>
      <c r="T57" s="9">
        <f t="shared" si="22"/>
        <v>9.1342130272790728E-2</v>
      </c>
      <c r="U57" s="9">
        <f t="shared" si="23"/>
        <v>9.0922921393163769E-2</v>
      </c>
      <c r="V57" s="9">
        <f t="shared" si="12"/>
        <v>-3.7292623732994898E-2</v>
      </c>
    </row>
    <row r="58" spans="1:22">
      <c r="A58" s="8">
        <f t="shared" si="18"/>
        <v>0.23500000000000013</v>
      </c>
      <c r="B58" s="47">
        <f>B57*EXP((PL_r-0.5*Vol_a^2)*dt+Vol_a*SQRT(dt)*bs!A48)</f>
        <v>109.54120200835705</v>
      </c>
      <c r="C58" s="47">
        <f t="shared" si="0"/>
        <v>14.076148697954324</v>
      </c>
      <c r="D58" s="44">
        <f t="shared" si="14"/>
        <v>0.75675037578740745</v>
      </c>
      <c r="E58" s="47">
        <f t="shared" si="9"/>
        <v>-68.819197086074183</v>
      </c>
      <c r="F58" s="47">
        <f t="shared" si="19"/>
        <v>70.624788363787601</v>
      </c>
      <c r="G58" s="47">
        <f t="shared" si="15"/>
        <v>1.8055912777134182</v>
      </c>
      <c r="I58" s="44"/>
      <c r="J58" s="47">
        <f t="shared" si="20"/>
        <v>-10.425266149963146</v>
      </c>
      <c r="Q58" s="8">
        <f t="shared" si="16"/>
        <v>100</v>
      </c>
      <c r="R58" s="9">
        <f t="shared" si="17"/>
        <v>1.6342417822557645E-2</v>
      </c>
      <c r="S58" s="8">
        <f t="shared" si="21"/>
        <v>1</v>
      </c>
      <c r="T58" s="9">
        <f t="shared" si="22"/>
        <v>0.32830202361733085</v>
      </c>
      <c r="U58" s="9">
        <f t="shared" si="23"/>
        <v>0.32676262452796551</v>
      </c>
      <c r="V58" s="9">
        <f t="shared" si="12"/>
        <v>-5.9568118489672819E-2</v>
      </c>
    </row>
    <row r="59" spans="1:22">
      <c r="A59" s="8">
        <f t="shared" si="18"/>
        <v>0.24000000000000013</v>
      </c>
      <c r="B59" s="47">
        <f>B58*EXP((PL_r-0.5*Vol_a^2)*dt+Vol_a*SQRT(dt)*bs!A49)</f>
        <v>108.30714373096494</v>
      </c>
      <c r="C59" s="47">
        <f t="shared" si="0"/>
        <v>13.128026370822212</v>
      </c>
      <c r="D59" s="44">
        <f t="shared" si="14"/>
        <v>0.73632154370994207</v>
      </c>
      <c r="E59" s="47">
        <f t="shared" si="9"/>
        <v>-66.620856895976459</v>
      </c>
      <c r="F59" s="47">
        <f t="shared" si="19"/>
        <v>68.419262743689899</v>
      </c>
      <c r="G59" s="47">
        <f t="shared" si="15"/>
        <v>1.7984058477134397</v>
      </c>
      <c r="I59" s="44"/>
      <c r="J59" s="47">
        <f t="shared" si="20"/>
        <v>-2.2125884520697894</v>
      </c>
      <c r="Q59" s="8">
        <f t="shared" si="16"/>
        <v>100</v>
      </c>
      <c r="R59" s="9">
        <f t="shared" si="17"/>
        <v>1.7300944758548573E-2</v>
      </c>
      <c r="S59" s="8">
        <f t="shared" si="21"/>
        <v>-1</v>
      </c>
      <c r="T59" s="9">
        <f t="shared" si="22"/>
        <v>-7.4161142299236198E-3</v>
      </c>
      <c r="U59" s="9">
        <f t="shared" si="23"/>
        <v>-7.3806021787259733E-3</v>
      </c>
      <c r="V59" s="9">
        <f t="shared" si="12"/>
        <v>-1.1265699615912199E-2</v>
      </c>
    </row>
    <row r="60" spans="1:22">
      <c r="A60" s="8">
        <f t="shared" si="18"/>
        <v>0.24500000000000013</v>
      </c>
      <c r="B60" s="47">
        <f>B59*EXP((PL_r-0.5*Vol_a^2)*dt+Vol_a*SQRT(dt)*bs!A50)</f>
        <v>109.57044145268056</v>
      </c>
      <c r="C60" s="47">
        <f t="shared" si="0"/>
        <v>14.045209290000813</v>
      </c>
      <c r="D60" s="44">
        <f t="shared" si="14"/>
        <v>0.75794733712611817</v>
      </c>
      <c r="E60" s="47">
        <f t="shared" si="9"/>
        <v>-69.003415036791651</v>
      </c>
      <c r="F60" s="47">
        <f t="shared" si="19"/>
        <v>70.79565274344688</v>
      </c>
      <c r="G60" s="47">
        <f t="shared" si="15"/>
        <v>1.7922377066552286</v>
      </c>
      <c r="I60" s="44"/>
      <c r="J60" s="47">
        <f t="shared" si="20"/>
        <v>2.3695477313748876</v>
      </c>
      <c r="Q60" s="8">
        <f t="shared" si="16"/>
        <v>100</v>
      </c>
      <c r="R60" s="9">
        <f t="shared" si="17"/>
        <v>1.6402035286340318E-2</v>
      </c>
      <c r="S60" s="8">
        <f t="shared" si="21"/>
        <v>-1</v>
      </c>
      <c r="T60" s="9">
        <f t="shared" si="22"/>
        <v>-6.2964815996747426E-3</v>
      </c>
      <c r="U60" s="9">
        <f t="shared" si="23"/>
        <v>-6.2657043057865727E-3</v>
      </c>
      <c r="V60" s="9">
        <f t="shared" si="12"/>
        <v>1.1664029520099336E-2</v>
      </c>
    </row>
    <row r="61" spans="1:22">
      <c r="A61" s="8">
        <f t="shared" si="18"/>
        <v>0.25000000000000011</v>
      </c>
      <c r="B61" s="47">
        <f>B60*EXP((PL_r-0.5*Vol_a^2)*dt+Vol_a*SQRT(dt)*bs!A51)</f>
        <v>111.71295461780345</v>
      </c>
      <c r="C61" s="47">
        <f t="shared" si="0"/>
        <v>15.679777617911384</v>
      </c>
      <c r="D61" s="44">
        <f t="shared" si="14"/>
        <v>0.7918029023475065</v>
      </c>
      <c r="E61" s="47">
        <f t="shared" si="9"/>
        <v>-72.774864078280658</v>
      </c>
      <c r="F61" s="47">
        <f t="shared" si="19"/>
        <v>74.584837883848337</v>
      </c>
      <c r="G61" s="47">
        <f t="shared" si="15"/>
        <v>1.8099738055676795</v>
      </c>
      <c r="I61" s="44"/>
      <c r="J61" s="47">
        <f t="shared" si="20"/>
        <v>3.782105221137039</v>
      </c>
      <c r="Q61" s="8">
        <f t="shared" si="16"/>
        <v>100</v>
      </c>
      <c r="R61" s="9">
        <f t="shared" si="17"/>
        <v>1.4819270318695767E-2</v>
      </c>
      <c r="S61" s="8">
        <f t="shared" si="21"/>
        <v>1</v>
      </c>
      <c r="T61" s="9">
        <f t="shared" si="22"/>
        <v>1.6861947857079597E-2</v>
      </c>
      <c r="U61" s="9">
        <f t="shared" si="23"/>
        <v>1.6777848541290507E-2</v>
      </c>
      <c r="V61" s="9">
        <f t="shared" si="12"/>
        <v>1.9553751328529281E-2</v>
      </c>
    </row>
    <row r="62" spans="1:22">
      <c r="A62" s="8">
        <f t="shared" si="18"/>
        <v>0.25500000000000012</v>
      </c>
      <c r="B62" s="47">
        <f>B61*EXP((PL_r-0.5*Vol_a^2)*dt+Vol_a*SQRT(dt)*bs!A52)</f>
        <v>112.45339155807028</v>
      </c>
      <c r="C62" s="47">
        <f t="shared" si="0"/>
        <v>16.244612418596688</v>
      </c>
      <c r="D62" s="44">
        <f t="shared" si="14"/>
        <v>0.80303869577628662</v>
      </c>
      <c r="E62" s="47">
        <f t="shared" si="9"/>
        <v>-74.059812473816152</v>
      </c>
      <c r="F62" s="47">
        <f t="shared" si="19"/>
        <v>75.855799818485551</v>
      </c>
      <c r="G62" s="47">
        <f t="shared" si="15"/>
        <v>1.795987344669399</v>
      </c>
      <c r="I62" s="44"/>
      <c r="J62" s="47">
        <f t="shared" si="20"/>
        <v>1.2635030779122034</v>
      </c>
      <c r="Q62" s="8">
        <f t="shared" si="16"/>
        <v>100</v>
      </c>
      <c r="R62" s="9">
        <f t="shared" si="17"/>
        <v>1.4289168795430072E-2</v>
      </c>
      <c r="S62" s="8">
        <f t="shared" si="21"/>
        <v>-1</v>
      </c>
      <c r="T62" s="9">
        <f t="shared" si="22"/>
        <v>-1.4100655453909226E-2</v>
      </c>
      <c r="U62" s="9">
        <f t="shared" si="23"/>
        <v>-1.4028925178771195E-2</v>
      </c>
      <c r="V62" s="9">
        <f t="shared" si="12"/>
        <v>6.6280311249491426E-3</v>
      </c>
    </row>
    <row r="63" spans="1:22">
      <c r="A63" s="8">
        <f t="shared" si="18"/>
        <v>0.26000000000000012</v>
      </c>
      <c r="B63" s="47">
        <f>B62*EXP((PL_r-0.5*Vol_a^2)*dt+Vol_a*SQRT(dt)*bs!A53)</f>
        <v>110.99733436303991</v>
      </c>
      <c r="C63" s="47">
        <f t="shared" si="0"/>
        <v>15.0647259940407</v>
      </c>
      <c r="D63" s="44">
        <f t="shared" si="14"/>
        <v>0.78185913913866645</v>
      </c>
      <c r="E63" s="47">
        <f t="shared" si="9"/>
        <v>-71.719554297732401</v>
      </c>
      <c r="F63" s="47">
        <f t="shared" si="19"/>
        <v>73.512511447992182</v>
      </c>
      <c r="G63" s="47">
        <f t="shared" si="15"/>
        <v>1.792957150259781</v>
      </c>
      <c r="I63" s="44"/>
      <c r="J63" s="47">
        <f t="shared" si="20"/>
        <v>-2.3508743297668668</v>
      </c>
      <c r="Q63" s="8">
        <f t="shared" si="16"/>
        <v>100</v>
      </c>
      <c r="R63" s="9">
        <f t="shared" si="17"/>
        <v>1.5429478612217554E-2</v>
      </c>
      <c r="S63" s="8">
        <f t="shared" si="21"/>
        <v>-1</v>
      </c>
      <c r="T63" s="9">
        <f t="shared" si="22"/>
        <v>-3.0745259599533952E-3</v>
      </c>
      <c r="U63" s="9">
        <f t="shared" si="23"/>
        <v>-3.0585799205956935E-3</v>
      </c>
      <c r="V63" s="9">
        <f t="shared" si="12"/>
        <v>-1.2948094982786436E-2</v>
      </c>
    </row>
    <row r="64" spans="1:22">
      <c r="A64" s="8">
        <f t="shared" si="18"/>
        <v>0.26500000000000012</v>
      </c>
      <c r="B64" s="47">
        <f>B63*EXP((PL_r-0.5*Vol_a^2)*dt+Vol_a*SQRT(dt)*bs!A54)</f>
        <v>110.40148213703804</v>
      </c>
      <c r="C64" s="47">
        <f t="shared" si="0"/>
        <v>14.575161590153598</v>
      </c>
      <c r="D64" s="44">
        <f t="shared" si="14"/>
        <v>0.7729424861271913</v>
      </c>
      <c r="E64" s="47">
        <f t="shared" si="9"/>
        <v>-70.758834484975281</v>
      </c>
      <c r="F64" s="47">
        <f t="shared" si="19"/>
        <v>72.535451358543256</v>
      </c>
      <c r="G64" s="47">
        <f t="shared" si="15"/>
        <v>1.7766168735679742</v>
      </c>
      <c r="I64" s="44"/>
      <c r="J64" s="47">
        <f t="shared" si="20"/>
        <v>-0.98441170816854029</v>
      </c>
      <c r="Q64" s="8">
        <f t="shared" si="16"/>
        <v>100</v>
      </c>
      <c r="R64" s="9">
        <f t="shared" si="17"/>
        <v>1.5925051317681762E-2</v>
      </c>
      <c r="S64" s="8">
        <f t="shared" si="21"/>
        <v>-1</v>
      </c>
      <c r="T64" s="9">
        <f t="shared" si="22"/>
        <v>-1.6613484691527781E-2</v>
      </c>
      <c r="U64" s="9">
        <f t="shared" si="23"/>
        <v>-1.6525666147373174E-2</v>
      </c>
      <c r="V64" s="9">
        <f t="shared" si="12"/>
        <v>-5.3681669872630271E-3</v>
      </c>
    </row>
    <row r="65" spans="1:22">
      <c r="A65" s="8">
        <f t="shared" si="18"/>
        <v>0.27000000000000013</v>
      </c>
      <c r="B65" s="47">
        <f>B64*EXP((PL_r-0.5*Vol_a^2)*dt+Vol_a*SQRT(dt)*bs!A55)</f>
        <v>108.90828425069409</v>
      </c>
      <c r="C65" s="47">
        <f t="shared" si="0"/>
        <v>13.412099260730329</v>
      </c>
      <c r="D65" s="44">
        <f t="shared" si="14"/>
        <v>0.74865745884627732</v>
      </c>
      <c r="E65" s="47">
        <f t="shared" si="9"/>
        <v>-68.122900073702354</v>
      </c>
      <c r="F65" s="47">
        <f t="shared" si="19"/>
        <v>69.897864612222818</v>
      </c>
      <c r="G65" s="47">
        <f t="shared" si="15"/>
        <v>1.7749645385204644</v>
      </c>
      <c r="I65" s="44"/>
      <c r="J65" s="47">
        <f t="shared" si="20"/>
        <v>-2.6448406541456397</v>
      </c>
      <c r="Q65" s="8">
        <f t="shared" si="16"/>
        <v>100</v>
      </c>
      <c r="R65" s="9">
        <f t="shared" si="17"/>
        <v>1.7123854851542223E-2</v>
      </c>
      <c r="S65" s="8">
        <f t="shared" si="21"/>
        <v>-1</v>
      </c>
      <c r="T65" s="9">
        <f t="shared" si="22"/>
        <v>-1.733512559320863E-3</v>
      </c>
      <c r="U65" s="9">
        <f t="shared" si="23"/>
        <v>-1.7241768206806927E-3</v>
      </c>
      <c r="V65" s="9">
        <f t="shared" si="12"/>
        <v>-1.3525161596023575E-2</v>
      </c>
    </row>
    <row r="66" spans="1:22">
      <c r="A66" s="8">
        <f t="shared" si="18"/>
        <v>0.27500000000000013</v>
      </c>
      <c r="B66" s="47">
        <f>B65*EXP((PL_r-0.5*Vol_a^2)*dt+Vol_a*SQRT(dt)*bs!A56)</f>
        <v>110.44108907062883</v>
      </c>
      <c r="C66" s="47">
        <f t="shared" si="0"/>
        <v>14.552741985069531</v>
      </c>
      <c r="D66" s="44">
        <f t="shared" si="14"/>
        <v>0.77441761810839516</v>
      </c>
      <c r="E66" s="47">
        <f t="shared" si="9"/>
        <v>-70.974783154303964</v>
      </c>
      <c r="F66" s="47">
        <f t="shared" si="19"/>
        <v>72.749834791726158</v>
      </c>
      <c r="G66" s="47">
        <f t="shared" si="15"/>
        <v>1.7750516374221945</v>
      </c>
      <c r="I66" s="44"/>
      <c r="J66" s="47">
        <f t="shared" si="20"/>
        <v>2.8449800435411396</v>
      </c>
      <c r="Q66" s="8">
        <f t="shared" si="16"/>
        <v>100</v>
      </c>
      <c r="R66" s="9">
        <f t="shared" si="17"/>
        <v>1.5969847529487012E-2</v>
      </c>
      <c r="S66" s="8">
        <f t="shared" si="21"/>
        <v>-1</v>
      </c>
      <c r="T66" s="9">
        <f t="shared" si="22"/>
        <v>-1.8649648370294147E-4</v>
      </c>
      <c r="U66" s="9">
        <f t="shared" si="23"/>
        <v>-1.8547356863760208E-4</v>
      </c>
      <c r="V66" s="9">
        <f t="shared" si="12"/>
        <v>1.4074272039823916E-2</v>
      </c>
    </row>
    <row r="67" spans="1:22">
      <c r="A67" s="8">
        <f t="shared" si="18"/>
        <v>0.28000000000000014</v>
      </c>
      <c r="B67" s="47">
        <f>B66*EXP((PL_r-0.5*Vol_a^2)*dt+Vol_a*SQRT(dt)*bs!A57)</f>
        <v>109.97905753221011</v>
      </c>
      <c r="C67" s="47">
        <f t="shared" si="0"/>
        <v>14.169857439564041</v>
      </c>
      <c r="D67" s="44">
        <f t="shared" si="14"/>
        <v>0.7673674090368352</v>
      </c>
      <c r="E67" s="47">
        <f t="shared" si="9"/>
        <v>-70.224486987241065</v>
      </c>
      <c r="F67" s="47">
        <f t="shared" si="19"/>
        <v>71.981734789871439</v>
      </c>
      <c r="G67" s="47">
        <f t="shared" si="15"/>
        <v>1.7572478026303742</v>
      </c>
      <c r="I67" s="44"/>
      <c r="J67" s="47">
        <f t="shared" si="20"/>
        <v>-0.77537534909520178</v>
      </c>
      <c r="Q67" s="8">
        <f t="shared" si="16"/>
        <v>100</v>
      </c>
      <c r="R67" s="9">
        <f t="shared" si="17"/>
        <v>1.6372737319774702E-2</v>
      </c>
      <c r="S67" s="8">
        <f t="shared" si="21"/>
        <v>-1</v>
      </c>
      <c r="T67" s="9">
        <f t="shared" si="22"/>
        <v>-1.8070490920686133E-2</v>
      </c>
      <c r="U67" s="9">
        <f t="shared" si="23"/>
        <v>-1.7969578988656351E-2</v>
      </c>
      <c r="V67" s="9">
        <f t="shared" si="12"/>
        <v>-4.1835112484561914E-3</v>
      </c>
    </row>
    <row r="68" spans="1:22">
      <c r="A68" s="8">
        <f t="shared" si="18"/>
        <v>0.28500000000000014</v>
      </c>
      <c r="B68" s="47">
        <f>B67*EXP((PL_r-0.5*Vol_a^2)*dt+Vol_a*SQRT(dt)*bs!A58)</f>
        <v>110.67993773318585</v>
      </c>
      <c r="C68" s="47">
        <f t="shared" si="0"/>
        <v>14.685112140243277</v>
      </c>
      <c r="D68" s="44">
        <f t="shared" si="14"/>
        <v>0.77909326362062659</v>
      </c>
      <c r="E68" s="47">
        <f t="shared" si="9"/>
        <v>-71.544881765632226</v>
      </c>
      <c r="F68" s="47">
        <f t="shared" si="19"/>
        <v>73.286750178473525</v>
      </c>
      <c r="G68" s="47">
        <f t="shared" si="15"/>
        <v>1.7418684128412991</v>
      </c>
      <c r="I68" s="44"/>
      <c r="J68" s="47">
        <f t="shared" si="20"/>
        <v>1.2978168552024223</v>
      </c>
      <c r="Q68" s="8">
        <f t="shared" si="16"/>
        <v>100</v>
      </c>
      <c r="R68" s="9">
        <f t="shared" si="17"/>
        <v>1.5856264925797399E-2</v>
      </c>
      <c r="S68" s="8">
        <f t="shared" si="21"/>
        <v>-1</v>
      </c>
      <c r="T68" s="9">
        <f t="shared" si="22"/>
        <v>-1.5479643797678203E-2</v>
      </c>
      <c r="U68" s="9">
        <f t="shared" si="23"/>
        <v>-1.5391660817738054E-2</v>
      </c>
      <c r="V68" s="9">
        <f t="shared" si="12"/>
        <v>6.3728514928442243E-3</v>
      </c>
    </row>
    <row r="69" spans="1:22">
      <c r="A69" s="8">
        <f t="shared" si="18"/>
        <v>0.29000000000000015</v>
      </c>
      <c r="B69" s="47">
        <f>B68*EXP((PL_r-0.5*Vol_a^2)*dt+Vol_a*SQRT(dt)*bs!A59)</f>
        <v>106.34441385385719</v>
      </c>
      <c r="C69" s="47">
        <f t="shared" si="0"/>
        <v>11.438987692833038</v>
      </c>
      <c r="D69" s="44">
        <f t="shared" si="14"/>
        <v>0.70316819571467604</v>
      </c>
      <c r="E69" s="47">
        <f t="shared" si="9"/>
        <v>-63.339021921118515</v>
      </c>
      <c r="F69" s="47">
        <f t="shared" si="19"/>
        <v>65.219872376664725</v>
      </c>
      <c r="G69" s="47">
        <f t="shared" si="15"/>
        <v>1.8808504555462093</v>
      </c>
      <c r="I69" s="44"/>
      <c r="J69" s="47">
        <f t="shared" si="20"/>
        <v>-8.0742068432726164</v>
      </c>
      <c r="Q69" s="8">
        <f t="shared" si="16"/>
        <v>100</v>
      </c>
      <c r="R69" s="9">
        <f t="shared" si="17"/>
        <v>1.930737771728543E-2</v>
      </c>
      <c r="S69" s="8">
        <f t="shared" si="21"/>
        <v>1</v>
      </c>
      <c r="T69" s="9">
        <f t="shared" si="22"/>
        <v>0.14568554768873404</v>
      </c>
      <c r="U69" s="9">
        <f t="shared" si="23"/>
        <v>0.14484301721241316</v>
      </c>
      <c r="V69" s="9">
        <f t="shared" si="12"/>
        <v>-3.917172315167209E-2</v>
      </c>
    </row>
    <row r="70" spans="1:22">
      <c r="A70" s="8">
        <f t="shared" si="18"/>
        <v>0.29500000000000015</v>
      </c>
      <c r="B70" s="47">
        <f>B69*EXP((PL_r-0.5*Vol_a^2)*dt+Vol_a*SQRT(dt)*bs!A60)</f>
        <v>100.15936564269802</v>
      </c>
      <c r="C70" s="47">
        <f t="shared" si="0"/>
        <v>7.4586827764960759</v>
      </c>
      <c r="D70" s="44">
        <f t="shared" si="14"/>
        <v>0.57040724335378934</v>
      </c>
      <c r="E70" s="47">
        <f t="shared" si="9"/>
        <v>-49.672944875819539</v>
      </c>
      <c r="F70" s="47">
        <f t="shared" si="19"/>
        <v>51.92914191942576</v>
      </c>
      <c r="G70" s="47">
        <f t="shared" si="15"/>
        <v>2.2561970436062211</v>
      </c>
      <c r="I70" s="44"/>
      <c r="J70" s="47">
        <f t="shared" si="20"/>
        <v>-13.297252770586864</v>
      </c>
      <c r="Q70" s="8">
        <f t="shared" si="16"/>
        <v>100</v>
      </c>
      <c r="R70" s="9">
        <f t="shared" si="17"/>
        <v>2.3348517315257757E-2</v>
      </c>
      <c r="S70" s="8">
        <f t="shared" si="21"/>
        <v>1</v>
      </c>
      <c r="T70" s="9">
        <f t="shared" si="22"/>
        <v>0.37273575800054914</v>
      </c>
      <c r="U70" s="9">
        <f t="shared" si="23"/>
        <v>0.37054309175432792</v>
      </c>
      <c r="V70" s="9">
        <f t="shared" si="12"/>
        <v>-5.8160536947985952E-2</v>
      </c>
    </row>
    <row r="71" spans="1:22">
      <c r="A71" s="8">
        <f t="shared" si="18"/>
        <v>0.30000000000000016</v>
      </c>
      <c r="B71" s="47">
        <f>B70*EXP((PL_r-0.5*Vol_a^2)*dt+Vol_a*SQRT(dt)*bs!A61)</f>
        <v>98.939022832478713</v>
      </c>
      <c r="C71" s="47">
        <f t="shared" si="0"/>
        <v>6.7520296947901528</v>
      </c>
      <c r="D71" s="44">
        <f t="shared" si="14"/>
        <v>0.5412517920467198</v>
      </c>
      <c r="E71" s="47">
        <f t="shared" si="9"/>
        <v>-46.798893716640279</v>
      </c>
      <c r="F71" s="47">
        <f t="shared" si="19"/>
        <v>49.049723230710697</v>
      </c>
      <c r="G71" s="47">
        <f t="shared" si="15"/>
        <v>2.2508295140704178</v>
      </c>
      <c r="I71" s="44"/>
      <c r="J71" s="47">
        <f t="shared" si="20"/>
        <v>-2.8846118625613739</v>
      </c>
      <c r="Q71" s="8">
        <f t="shared" si="16"/>
        <v>100</v>
      </c>
      <c r="R71" s="9">
        <f t="shared" si="17"/>
        <v>2.3968086107188279E-2</v>
      </c>
      <c r="S71" s="8">
        <f t="shared" si="21"/>
        <v>-1</v>
      </c>
      <c r="T71" s="9">
        <f t="shared" si="22"/>
        <v>-6.047365581732145E-3</v>
      </c>
      <c r="U71" s="9">
        <f t="shared" si="23"/>
        <v>-6.0111900234432287E-3</v>
      </c>
      <c r="V71" s="9">
        <f t="shared" si="12"/>
        <v>-1.218401097479669E-2</v>
      </c>
    </row>
    <row r="72" spans="1:22">
      <c r="A72" s="8">
        <f t="shared" si="18"/>
        <v>0.30500000000000016</v>
      </c>
      <c r="B72" s="47">
        <f>B71*EXP((PL_r-0.5*Vol_a^2)*dt+Vol_a*SQRT(dt)*bs!A62)</f>
        <v>101.91801518678581</v>
      </c>
      <c r="C72" s="47">
        <f t="shared" si="0"/>
        <v>8.4399963208207538</v>
      </c>
      <c r="D72" s="44">
        <f t="shared" si="14"/>
        <v>0.61052160361886221</v>
      </c>
      <c r="E72" s="47">
        <f t="shared" si="9"/>
        <v>-53.783153748667267</v>
      </c>
      <c r="F72" s="47">
        <f t="shared" si="19"/>
        <v>56.114470156085964</v>
      </c>
      <c r="G72" s="47">
        <f t="shared" si="15"/>
        <v>2.3313164074186972</v>
      </c>
      <c r="I72" s="44"/>
      <c r="J72" s="47">
        <f t="shared" si="20"/>
        <v>7.0598417077954005</v>
      </c>
      <c r="Q72" s="8">
        <f t="shared" si="16"/>
        <v>100</v>
      </c>
      <c r="R72" s="9">
        <f t="shared" si="17"/>
        <v>2.2569903890500592E-2</v>
      </c>
      <c r="S72" s="8">
        <f t="shared" si="21"/>
        <v>1</v>
      </c>
      <c r="T72" s="9">
        <f t="shared" si="22"/>
        <v>8.2824656953939021E-2</v>
      </c>
      <c r="U72" s="9">
        <f t="shared" si="23"/>
        <v>8.2320964370764457E-2</v>
      </c>
      <c r="V72" s="9">
        <f t="shared" si="12"/>
        <v>3.0109377160021655E-2</v>
      </c>
    </row>
    <row r="73" spans="1:22">
      <c r="A73" s="8">
        <f t="shared" si="18"/>
        <v>0.31000000000000016</v>
      </c>
      <c r="B73" s="47">
        <f>B72*EXP((PL_r-0.5*Vol_a^2)*dt+Vol_a*SQRT(dt)*bs!A63)</f>
        <v>101.87214095528601</v>
      </c>
      <c r="C73" s="47">
        <f t="shared" si="0"/>
        <v>8.3831498549184502</v>
      </c>
      <c r="D73" s="44">
        <f t="shared" si="14"/>
        <v>0.60940940928038667</v>
      </c>
      <c r="E73" s="47">
        <f t="shared" si="9"/>
        <v>-53.698691386770683</v>
      </c>
      <c r="F73" s="47">
        <f t="shared" si="19"/>
        <v>56.006780265264425</v>
      </c>
      <c r="G73" s="47">
        <f t="shared" si="15"/>
        <v>2.3080888784937414</v>
      </c>
      <c r="I73" s="44"/>
      <c r="J73" s="47">
        <f t="shared" si="20"/>
        <v>-0.11330161841885091</v>
      </c>
      <c r="Q73" s="8">
        <f t="shared" si="16"/>
        <v>100</v>
      </c>
      <c r="R73" s="9">
        <f t="shared" si="17"/>
        <v>2.2680081381048909E-2</v>
      </c>
      <c r="S73" s="8">
        <f t="shared" si="21"/>
        <v>-1</v>
      </c>
      <c r="T73" s="9">
        <f t="shared" si="22"/>
        <v>-2.3513393719065332E-2</v>
      </c>
      <c r="U73" s="9">
        <f t="shared" si="23"/>
        <v>-2.3368061672896939E-2</v>
      </c>
      <c r="V73" s="9">
        <f t="shared" si="12"/>
        <v>-4.5010915308467159E-4</v>
      </c>
    </row>
    <row r="74" spans="1:22">
      <c r="A74" s="8">
        <f t="shared" si="18"/>
        <v>0.31500000000000017</v>
      </c>
      <c r="B74" s="47">
        <f>B73*EXP((PL_r-0.5*Vol_a^2)*dt+Vol_a*SQRT(dt)*bs!A64)</f>
        <v>99.71090129475175</v>
      </c>
      <c r="C74" s="47">
        <f t="shared" si="0"/>
        <v>7.091412343955497</v>
      </c>
      <c r="D74" s="44">
        <f t="shared" si="14"/>
        <v>0.55884404952027333</v>
      </c>
      <c r="E74" s="47">
        <f t="shared" si="9"/>
        <v>-48.631431516919839</v>
      </c>
      <c r="F74" s="47">
        <f t="shared" si="19"/>
        <v>50.970463627359912</v>
      </c>
      <c r="G74" s="47">
        <f t="shared" si="15"/>
        <v>2.3390321104400726</v>
      </c>
      <c r="I74" s="44"/>
      <c r="J74" s="47">
        <f t="shared" si="20"/>
        <v>-5.0419175959742732</v>
      </c>
      <c r="Q74" s="8">
        <f t="shared" si="16"/>
        <v>100</v>
      </c>
      <c r="R74" s="9">
        <f t="shared" si="17"/>
        <v>2.3907449199607966E-2</v>
      </c>
      <c r="S74" s="8">
        <f t="shared" si="21"/>
        <v>1</v>
      </c>
      <c r="T74" s="9">
        <f t="shared" si="22"/>
        <v>2.9721928491818862E-2</v>
      </c>
      <c r="U74" s="9">
        <f t="shared" si="23"/>
        <v>2.9535268937293226E-2</v>
      </c>
      <c r="V74" s="9">
        <f t="shared" si="12"/>
        <v>-2.1215217823711791E-2</v>
      </c>
    </row>
    <row r="75" spans="1:22">
      <c r="A75" s="8">
        <f t="shared" si="18"/>
        <v>0.32000000000000017</v>
      </c>
      <c r="B75" s="47">
        <f>B74*EXP((PL_r-0.5*Vol_a^2)*dt+Vol_a*SQRT(dt)*bs!A65)</f>
        <v>104.9544751802416</v>
      </c>
      <c r="C75" s="47">
        <f t="shared" ref="C75:C138" si="24">CallOption(B75,Vol_i,0,PL_r, PL_K,PL_T-A75)</f>
        <v>10.308514535072597</v>
      </c>
      <c r="D75" s="44">
        <f t="shared" ref="D75:D138" si="25">CallDelta(B75,$E$6,0,PL_r, PL_K, PL_T-A75)</f>
        <v>0.6765699463082957</v>
      </c>
      <c r="E75" s="47">
        <f t="shared" si="9"/>
        <v>-60.700529102438814</v>
      </c>
      <c r="F75" s="47">
        <f t="shared" si="19"/>
        <v>63.331420641093644</v>
      </c>
      <c r="G75" s="47">
        <f t="shared" ref="G75:G106" si="26">F75+E75</f>
        <v>2.6308915386548293</v>
      </c>
      <c r="I75" s="44"/>
      <c r="J75" s="47">
        <f t="shared" si="20"/>
        <v>12.355859712510178</v>
      </c>
      <c r="Q75" s="8">
        <f t="shared" ref="Q75:Q138" si="27">PL_K</f>
        <v>100</v>
      </c>
      <c r="R75" s="9">
        <f t="shared" ref="R75:R106" si="28">CallGamma(B75,$E$6,0,PL_r, PL_K, PL_T-A75)</f>
        <v>2.0751495667121578E-2</v>
      </c>
      <c r="S75" s="8">
        <f t="shared" si="21"/>
        <v>1</v>
      </c>
      <c r="T75" s="9">
        <f t="shared" si="22"/>
        <v>0.29321680864481331</v>
      </c>
      <c r="U75" s="9">
        <f t="shared" si="23"/>
        <v>0.29134621335936084</v>
      </c>
      <c r="V75" s="9">
        <f t="shared" si="12"/>
        <v>5.2587769415397369E-2</v>
      </c>
    </row>
    <row r="76" spans="1:22">
      <c r="A76" s="8">
        <f t="shared" ref="A76:A107" si="29">A75+dt</f>
        <v>0.32500000000000018</v>
      </c>
      <c r="B76" s="47">
        <f>B75*EXP((PL_r-0.5*Vol_a^2)*dt+Vol_a*SQRT(dt)*bs!A66)</f>
        <v>105.24212012301021</v>
      </c>
      <c r="C76" s="47">
        <f t="shared" si="24"/>
        <v>10.47506449454724</v>
      </c>
      <c r="D76" s="44">
        <f t="shared" si="25"/>
        <v>0.68269965355412898</v>
      </c>
      <c r="E76" s="47">
        <f t="shared" ref="E76:E139" si="30">C76-D76*B76</f>
        <v>-61.373694452733858</v>
      </c>
      <c r="F76" s="47">
        <f t="shared" ref="F76:F139" si="31">J76+F75*EXP(PL_r*dt)</f>
        <v>63.982857486110291</v>
      </c>
      <c r="G76" s="47">
        <f t="shared" si="26"/>
        <v>2.6091630333764328</v>
      </c>
      <c r="I76" s="44"/>
      <c r="J76" s="47">
        <f t="shared" ref="J76:J139" si="32">(D76-D75)*B76</f>
        <v>0.6451033862848724</v>
      </c>
      <c r="Q76" s="8">
        <f t="shared" si="27"/>
        <v>100</v>
      </c>
      <c r="R76" s="9">
        <f t="shared" si="28"/>
        <v>2.0605863345556381E-2</v>
      </c>
      <c r="S76" s="8">
        <f t="shared" ref="S76:S107" si="33">IF(V76^2 &lt; ($E$6^2*dt), -1, 1)</f>
        <v>-1</v>
      </c>
      <c r="T76" s="9">
        <f t="shared" ref="T76:T107" si="34">0.5*R76*(B76^2)*(V76^2-$E$6^2*dt)</f>
        <v>-2.1965716512670302E-2</v>
      </c>
      <c r="U76" s="9">
        <f t="shared" ref="U76:U107" si="35">T76*EXP(-PL_r*A76)</f>
        <v>-2.1823402377341761E-2</v>
      </c>
      <c r="V76" s="9">
        <f t="shared" si="12"/>
        <v>2.7406639142792781E-3</v>
      </c>
    </row>
    <row r="77" spans="1:22">
      <c r="A77" s="8">
        <f t="shared" si="29"/>
        <v>0.33000000000000018</v>
      </c>
      <c r="B77" s="47">
        <f>B76*EXP((PL_r-0.5*Vol_a^2)*dt+Vol_a*SQRT(dt)*bs!A67)</f>
        <v>101.47501917122223</v>
      </c>
      <c r="C77" s="47">
        <f t="shared" si="24"/>
        <v>8.0267305973320973</v>
      </c>
      <c r="D77" s="44">
        <f t="shared" si="25"/>
        <v>0.59992385071807719</v>
      </c>
      <c r="E77" s="47">
        <f t="shared" si="30"/>
        <v>-52.850553655558251</v>
      </c>
      <c r="F77" s="47">
        <f t="shared" si="31"/>
        <v>55.589579912082193</v>
      </c>
      <c r="G77" s="47">
        <f t="shared" si="26"/>
        <v>2.7390262565239425</v>
      </c>
      <c r="I77" s="44"/>
      <c r="J77" s="47">
        <f t="shared" si="32"/>
        <v>-8.3996761797016664</v>
      </c>
      <c r="Q77" s="8">
        <f t="shared" si="27"/>
        <v>100</v>
      </c>
      <c r="R77" s="9">
        <f t="shared" si="28"/>
        <v>2.3257747425555586E-2</v>
      </c>
      <c r="S77" s="8">
        <f t="shared" si="33"/>
        <v>1</v>
      </c>
      <c r="T77" s="9">
        <f t="shared" si="34"/>
        <v>0.12947436546860686</v>
      </c>
      <c r="U77" s="9">
        <f t="shared" si="35"/>
        <v>0.1286226484145232</v>
      </c>
      <c r="V77" s="9">
        <f t="shared" ref="V77:V140" si="36">(B77-B76)/B76</f>
        <v>-3.5794612911492836E-2</v>
      </c>
    </row>
    <row r="78" spans="1:22">
      <c r="A78" s="8">
        <f t="shared" si="29"/>
        <v>0.33500000000000019</v>
      </c>
      <c r="B78" s="47">
        <f>B77*EXP((PL_r-0.5*Vol_a^2)*dt+Vol_a*SQRT(dt)*bs!A68)</f>
        <v>106.49991578365356</v>
      </c>
      <c r="C78" s="47">
        <f t="shared" si="24"/>
        <v>11.292324838918461</v>
      </c>
      <c r="D78" s="44">
        <f t="shared" si="25"/>
        <v>0.70857055316646356</v>
      </c>
      <c r="E78" s="47">
        <f t="shared" si="30"/>
        <v>-64.17037940008673</v>
      </c>
      <c r="F78" s="47">
        <f t="shared" si="31"/>
        <v>67.166003808955381</v>
      </c>
      <c r="G78" s="47">
        <f t="shared" si="26"/>
        <v>2.9956244088686503</v>
      </c>
      <c r="I78" s="44"/>
      <c r="J78" s="47">
        <f t="shared" si="32"/>
        <v>11.570864660924816</v>
      </c>
      <c r="Q78" s="8">
        <f t="shared" si="27"/>
        <v>100</v>
      </c>
      <c r="R78" s="9">
        <f t="shared" si="28"/>
        <v>1.9752436806107429E-2</v>
      </c>
      <c r="S78" s="8">
        <f t="shared" si="33"/>
        <v>1</v>
      </c>
      <c r="T78" s="9">
        <f t="shared" si="34"/>
        <v>0.25227515921795685</v>
      </c>
      <c r="U78" s="9">
        <f t="shared" si="35"/>
        <v>0.25059056534245966</v>
      </c>
      <c r="V78" s="9">
        <f t="shared" si="36"/>
        <v>4.9518557901946848E-2</v>
      </c>
    </row>
    <row r="79" spans="1:22">
      <c r="A79" s="8">
        <f t="shared" si="29"/>
        <v>0.34000000000000019</v>
      </c>
      <c r="B79" s="47">
        <f>B78*EXP((PL_r-0.5*Vol_a^2)*dt+Vol_a*SQRT(dt)*bs!A69)</f>
        <v>109.96638632138836</v>
      </c>
      <c r="C79" s="47">
        <f t="shared" si="24"/>
        <v>13.833988745313519</v>
      </c>
      <c r="D79" s="44">
        <f t="shared" si="25"/>
        <v>0.77252665133140619</v>
      </c>
      <c r="E79" s="47">
        <f t="shared" si="30"/>
        <v>-71.117975438564372</v>
      </c>
      <c r="F79" s="47">
        <f t="shared" si="31"/>
        <v>74.205741743592199</v>
      </c>
      <c r="G79" s="47">
        <f t="shared" si="26"/>
        <v>3.0877663050278272</v>
      </c>
      <c r="I79" s="44"/>
      <c r="J79" s="47">
        <f t="shared" si="32"/>
        <v>7.0330209984147185</v>
      </c>
      <c r="Q79" s="8">
        <f t="shared" si="27"/>
        <v>100</v>
      </c>
      <c r="R79" s="9">
        <f t="shared" si="28"/>
        <v>1.6889441702628398E-2</v>
      </c>
      <c r="S79" s="8">
        <f t="shared" si="33"/>
        <v>1</v>
      </c>
      <c r="T79" s="9">
        <f t="shared" si="34"/>
        <v>8.7764913855376034E-2</v>
      </c>
      <c r="U79" s="9">
        <f t="shared" si="35"/>
        <v>8.7170136974426521E-2</v>
      </c>
      <c r="V79" s="9">
        <f t="shared" si="36"/>
        <v>3.2549044872266966E-2</v>
      </c>
    </row>
    <row r="80" spans="1:22">
      <c r="A80" s="8">
        <f t="shared" si="29"/>
        <v>0.3450000000000002</v>
      </c>
      <c r="B80" s="47">
        <f>B79*EXP((PL_r-0.5*Vol_a^2)*dt+Vol_a*SQRT(dt)*bs!A70)</f>
        <v>113.78809697470011</v>
      </c>
      <c r="C80" s="47">
        <f t="shared" si="24"/>
        <v>16.876271549210031</v>
      </c>
      <c r="D80" s="44">
        <f t="shared" si="25"/>
        <v>0.83143844425172952</v>
      </c>
      <c r="E80" s="47">
        <f t="shared" si="30"/>
        <v>-77.731526773799558</v>
      </c>
      <c r="F80" s="47">
        <f t="shared" si="31"/>
        <v>80.916623494578843</v>
      </c>
      <c r="G80" s="47">
        <f t="shared" si="26"/>
        <v>3.1850967207792849</v>
      </c>
      <c r="I80" s="44"/>
      <c r="J80" s="47">
        <f t="shared" si="32"/>
        <v>6.7034608057712033</v>
      </c>
      <c r="Q80" s="8">
        <f t="shared" si="27"/>
        <v>100</v>
      </c>
      <c r="R80" s="9">
        <f t="shared" si="28"/>
        <v>1.3664569214661668E-2</v>
      </c>
      <c r="S80" s="8">
        <f t="shared" si="33"/>
        <v>1</v>
      </c>
      <c r="T80" s="9">
        <f t="shared" si="34"/>
        <v>8.9152757109848241E-2</v>
      </c>
      <c r="U80" s="9">
        <f t="shared" si="35"/>
        <v>8.8539720494334659E-2</v>
      </c>
      <c r="V80" s="9">
        <f t="shared" si="36"/>
        <v>3.4753444040094235E-2</v>
      </c>
    </row>
    <row r="81" spans="1:22">
      <c r="A81" s="8">
        <f t="shared" si="29"/>
        <v>0.3500000000000002</v>
      </c>
      <c r="B81" s="47">
        <f>B80*EXP((PL_r-0.5*Vol_a^2)*dt+Vol_a*SQRT(dt)*bs!A71)</f>
        <v>116.2821774383364</v>
      </c>
      <c r="C81" s="47">
        <f t="shared" si="24"/>
        <v>18.966421594337305</v>
      </c>
      <c r="D81" s="44">
        <f t="shared" si="25"/>
        <v>0.86363002517604426</v>
      </c>
      <c r="E81" s="47">
        <f t="shared" si="30"/>
        <v>-81.458358234258412</v>
      </c>
      <c r="F81" s="47">
        <f t="shared" si="31"/>
        <v>84.668022686586639</v>
      </c>
      <c r="G81" s="47">
        <f t="shared" si="26"/>
        <v>3.2096644523282265</v>
      </c>
      <c r="I81" s="44"/>
      <c r="J81" s="47">
        <f t="shared" si="32"/>
        <v>3.7433071250617314</v>
      </c>
      <c r="Q81" s="8">
        <f t="shared" si="27"/>
        <v>100</v>
      </c>
      <c r="R81" s="9">
        <f t="shared" si="28"/>
        <v>1.1660054928391526E-2</v>
      </c>
      <c r="S81" s="8">
        <f t="shared" si="33"/>
        <v>1</v>
      </c>
      <c r="T81" s="9">
        <f t="shared" si="34"/>
        <v>2.2106321077275996E-2</v>
      </c>
      <c r="U81" s="9">
        <f t="shared" si="35"/>
        <v>2.1952117173065229E-2</v>
      </c>
      <c r="V81" s="9">
        <f t="shared" si="36"/>
        <v>2.1918641140389519E-2</v>
      </c>
    </row>
    <row r="82" spans="1:22">
      <c r="A82" s="8">
        <f t="shared" si="29"/>
        <v>0.3550000000000002</v>
      </c>
      <c r="B82" s="47">
        <f>B81*EXP((PL_r-0.5*Vol_a^2)*dt+Vol_a*SQRT(dt)*bs!A72)</f>
        <v>117.50297968936192</v>
      </c>
      <c r="C82" s="47">
        <f t="shared" si="24"/>
        <v>20.00607860688956</v>
      </c>
      <c r="D82" s="44">
        <f t="shared" si="25"/>
        <v>0.87794860582770362</v>
      </c>
      <c r="E82" s="47">
        <f t="shared" si="30"/>
        <v>-83.155498591986714</v>
      </c>
      <c r="F82" s="47">
        <f t="shared" si="31"/>
        <v>86.358965803701949</v>
      </c>
      <c r="G82" s="47">
        <f t="shared" si="26"/>
        <v>3.2034672117152354</v>
      </c>
      <c r="I82" s="44"/>
      <c r="J82" s="47">
        <f t="shared" si="32"/>
        <v>1.6824758914924207</v>
      </c>
      <c r="Q82" s="8">
        <f t="shared" si="27"/>
        <v>100</v>
      </c>
      <c r="R82" s="9">
        <f t="shared" si="28"/>
        <v>1.0726011233942878E-2</v>
      </c>
      <c r="S82" s="8">
        <f t="shared" si="33"/>
        <v>-1</v>
      </c>
      <c r="T82" s="9">
        <f t="shared" si="34"/>
        <v>-6.6478436037056936E-3</v>
      </c>
      <c r="U82" s="9">
        <f t="shared" si="35"/>
        <v>-6.6008110771642444E-3</v>
      </c>
      <c r="V82" s="9">
        <f t="shared" si="36"/>
        <v>1.0498618773052304E-2</v>
      </c>
    </row>
    <row r="83" spans="1:22">
      <c r="A83" s="8">
        <f t="shared" si="29"/>
        <v>0.36000000000000021</v>
      </c>
      <c r="B83" s="47">
        <f>B82*EXP((PL_r-0.5*Vol_a^2)*dt+Vol_a*SQRT(dt)*bs!A73)</f>
        <v>113.24816845649634</v>
      </c>
      <c r="C83" s="47">
        <f t="shared" si="24"/>
        <v>16.351813341887109</v>
      </c>
      <c r="D83" s="44">
        <f t="shared" si="25"/>
        <v>0.82576763089195893</v>
      </c>
      <c r="E83" s="47">
        <f t="shared" si="30"/>
        <v>-77.164858427287356</v>
      </c>
      <c r="F83" s="47">
        <f t="shared" si="31"/>
        <v>80.458202292344126</v>
      </c>
      <c r="G83" s="47">
        <f t="shared" si="26"/>
        <v>3.2933438650567695</v>
      </c>
      <c r="I83" s="44"/>
      <c r="J83" s="47">
        <f t="shared" si="32"/>
        <v>-5.9093998397474286</v>
      </c>
      <c r="Q83" s="8">
        <f t="shared" si="27"/>
        <v>100</v>
      </c>
      <c r="R83" s="9">
        <f t="shared" si="28"/>
        <v>1.4186583140936912E-2</v>
      </c>
      <c r="S83" s="8">
        <f t="shared" si="33"/>
        <v>1</v>
      </c>
      <c r="T83" s="9">
        <f t="shared" si="34"/>
        <v>0.10108697806964366</v>
      </c>
      <c r="U83" s="9">
        <f t="shared" si="35"/>
        <v>0.10036176572489794</v>
      </c>
      <c r="V83" s="9">
        <f t="shared" si="36"/>
        <v>-3.6210241171022707E-2</v>
      </c>
    </row>
    <row r="84" spans="1:22">
      <c r="A84" s="8">
        <f t="shared" si="29"/>
        <v>0.36500000000000021</v>
      </c>
      <c r="B84" s="47">
        <f>B83*EXP((PL_r-0.5*Vol_a^2)*dt+Vol_a*SQRT(dt)*bs!A74)</f>
        <v>110.79414889613163</v>
      </c>
      <c r="C84" s="47">
        <f t="shared" si="24"/>
        <v>14.342848676172721</v>
      </c>
      <c r="D84" s="44">
        <f t="shared" si="25"/>
        <v>0.78887964219508699</v>
      </c>
      <c r="E84" s="47">
        <f t="shared" si="30"/>
        <v>-73.060399862316785</v>
      </c>
      <c r="F84" s="47">
        <f t="shared" si="31"/>
        <v>76.379275202717736</v>
      </c>
      <c r="G84" s="47">
        <f t="shared" si="26"/>
        <v>3.3188753404009503</v>
      </c>
      <c r="I84" s="44"/>
      <c r="J84" s="47">
        <f t="shared" si="32"/>
        <v>-4.0869733121600493</v>
      </c>
      <c r="Q84" s="8">
        <f t="shared" si="27"/>
        <v>100</v>
      </c>
      <c r="R84" s="9">
        <f t="shared" si="28"/>
        <v>1.6372627195392429E-2</v>
      </c>
      <c r="S84" s="8">
        <f t="shared" si="33"/>
        <v>1</v>
      </c>
      <c r="T84" s="9">
        <f t="shared" si="34"/>
        <v>2.7088312880632171E-2</v>
      </c>
      <c r="U84" s="9">
        <f t="shared" si="35"/>
        <v>2.6891288211598471E-2</v>
      </c>
      <c r="V84" s="9">
        <f t="shared" si="36"/>
        <v>-2.1669397340473646E-2</v>
      </c>
    </row>
    <row r="85" spans="1:22">
      <c r="A85" s="8">
        <f t="shared" si="29"/>
        <v>0.37000000000000022</v>
      </c>
      <c r="B85" s="47">
        <f>B84*EXP((PL_r-0.5*Vol_a^2)*dt+Vol_a*SQRT(dt)*bs!A75)</f>
        <v>111.22719606097314</v>
      </c>
      <c r="C85" s="47">
        <f t="shared" si="24"/>
        <v>14.658803563679143</v>
      </c>
      <c r="D85" s="44">
        <f t="shared" si="25"/>
        <v>0.79645687871127968</v>
      </c>
      <c r="E85" s="47">
        <f t="shared" si="30"/>
        <v>-73.928861838851063</v>
      </c>
      <c r="F85" s="47">
        <f t="shared" si="31"/>
        <v>77.229708283734041</v>
      </c>
      <c r="G85" s="47">
        <f t="shared" si="26"/>
        <v>3.3008464448829784</v>
      </c>
      <c r="I85" s="44"/>
      <c r="J85" s="47">
        <f t="shared" si="32"/>
        <v>0.84279477158692906</v>
      </c>
      <c r="Q85" s="8">
        <f t="shared" si="27"/>
        <v>100</v>
      </c>
      <c r="R85" s="9">
        <f t="shared" si="28"/>
        <v>1.6023405975988007E-2</v>
      </c>
      <c r="S85" s="8">
        <f t="shared" si="33"/>
        <v>-1</v>
      </c>
      <c r="T85" s="9">
        <f t="shared" si="34"/>
        <v>-1.8309138174073068E-2</v>
      </c>
      <c r="U85" s="9">
        <f t="shared" si="35"/>
        <v>-1.8174150621522004E-2</v>
      </c>
      <c r="V85" s="9">
        <f t="shared" si="36"/>
        <v>3.9085743169297556E-3</v>
      </c>
    </row>
    <row r="86" spans="1:22">
      <c r="A86" s="8">
        <f t="shared" si="29"/>
        <v>0.37500000000000022</v>
      </c>
      <c r="B86" s="47">
        <f>B85*EXP((PL_r-0.5*Vol_a^2)*dt+Vol_a*SQRT(dt)*bs!A76)</f>
        <v>110.77347776936244</v>
      </c>
      <c r="C86" s="47">
        <f t="shared" si="24"/>
        <v>14.27159903664645</v>
      </c>
      <c r="D86" s="44">
        <f t="shared" si="25"/>
        <v>0.78965502247387109</v>
      </c>
      <c r="E86" s="47">
        <f t="shared" si="30"/>
        <v>-73.201234040828311</v>
      </c>
      <c r="F86" s="47">
        <f t="shared" si="31"/>
        <v>76.483966370018848</v>
      </c>
      <c r="G86" s="47">
        <f t="shared" si="26"/>
        <v>3.2827323291905373</v>
      </c>
      <c r="I86" s="44"/>
      <c r="J86" s="47">
        <f t="shared" si="32"/>
        <v>-0.75346527070497948</v>
      </c>
      <c r="Q86" s="8">
        <f t="shared" si="27"/>
        <v>100</v>
      </c>
      <c r="R86" s="9">
        <f t="shared" si="28"/>
        <v>1.6470580210477915E-2</v>
      </c>
      <c r="S86" s="8">
        <f t="shared" si="33"/>
        <v>-1</v>
      </c>
      <c r="T86" s="9">
        <f t="shared" si="34"/>
        <v>-1.8529142942398227E-2</v>
      </c>
      <c r="U86" s="9">
        <f t="shared" si="35"/>
        <v>-1.8390694202084279E-2</v>
      </c>
      <c r="V86" s="9">
        <f t="shared" si="36"/>
        <v>-4.0792028180048406E-3</v>
      </c>
    </row>
    <row r="87" spans="1:22">
      <c r="A87" s="8">
        <f t="shared" si="29"/>
        <v>0.38000000000000023</v>
      </c>
      <c r="B87" s="47">
        <f>B86*EXP((PL_r-0.5*Vol_a^2)*dt+Vol_a*SQRT(dt)*bs!A77)</f>
        <v>111.90221390925269</v>
      </c>
      <c r="C87" s="47">
        <f t="shared" si="24"/>
        <v>15.146288680298653</v>
      </c>
      <c r="D87" s="44">
        <f t="shared" si="25"/>
        <v>0.80827894486376295</v>
      </c>
      <c r="E87" s="47">
        <f t="shared" si="30"/>
        <v>-75.301914706191212</v>
      </c>
      <c r="F87" s="47">
        <f t="shared" si="31"/>
        <v>78.575673296191425</v>
      </c>
      <c r="G87" s="47">
        <f t="shared" si="26"/>
        <v>3.2737585900002131</v>
      </c>
      <c r="I87" s="44"/>
      <c r="J87" s="47">
        <f t="shared" si="32"/>
        <v>2.0840581471029993</v>
      </c>
      <c r="Q87" s="8">
        <f t="shared" si="27"/>
        <v>100</v>
      </c>
      <c r="R87" s="9">
        <f t="shared" si="28"/>
        <v>1.5484333106688956E-2</v>
      </c>
      <c r="S87" s="8">
        <f t="shared" si="33"/>
        <v>-1</v>
      </c>
      <c r="T87" s="9">
        <f t="shared" si="34"/>
        <v>-9.3237328302554871E-3</v>
      </c>
      <c r="U87" s="9">
        <f t="shared" si="35"/>
        <v>-9.2531410492946407E-3</v>
      </c>
      <c r="V87" s="9">
        <f t="shared" si="36"/>
        <v>1.0189588361939419E-2</v>
      </c>
    </row>
    <row r="88" spans="1:22">
      <c r="A88" s="8">
        <f t="shared" si="29"/>
        <v>0.38500000000000023</v>
      </c>
      <c r="B88" s="47">
        <f>B87*EXP((PL_r-0.5*Vol_a^2)*dt+Vol_a*SQRT(dt)*bs!A78)</f>
        <v>114.56326317074326</v>
      </c>
      <c r="C88" s="47">
        <f t="shared" si="24"/>
        <v>17.32395530613951</v>
      </c>
      <c r="D88" s="44">
        <f t="shared" si="25"/>
        <v>0.84700535605378147</v>
      </c>
      <c r="E88" s="47">
        <f t="shared" si="30"/>
        <v>-79.711742206478945</v>
      </c>
      <c r="F88" s="47">
        <f t="shared" si="31"/>
        <v>83.020155293233017</v>
      </c>
      <c r="G88" s="47">
        <f t="shared" si="26"/>
        <v>3.3084130867540722</v>
      </c>
      <c r="I88" s="44"/>
      <c r="J88" s="47">
        <f t="shared" si="32"/>
        <v>4.4366240368205077</v>
      </c>
      <c r="Q88" s="8">
        <f t="shared" si="27"/>
        <v>100</v>
      </c>
      <c r="R88" s="9">
        <f t="shared" si="28"/>
        <v>1.3147606199003129E-2</v>
      </c>
      <c r="S88" s="8">
        <f t="shared" si="33"/>
        <v>1</v>
      </c>
      <c r="T88" s="9">
        <f t="shared" si="34"/>
        <v>3.1534679476731838E-2</v>
      </c>
      <c r="U88" s="9">
        <f t="shared" si="35"/>
        <v>3.129279489550893E-2</v>
      </c>
      <c r="V88" s="9">
        <f t="shared" si="36"/>
        <v>2.378013060267551E-2</v>
      </c>
    </row>
    <row r="89" spans="1:22">
      <c r="A89" s="8">
        <f t="shared" si="29"/>
        <v>0.39000000000000024</v>
      </c>
      <c r="B89" s="47">
        <f>B88*EXP((PL_r-0.5*Vol_a^2)*dt+Vol_a*SQRT(dt)*bs!A79)</f>
        <v>114.83719708820915</v>
      </c>
      <c r="C89" s="47">
        <f t="shared" si="24"/>
        <v>17.531415579981172</v>
      </c>
      <c r="D89" s="44">
        <f t="shared" si="25"/>
        <v>0.85126394846011577</v>
      </c>
      <c r="E89" s="47">
        <f t="shared" si="30"/>
        <v>-80.225350243420266</v>
      </c>
      <c r="F89" s="47">
        <f t="shared" si="31"/>
        <v>83.517502539361516</v>
      </c>
      <c r="G89" s="47">
        <f t="shared" si="26"/>
        <v>3.2921522959412499</v>
      </c>
      <c r="I89" s="44"/>
      <c r="J89" s="47">
        <f t="shared" si="32"/>
        <v>0.48904481548456347</v>
      </c>
      <c r="Q89" s="8">
        <f t="shared" si="27"/>
        <v>100</v>
      </c>
      <c r="R89" s="9">
        <f t="shared" si="28"/>
        <v>1.2924711034107956E-2</v>
      </c>
      <c r="S89" s="8">
        <f t="shared" si="33"/>
        <v>-1</v>
      </c>
      <c r="T89" s="9">
        <f t="shared" si="34"/>
        <v>-1.6557312800024957E-2</v>
      </c>
      <c r="U89" s="9">
        <f t="shared" si="35"/>
        <v>-1.6428668126638801E-2</v>
      </c>
      <c r="V89" s="9">
        <f t="shared" si="36"/>
        <v>2.3911148293465582E-3</v>
      </c>
    </row>
    <row r="90" spans="1:22">
      <c r="A90" s="8">
        <f t="shared" si="29"/>
        <v>0.39500000000000024</v>
      </c>
      <c r="B90" s="47">
        <f>B89*EXP((PL_r-0.5*Vol_a^2)*dt+Vol_a*SQRT(dt)*bs!A80)</f>
        <v>114.37527472171878</v>
      </c>
      <c r="C90" s="47">
        <f t="shared" si="24"/>
        <v>17.114189869595265</v>
      </c>
      <c r="D90" s="44">
        <f t="shared" si="25"/>
        <v>0.84589169892658678</v>
      </c>
      <c r="E90" s="47">
        <f t="shared" si="30"/>
        <v>-79.634905579954534</v>
      </c>
      <c r="F90" s="47">
        <f t="shared" si="31"/>
        <v>82.911402190945893</v>
      </c>
      <c r="G90" s="47">
        <f t="shared" si="26"/>
        <v>3.2764966109913587</v>
      </c>
      <c r="I90" s="44"/>
      <c r="J90" s="47">
        <f t="shared" si="32"/>
        <v>-0.61445251627100428</v>
      </c>
      <c r="Q90" s="8">
        <f t="shared" si="27"/>
        <v>100</v>
      </c>
      <c r="R90" s="9">
        <f t="shared" si="28"/>
        <v>1.3341531743047192E-2</v>
      </c>
      <c r="S90" s="8">
        <f t="shared" si="33"/>
        <v>-1</v>
      </c>
      <c r="T90" s="9">
        <f t="shared" si="34"/>
        <v>-1.6041067351211063E-2</v>
      </c>
      <c r="U90" s="9">
        <f t="shared" si="35"/>
        <v>-1.5914842165097118E-2</v>
      </c>
      <c r="V90" s="9">
        <f t="shared" si="36"/>
        <v>-4.0224106666027085E-3</v>
      </c>
    </row>
    <row r="91" spans="1:22">
      <c r="A91" s="8">
        <f t="shared" si="29"/>
        <v>0.40000000000000024</v>
      </c>
      <c r="B91" s="47">
        <f>B90*EXP((PL_r-0.5*Vol_a^2)*dt+Vol_a*SQRT(dt)*bs!A81)</f>
        <v>112.95672277478415</v>
      </c>
      <c r="C91" s="47">
        <f t="shared" si="24"/>
        <v>15.901692500485197</v>
      </c>
      <c r="D91" s="44">
        <f t="shared" si="25"/>
        <v>0.82673933601106286</v>
      </c>
      <c r="E91" s="47">
        <f t="shared" si="30"/>
        <v>-77.484073484325563</v>
      </c>
      <c r="F91" s="47">
        <f t="shared" si="31"/>
        <v>80.756305597404932</v>
      </c>
      <c r="G91" s="47">
        <f t="shared" si="26"/>
        <v>3.2722321130793688</v>
      </c>
      <c r="I91" s="44"/>
      <c r="J91" s="47">
        <f t="shared" si="32"/>
        <v>-2.1633881483308914</v>
      </c>
      <c r="Q91" s="8">
        <f t="shared" si="27"/>
        <v>100</v>
      </c>
      <c r="R91" s="9">
        <f t="shared" si="28"/>
        <v>1.4637476875179094E-2</v>
      </c>
      <c r="S91" s="8">
        <f t="shared" si="33"/>
        <v>-1</v>
      </c>
      <c r="T91" s="9">
        <f t="shared" si="34"/>
        <v>-4.3119106131900313E-3</v>
      </c>
      <c r="U91" s="9">
        <f t="shared" si="35"/>
        <v>-4.2775529422091514E-3</v>
      </c>
      <c r="V91" s="9">
        <f t="shared" si="36"/>
        <v>-1.2402610182891722E-2</v>
      </c>
    </row>
    <row r="92" spans="1:22">
      <c r="A92" s="8">
        <f t="shared" si="29"/>
        <v>0.40500000000000025</v>
      </c>
      <c r="B92" s="47">
        <f>B91*EXP((PL_r-0.5*Vol_a^2)*dt+Vol_a*SQRT(dt)*bs!A82)</f>
        <v>116.50197644978921</v>
      </c>
      <c r="C92" s="47">
        <f t="shared" si="24"/>
        <v>18.894071627260473</v>
      </c>
      <c r="D92" s="44">
        <f t="shared" si="25"/>
        <v>0.87375576202539262</v>
      </c>
      <c r="E92" s="47">
        <f t="shared" si="30"/>
        <v>-82.900201583089441</v>
      </c>
      <c r="F92" s="47">
        <f t="shared" si="31"/>
        <v>86.241888188034366</v>
      </c>
      <c r="G92" s="47">
        <f t="shared" si="26"/>
        <v>3.3416866049449254</v>
      </c>
      <c r="I92" s="44"/>
      <c r="J92" s="47">
        <f t="shared" si="32"/>
        <v>5.4775065562747027</v>
      </c>
      <c r="Q92" s="8">
        <f t="shared" si="27"/>
        <v>100</v>
      </c>
      <c r="R92" s="9">
        <f t="shared" si="28"/>
        <v>1.1532880252702141E-2</v>
      </c>
      <c r="S92" s="8">
        <f t="shared" si="33"/>
        <v>1</v>
      </c>
      <c r="T92" s="9">
        <f t="shared" si="34"/>
        <v>6.1445061856119608E-2</v>
      </c>
      <c r="U92" s="9">
        <f t="shared" si="35"/>
        <v>6.094936712893808E-2</v>
      </c>
      <c r="V92" s="9">
        <f t="shared" si="36"/>
        <v>3.1385946652096743E-2</v>
      </c>
    </row>
    <row r="93" spans="1:22">
      <c r="A93" s="8">
        <f t="shared" si="29"/>
        <v>0.41000000000000025</v>
      </c>
      <c r="B93" s="47">
        <f>B92*EXP((PL_r-0.5*Vol_a^2)*dt+Vol_a*SQRT(dt)*bs!A83)</f>
        <v>118.89814378143119</v>
      </c>
      <c r="C93" s="47">
        <f t="shared" si="24"/>
        <v>20.996779171244626</v>
      </c>
      <c r="D93" s="44">
        <f t="shared" si="25"/>
        <v>0.89979565666550521</v>
      </c>
      <c r="E93" s="47">
        <f t="shared" si="30"/>
        <v>-85.987254188877898</v>
      </c>
      <c r="F93" s="47">
        <f t="shared" si="31"/>
        <v>89.346607945050422</v>
      </c>
      <c r="G93" s="47">
        <f t="shared" si="26"/>
        <v>3.3593537561725242</v>
      </c>
      <c r="I93" s="44"/>
      <c r="J93" s="47">
        <f t="shared" si="32"/>
        <v>3.0960951369734251</v>
      </c>
      <c r="Q93" s="8">
        <f t="shared" si="27"/>
        <v>100</v>
      </c>
      <c r="R93" s="9">
        <f t="shared" si="28"/>
        <v>9.6225235555705661E-3</v>
      </c>
      <c r="S93" s="8">
        <f t="shared" si="33"/>
        <v>1</v>
      </c>
      <c r="T93" s="9">
        <f t="shared" si="34"/>
        <v>1.5169310565031879E-2</v>
      </c>
      <c r="U93" s="9">
        <f t="shared" si="35"/>
        <v>1.5045430819494053E-2</v>
      </c>
      <c r="V93" s="9">
        <f t="shared" si="36"/>
        <v>2.0567610993918992E-2</v>
      </c>
    </row>
    <row r="94" spans="1:22">
      <c r="A94" s="8">
        <f t="shared" si="29"/>
        <v>0.41500000000000026</v>
      </c>
      <c r="B94" s="47">
        <f>B93*EXP((PL_r-0.5*Vol_a^2)*dt+Vol_a*SQRT(dt)*bs!A84)</f>
        <v>116.0321139716734</v>
      </c>
      <c r="C94" s="47">
        <f t="shared" si="24"/>
        <v>18.43621006569991</v>
      </c>
      <c r="D94" s="44">
        <f t="shared" si="25"/>
        <v>0.86971222523006653</v>
      </c>
      <c r="E94" s="47">
        <f t="shared" si="30"/>
        <v>-82.478337974752847</v>
      </c>
      <c r="F94" s="47">
        <f t="shared" si="31"/>
        <v>85.864898907617018</v>
      </c>
      <c r="G94" s="47">
        <f t="shared" si="26"/>
        <v>3.386560932864171</v>
      </c>
      <c r="I94" s="44"/>
      <c r="J94" s="47">
        <f t="shared" si="32"/>
        <v>-3.490644144975843</v>
      </c>
      <c r="Q94" s="8">
        <f t="shared" si="27"/>
        <v>100</v>
      </c>
      <c r="R94" s="9">
        <f t="shared" si="28"/>
        <v>1.1936618113498443E-2</v>
      </c>
      <c r="S94" s="8">
        <f t="shared" si="33"/>
        <v>1</v>
      </c>
      <c r="T94" s="9">
        <f t="shared" si="34"/>
        <v>3.0618665003840317E-2</v>
      </c>
      <c r="U94" s="9">
        <f t="shared" si="35"/>
        <v>3.0365581832376656E-2</v>
      </c>
      <c r="V94" s="9">
        <f t="shared" si="36"/>
        <v>-2.4104916347780614E-2</v>
      </c>
    </row>
    <row r="95" spans="1:22">
      <c r="A95" s="8">
        <f t="shared" si="29"/>
        <v>0.42000000000000026</v>
      </c>
      <c r="B95" s="47">
        <f>B94*EXP((PL_r-0.5*Vol_a^2)*dt+Vol_a*SQRT(dt)*bs!A85)</f>
        <v>120.22687215990148</v>
      </c>
      <c r="C95" s="47">
        <f t="shared" si="24"/>
        <v>22.158094314882405</v>
      </c>
      <c r="D95" s="44">
        <f t="shared" si="25"/>
        <v>0.91335614613811811</v>
      </c>
      <c r="E95" s="47">
        <f t="shared" si="30"/>
        <v>-87.651858303325412</v>
      </c>
      <c r="F95" s="47">
        <f t="shared" si="31"/>
        <v>91.12065792641576</v>
      </c>
      <c r="G95" s="47">
        <f t="shared" si="26"/>
        <v>3.4687996230903479</v>
      </c>
      <c r="I95" s="44"/>
      <c r="J95" s="47">
        <f t="shared" si="32"/>
        <v>5.2471720995691689</v>
      </c>
      <c r="Q95" s="8">
        <f t="shared" si="27"/>
        <v>100</v>
      </c>
      <c r="R95" s="9">
        <f t="shared" si="28"/>
        <v>8.6201520079395924E-3</v>
      </c>
      <c r="S95" s="8">
        <f t="shared" si="33"/>
        <v>1</v>
      </c>
      <c r="T95" s="9">
        <f t="shared" si="34"/>
        <v>6.8962696430281342E-2</v>
      </c>
      <c r="U95" s="9">
        <f t="shared" si="35"/>
        <v>6.8385835986068094E-2</v>
      </c>
      <c r="V95" s="9">
        <f t="shared" si="36"/>
        <v>3.6151700116849837E-2</v>
      </c>
    </row>
    <row r="96" spans="1:22">
      <c r="A96" s="8">
        <f t="shared" si="29"/>
        <v>0.42500000000000027</v>
      </c>
      <c r="B96" s="47">
        <f>B95*EXP((PL_r-0.5*Vol_a^2)*dt+Vol_a*SQRT(dt)*bs!A86)</f>
        <v>124.46481814394913</v>
      </c>
      <c r="C96" s="47">
        <f t="shared" si="24"/>
        <v>26.079406109405156</v>
      </c>
      <c r="D96" s="44">
        <f t="shared" si="25"/>
        <v>0.94461377972645522</v>
      </c>
      <c r="E96" s="47">
        <f t="shared" si="30"/>
        <v>-91.491776200516512</v>
      </c>
      <c r="F96" s="47">
        <f t="shared" si="31"/>
        <v>95.020246128009461</v>
      </c>
      <c r="G96" s="47">
        <f t="shared" si="26"/>
        <v>3.5284699274929494</v>
      </c>
      <c r="I96" s="44"/>
      <c r="J96" s="47">
        <f t="shared" si="32"/>
        <v>3.8904756801825742</v>
      </c>
      <c r="Q96" s="8">
        <f t="shared" si="27"/>
        <v>100</v>
      </c>
      <c r="R96" s="9">
        <f t="shared" si="28"/>
        <v>5.9259498552666481E-3</v>
      </c>
      <c r="S96" s="8">
        <f t="shared" si="33"/>
        <v>1</v>
      </c>
      <c r="T96" s="9">
        <f t="shared" si="34"/>
        <v>4.7853176630114583E-2</v>
      </c>
      <c r="U96" s="9">
        <f t="shared" si="35"/>
        <v>4.7448148437182876E-2</v>
      </c>
      <c r="V96" s="9">
        <f t="shared" si="36"/>
        <v>3.5249573642830836E-2</v>
      </c>
    </row>
    <row r="97" spans="1:22">
      <c r="A97" s="8">
        <f t="shared" si="29"/>
        <v>0.43000000000000027</v>
      </c>
      <c r="B97" s="47">
        <f>B96*EXP((PL_r-0.5*Vol_a^2)*dt+Vol_a*SQRT(dt)*bs!A87)</f>
        <v>129.94725962589058</v>
      </c>
      <c r="C97" s="47">
        <f t="shared" si="24"/>
        <v>31.318299248882653</v>
      </c>
      <c r="D97" s="44">
        <f t="shared" si="25"/>
        <v>0.97034309666077878</v>
      </c>
      <c r="E97" s="47">
        <f t="shared" si="30"/>
        <v>-94.775127059086202</v>
      </c>
      <c r="F97" s="47">
        <f t="shared" si="31"/>
        <v>98.373202855400706</v>
      </c>
      <c r="G97" s="47">
        <f t="shared" si="26"/>
        <v>3.5980757963145038</v>
      </c>
      <c r="I97" s="44"/>
      <c r="J97" s="47">
        <f t="shared" si="32"/>
        <v>3.3434542276613675</v>
      </c>
      <c r="Q97" s="8">
        <f t="shared" si="27"/>
        <v>100</v>
      </c>
      <c r="R97" s="9">
        <f t="shared" si="28"/>
        <v>3.4347807199872691E-3</v>
      </c>
      <c r="S97" s="8">
        <f t="shared" si="33"/>
        <v>1</v>
      </c>
      <c r="T97" s="9">
        <f t="shared" si="34"/>
        <v>5.0467487071101116E-2</v>
      </c>
      <c r="U97" s="9">
        <f t="shared" si="35"/>
        <v>5.0035327631419671E-2</v>
      </c>
      <c r="V97" s="9">
        <f t="shared" si="36"/>
        <v>4.4048121900606169E-2</v>
      </c>
    </row>
    <row r="98" spans="1:22">
      <c r="A98" s="8">
        <f t="shared" si="29"/>
        <v>0.43500000000000028</v>
      </c>
      <c r="B98" s="47">
        <f>B97*EXP((PL_r-0.5*Vol_a^2)*dt+Vol_a*SQRT(dt)*bs!A88)</f>
        <v>129.12397958294642</v>
      </c>
      <c r="C98" s="47">
        <f t="shared" si="24"/>
        <v>30.504981400702732</v>
      </c>
      <c r="D98" s="44">
        <f t="shared" si="25"/>
        <v>0.96788490030461194</v>
      </c>
      <c r="E98" s="47">
        <f t="shared" si="30"/>
        <v>-94.472168704872104</v>
      </c>
      <c r="F98" s="47">
        <f t="shared" si="31"/>
        <v>98.065628571464103</v>
      </c>
      <c r="G98" s="47">
        <f t="shared" si="26"/>
        <v>3.5934598665919992</v>
      </c>
      <c r="I98" s="44"/>
      <c r="J98" s="47">
        <f t="shared" si="32"/>
        <v>-0.31741209610456056</v>
      </c>
      <c r="Q98" s="8">
        <f t="shared" si="27"/>
        <v>100</v>
      </c>
      <c r="R98" s="9">
        <f t="shared" si="28"/>
        <v>3.7084996918905645E-3</v>
      </c>
      <c r="S98" s="8">
        <f t="shared" si="33"/>
        <v>-1</v>
      </c>
      <c r="T98" s="9">
        <f t="shared" si="34"/>
        <v>-4.9422646098133943E-3</v>
      </c>
      <c r="U98" s="9">
        <f t="shared" si="35"/>
        <v>-4.8994534064738691E-3</v>
      </c>
      <c r="V98" s="9">
        <f t="shared" si="36"/>
        <v>-6.3354936865489151E-3</v>
      </c>
    </row>
    <row r="99" spans="1:22">
      <c r="A99" s="8">
        <f t="shared" si="29"/>
        <v>0.44000000000000028</v>
      </c>
      <c r="B99" s="47">
        <f>B98*EXP((PL_r-0.5*Vol_a^2)*dt+Vol_a*SQRT(dt)*bs!A89)</f>
        <v>133.79773426985153</v>
      </c>
      <c r="C99" s="47">
        <f t="shared" si="24"/>
        <v>35.049620379969724</v>
      </c>
      <c r="D99" s="44">
        <f t="shared" si="25"/>
        <v>0.98191698420817342</v>
      </c>
      <c r="E99" s="47">
        <f t="shared" si="30"/>
        <v>-96.328647348169454</v>
      </c>
      <c r="F99" s="47">
        <f t="shared" si="31"/>
        <v>99.952896658046726</v>
      </c>
      <c r="G99" s="47">
        <f t="shared" si="26"/>
        <v>3.6242493098772712</v>
      </c>
      <c r="I99" s="44"/>
      <c r="J99" s="47">
        <f t="shared" si="32"/>
        <v>1.8774610333809794</v>
      </c>
      <c r="Q99" s="8">
        <f t="shared" si="27"/>
        <v>100</v>
      </c>
      <c r="R99" s="9">
        <f t="shared" si="28"/>
        <v>2.2193364905704399E-3</v>
      </c>
      <c r="S99" s="8">
        <f t="shared" si="33"/>
        <v>1</v>
      </c>
      <c r="T99" s="9">
        <f t="shared" si="34"/>
        <v>2.2053057041702046E-2</v>
      </c>
      <c r="U99" s="9">
        <f t="shared" si="35"/>
        <v>2.1859841534847688E-2</v>
      </c>
      <c r="V99" s="9">
        <f t="shared" si="36"/>
        <v>3.6195869287801767E-2</v>
      </c>
    </row>
    <row r="100" spans="1:22">
      <c r="A100" s="8">
        <f t="shared" si="29"/>
        <v>0.44500000000000028</v>
      </c>
      <c r="B100" s="47">
        <f>B99*EXP((PL_r-0.5*Vol_a^2)*dt+Vol_a*SQRT(dt)*bs!A90)</f>
        <v>131.47681905978453</v>
      </c>
      <c r="C100" s="47">
        <f t="shared" si="24"/>
        <v>32.762715725648633</v>
      </c>
      <c r="D100" s="44">
        <f t="shared" si="25"/>
        <v>0.97646590207004902</v>
      </c>
      <c r="E100" s="47">
        <f t="shared" si="30"/>
        <v>-95.619914998864488</v>
      </c>
      <c r="F100" s="47">
        <f t="shared" si="31"/>
        <v>99.246201507539467</v>
      </c>
      <c r="G100" s="47">
        <f t="shared" si="26"/>
        <v>3.6262865086749798</v>
      </c>
      <c r="I100" s="44"/>
      <c r="J100" s="47">
        <f t="shared" si="32"/>
        <v>-0.71669093995420474</v>
      </c>
      <c r="Q100" s="8">
        <f t="shared" si="27"/>
        <v>100</v>
      </c>
      <c r="R100" s="9">
        <f t="shared" si="28"/>
        <v>2.8358612021587336E-3</v>
      </c>
      <c r="S100" s="8">
        <f t="shared" si="33"/>
        <v>1</v>
      </c>
      <c r="T100" s="9">
        <f t="shared" si="34"/>
        <v>2.4730965330313371E-3</v>
      </c>
      <c r="U100" s="9">
        <f t="shared" si="35"/>
        <v>2.4511836309448667E-3</v>
      </c>
      <c r="V100" s="9">
        <f t="shared" si="36"/>
        <v>-1.7346446281265381E-2</v>
      </c>
    </row>
    <row r="101" spans="1:22">
      <c r="A101" s="8">
        <f t="shared" si="29"/>
        <v>0.45000000000000029</v>
      </c>
      <c r="B101" s="47">
        <f>B100*EXP((PL_r-0.5*Vol_a^2)*dt+Vol_a*SQRT(dt)*bs!A91)</f>
        <v>128.89964543892808</v>
      </c>
      <c r="C101" s="47">
        <f t="shared" si="24"/>
        <v>30.240916793089795</v>
      </c>
      <c r="D101" s="44">
        <f t="shared" si="25"/>
        <v>0.96854842266516339</v>
      </c>
      <c r="E101" s="47">
        <f t="shared" si="30"/>
        <v>-94.604631478882808</v>
      </c>
      <c r="F101" s="47">
        <f t="shared" si="31"/>
        <v>98.235566335878005</v>
      </c>
      <c r="G101" s="47">
        <f t="shared" si="26"/>
        <v>3.6309348569951965</v>
      </c>
      <c r="I101" s="44"/>
      <c r="J101" s="47">
        <f t="shared" si="32"/>
        <v>-1.0205602880597731</v>
      </c>
      <c r="Q101" s="8">
        <f t="shared" si="27"/>
        <v>100</v>
      </c>
      <c r="R101" s="9">
        <f t="shared" si="28"/>
        <v>3.7008864683949882E-3</v>
      </c>
      <c r="S101" s="8">
        <f t="shared" si="33"/>
        <v>1</v>
      </c>
      <c r="T101" s="9">
        <f t="shared" si="34"/>
        <v>5.6641504853572116E-3</v>
      </c>
      <c r="U101" s="9">
        <f t="shared" si="35"/>
        <v>5.6134018424350242E-3</v>
      </c>
      <c r="V101" s="9">
        <f t="shared" si="36"/>
        <v>-1.9601733897171451E-2</v>
      </c>
    </row>
    <row r="102" spans="1:22">
      <c r="A102" s="8">
        <f t="shared" si="29"/>
        <v>0.45500000000000029</v>
      </c>
      <c r="B102" s="47">
        <f>B101*EXP((PL_r-0.5*Vol_a^2)*dt+Vol_a*SQRT(dt)*bs!A92)</f>
        <v>126.6865261444003</v>
      </c>
      <c r="C102" s="47">
        <f t="shared" si="24"/>
        <v>28.090424575552063</v>
      </c>
      <c r="D102" s="44">
        <f t="shared" si="25"/>
        <v>0.95991817767149679</v>
      </c>
      <c r="E102" s="47">
        <f t="shared" si="30"/>
        <v>-93.518274736513106</v>
      </c>
      <c r="F102" s="47">
        <f t="shared" si="31"/>
        <v>97.152054625683078</v>
      </c>
      <c r="G102" s="47">
        <f t="shared" si="26"/>
        <v>3.633779889169972</v>
      </c>
      <c r="I102" s="44"/>
      <c r="J102" s="47">
        <f t="shared" si="32"/>
        <v>-1.0933357580227239</v>
      </c>
      <c r="Q102" s="8">
        <f t="shared" si="27"/>
        <v>100</v>
      </c>
      <c r="R102" s="9">
        <f t="shared" si="28"/>
        <v>4.6146412782304266E-3</v>
      </c>
      <c r="S102" s="8">
        <f t="shared" si="33"/>
        <v>1</v>
      </c>
      <c r="T102" s="9">
        <f t="shared" si="34"/>
        <v>3.5100312151714465E-3</v>
      </c>
      <c r="U102" s="9">
        <f t="shared" si="35"/>
        <v>3.4782348241139903E-3</v>
      </c>
      <c r="V102" s="9">
        <f t="shared" si="36"/>
        <v>-1.7169320264549023E-2</v>
      </c>
    </row>
    <row r="103" spans="1:22">
      <c r="A103" s="8">
        <f t="shared" si="29"/>
        <v>0.4600000000000003</v>
      </c>
      <c r="B103" s="47">
        <f>B102*EXP((PL_r-0.5*Vol_a^2)*dt+Vol_a*SQRT(dt)*bs!A93)</f>
        <v>119.45367182596036</v>
      </c>
      <c r="C103" s="47">
        <f t="shared" si="24"/>
        <v>21.280562023151717</v>
      </c>
      <c r="D103" s="44">
        <f t="shared" si="25"/>
        <v>0.91252387573310256</v>
      </c>
      <c r="E103" s="47">
        <f t="shared" si="30"/>
        <v>-87.723765562023743</v>
      </c>
      <c r="F103" s="47">
        <f t="shared" si="31"/>
        <v>91.500346926752698</v>
      </c>
      <c r="G103" s="47">
        <f t="shared" si="26"/>
        <v>3.7765813647289548</v>
      </c>
      <c r="I103" s="44"/>
      <c r="J103" s="47">
        <f t="shared" si="32"/>
        <v>-5.6614233901694204</v>
      </c>
      <c r="Q103" s="8">
        <f t="shared" si="27"/>
        <v>100</v>
      </c>
      <c r="R103" s="9">
        <f t="shared" si="28"/>
        <v>9.055969583022903E-3</v>
      </c>
      <c r="S103" s="8">
        <f t="shared" si="33"/>
        <v>1</v>
      </c>
      <c r="T103" s="9">
        <f t="shared" si="34"/>
        <v>0.19767990161304497</v>
      </c>
      <c r="U103" s="9">
        <f t="shared" si="35"/>
        <v>0.19586958673537849</v>
      </c>
      <c r="V103" s="9">
        <f t="shared" si="36"/>
        <v>-5.7092530189009755E-2</v>
      </c>
    </row>
    <row r="104" spans="1:22">
      <c r="A104" s="8">
        <f t="shared" si="29"/>
        <v>0.4650000000000003</v>
      </c>
      <c r="B104" s="47">
        <f>B103*EXP((PL_r-0.5*Vol_a^2)*dt+Vol_a*SQRT(dt)*bs!A94)</f>
        <v>118.97948641494825</v>
      </c>
      <c r="C104" s="47">
        <f t="shared" si="24"/>
        <v>20.826826543693841</v>
      </c>
      <c r="D104" s="44">
        <f t="shared" si="25"/>
        <v>0.90893556537472742</v>
      </c>
      <c r="E104" s="47">
        <f t="shared" si="30"/>
        <v>-87.317860208871849</v>
      </c>
      <c r="F104" s="47">
        <f t="shared" si="31"/>
        <v>91.082562095425459</v>
      </c>
      <c r="G104" s="47">
        <f t="shared" si="26"/>
        <v>3.7647018865536097</v>
      </c>
      <c r="I104" s="44"/>
      <c r="J104" s="47">
        <f t="shared" si="32"/>
        <v>-0.42693532353691382</v>
      </c>
      <c r="Q104" s="8">
        <f t="shared" si="27"/>
        <v>100</v>
      </c>
      <c r="R104" s="9">
        <f t="shared" si="28"/>
        <v>9.4117981239159789E-3</v>
      </c>
      <c r="S104" s="8">
        <f t="shared" si="33"/>
        <v>-1</v>
      </c>
      <c r="T104" s="9">
        <f t="shared" si="34"/>
        <v>-1.2273706834822836E-2</v>
      </c>
      <c r="U104" s="9">
        <f t="shared" si="35"/>
        <v>-1.2160090496122522E-2</v>
      </c>
      <c r="V104" s="9">
        <f t="shared" si="36"/>
        <v>-3.969617708386327E-3</v>
      </c>
    </row>
    <row r="105" spans="1:22">
      <c r="A105" s="8">
        <f t="shared" si="29"/>
        <v>0.47000000000000031</v>
      </c>
      <c r="B105" s="47">
        <f>B104*EXP((PL_r-0.5*Vol_a^2)*dt+Vol_a*SQRT(dt)*bs!A95)</f>
        <v>118.25602013783167</v>
      </c>
      <c r="C105" s="47">
        <f t="shared" si="24"/>
        <v>20.149122934643543</v>
      </c>
      <c r="D105" s="44">
        <f t="shared" si="25"/>
        <v>0.90272651553551109</v>
      </c>
      <c r="E105" s="47">
        <f t="shared" si="30"/>
        <v>-86.603722065478465</v>
      </c>
      <c r="F105" s="47">
        <f t="shared" si="31"/>
        <v>90.357413284239826</v>
      </c>
      <c r="G105" s="47">
        <f t="shared" si="26"/>
        <v>3.7536912187613609</v>
      </c>
      <c r="I105" s="44"/>
      <c r="J105" s="47">
        <f t="shared" si="32"/>
        <v>-0.73425752282316681</v>
      </c>
      <c r="Q105" s="8">
        <f t="shared" si="27"/>
        <v>100</v>
      </c>
      <c r="R105" s="9">
        <f t="shared" si="28"/>
        <v>9.9883491482342379E-3</v>
      </c>
      <c r="S105" s="8">
        <f t="shared" si="33"/>
        <v>-1</v>
      </c>
      <c r="T105" s="9">
        <f t="shared" si="34"/>
        <v>-1.1385917283891872E-2</v>
      </c>
      <c r="U105" s="9">
        <f t="shared" si="35"/>
        <v>-1.1279391118785795E-2</v>
      </c>
      <c r="V105" s="9">
        <f t="shared" si="36"/>
        <v>-6.0805967391173036E-3</v>
      </c>
    </row>
    <row r="106" spans="1:22">
      <c r="A106" s="8">
        <f t="shared" si="29"/>
        <v>0.47500000000000031</v>
      </c>
      <c r="B106" s="47">
        <f>B105*EXP((PL_r-0.5*Vol_a^2)*dt+Vol_a*SQRT(dt)*bs!A96)</f>
        <v>115.35339862233778</v>
      </c>
      <c r="C106" s="47">
        <f t="shared" si="24"/>
        <v>17.549416672472276</v>
      </c>
      <c r="D106" s="44">
        <f t="shared" si="25"/>
        <v>0.8708747760583031</v>
      </c>
      <c r="E106" s="47">
        <f t="shared" si="30"/>
        <v>-82.908948520320308</v>
      </c>
      <c r="F106" s="47">
        <f t="shared" si="31"/>
        <v>86.692243076641162</v>
      </c>
      <c r="G106" s="47">
        <f t="shared" si="26"/>
        <v>3.783294556320854</v>
      </c>
      <c r="I106" s="44"/>
      <c r="J106" s="47">
        <f t="shared" si="32"/>
        <v>-3.6742064007292252</v>
      </c>
      <c r="Q106" s="8">
        <f t="shared" si="27"/>
        <v>100</v>
      </c>
      <c r="R106" s="9">
        <f t="shared" si="28"/>
        <v>1.2595966751452978E-2</v>
      </c>
      <c r="S106" s="8">
        <f t="shared" si="33"/>
        <v>1</v>
      </c>
      <c r="T106" s="9">
        <f t="shared" si="34"/>
        <v>3.3728275041084173E-2</v>
      </c>
      <c r="U106" s="9">
        <f t="shared" si="35"/>
        <v>3.3409373608400038E-2</v>
      </c>
      <c r="V106" s="9">
        <f t="shared" si="36"/>
        <v>-2.4545232556539454E-2</v>
      </c>
    </row>
    <row r="107" spans="1:22">
      <c r="A107" s="8">
        <f t="shared" si="29"/>
        <v>0.48000000000000032</v>
      </c>
      <c r="B107" s="47">
        <f>B106*EXP((PL_r-0.5*Vol_a^2)*dt+Vol_a*SQRT(dt)*bs!A97)</f>
        <v>112.08997894589852</v>
      </c>
      <c r="C107" s="47">
        <f t="shared" si="24"/>
        <v>14.752421382947162</v>
      </c>
      <c r="D107" s="44">
        <f t="shared" si="25"/>
        <v>0.82525613720152347</v>
      </c>
      <c r="E107" s="47">
        <f t="shared" si="30"/>
        <v>-77.75052166094514</v>
      </c>
      <c r="F107" s="47">
        <f t="shared" si="31"/>
        <v>81.587520465427517</v>
      </c>
      <c r="G107" s="47">
        <f>F107+E107</f>
        <v>3.8369988044823771</v>
      </c>
      <c r="I107" s="44"/>
      <c r="J107" s="47">
        <f t="shared" si="32"/>
        <v>-5.1133922689969777</v>
      </c>
      <c r="Q107" s="8">
        <f t="shared" si="27"/>
        <v>100</v>
      </c>
      <c r="R107" s="9">
        <f t="shared" ref="R107:R138" si="37">CallGamma(B107,$E$6,0,PL_r, PL_K, PL_T-A107)</f>
        <v>1.593085648558451E-2</v>
      </c>
      <c r="S107" s="8">
        <f t="shared" si="33"/>
        <v>1</v>
      </c>
      <c r="T107" s="9">
        <f t="shared" si="34"/>
        <v>6.0083336504127005E-2</v>
      </c>
      <c r="U107" s="9">
        <f t="shared" si="35"/>
        <v>5.9509296275407429E-2</v>
      </c>
      <c r="V107" s="9">
        <f t="shared" si="36"/>
        <v>-2.8290624423850358E-2</v>
      </c>
    </row>
    <row r="108" spans="1:22">
      <c r="A108" s="8">
        <f t="shared" ref="A108:A139" si="38">A107+dt</f>
        <v>0.48500000000000032</v>
      </c>
      <c r="B108" s="47">
        <f>B107*EXP((PL_r-0.5*Vol_a^2)*dt+Vol_a*SQRT(dt)*bs!A98)</f>
        <v>115.25572776734819</v>
      </c>
      <c r="C108" s="47">
        <f t="shared" si="24"/>
        <v>17.414116619720375</v>
      </c>
      <c r="D108" s="44">
        <f t="shared" si="25"/>
        <v>0.87134468792248088</v>
      </c>
      <c r="E108" s="47">
        <f t="shared" si="30"/>
        <v>-83.013349522998041</v>
      </c>
      <c r="F108" s="47">
        <f t="shared" si="31"/>
        <v>86.907649080511547</v>
      </c>
      <c r="G108" s="47">
        <f>F108+E108</f>
        <v>3.8942995575135058</v>
      </c>
      <c r="I108" s="44"/>
      <c r="J108" s="47">
        <f t="shared" si="32"/>
        <v>5.3119694550862864</v>
      </c>
      <c r="Q108" s="8">
        <f t="shared" si="27"/>
        <v>100</v>
      </c>
      <c r="R108" s="9">
        <f t="shared" si="37"/>
        <v>1.2696300513297745E-2</v>
      </c>
      <c r="S108" s="8">
        <f t="shared" ref="S108:S139" si="39">IF(V108^2 &lt; ($E$6^2*dt), -1, 1)</f>
        <v>1</v>
      </c>
      <c r="T108" s="9">
        <f t="shared" ref="T108:T139" si="40">0.5*R108*(B108^2)*(V108^2-$E$6^2*dt)</f>
        <v>5.0399757796146971E-2</v>
      </c>
      <c r="U108" s="9">
        <f t="shared" ref="U108:U139" si="41">T108*EXP(-PL_r*A108)</f>
        <v>4.9913243554268558E-2</v>
      </c>
      <c r="V108" s="9">
        <f t="shared" si="36"/>
        <v>2.8242924579169132E-2</v>
      </c>
    </row>
    <row r="109" spans="1:22">
      <c r="A109" s="8">
        <f t="shared" si="38"/>
        <v>0.49000000000000032</v>
      </c>
      <c r="B109" s="47">
        <f>B108*EXP((PL_r-0.5*Vol_a^2)*dt+Vol_a*SQRT(dt)*bs!A99)</f>
        <v>111.60876476114576</v>
      </c>
      <c r="C109" s="47">
        <f t="shared" si="24"/>
        <v>14.300705841444795</v>
      </c>
      <c r="D109" s="44">
        <f t="shared" si="25"/>
        <v>0.81905990644410265</v>
      </c>
      <c r="E109" s="47">
        <f t="shared" si="30"/>
        <v>-77.113558582161119</v>
      </c>
      <c r="F109" s="47">
        <f t="shared" si="31"/>
        <v>81.080900403364097</v>
      </c>
      <c r="G109" s="47">
        <f>F109+E109</f>
        <v>3.9673418212029787</v>
      </c>
      <c r="I109" s="44"/>
      <c r="J109" s="47">
        <f t="shared" si="32"/>
        <v>-5.8354398766082269</v>
      </c>
      <c r="Q109" s="8">
        <f t="shared" si="27"/>
        <v>100</v>
      </c>
      <c r="R109" s="9">
        <f t="shared" si="37"/>
        <v>1.6514661004774101E-2</v>
      </c>
      <c r="S109" s="8">
        <f t="shared" si="39"/>
        <v>1</v>
      </c>
      <c r="T109" s="9">
        <f t="shared" si="40"/>
        <v>8.2413480442737538E-2</v>
      </c>
      <c r="U109" s="9">
        <f t="shared" si="41"/>
        <v>8.1609772933522659E-2</v>
      </c>
      <c r="V109" s="9">
        <f t="shared" si="36"/>
        <v>-3.1642358057588936E-2</v>
      </c>
    </row>
    <row r="110" spans="1:22">
      <c r="A110" s="8">
        <f t="shared" si="38"/>
        <v>0.49500000000000033</v>
      </c>
      <c r="B110" s="47">
        <f>B109*EXP((PL_r-0.5*Vol_a^2)*dt+Vol_a*SQRT(dt)*bs!A100)</f>
        <v>115.11973815232247</v>
      </c>
      <c r="C110" s="47">
        <f t="shared" si="24"/>
        <v>17.245138634262219</v>
      </c>
      <c r="D110" s="44">
        <f t="shared" si="25"/>
        <v>0.87135299877386019</v>
      </c>
      <c r="E110" s="47">
        <f t="shared" si="30"/>
        <v>-83.064790422825524</v>
      </c>
      <c r="F110" s="47">
        <f t="shared" si="31"/>
        <v>87.108975994999369</v>
      </c>
      <c r="G110" s="47">
        <f>F110+E110</f>
        <v>4.0441855721738449</v>
      </c>
      <c r="I110" s="44"/>
      <c r="J110" s="47">
        <f t="shared" si="32"/>
        <v>6.0199670961769103</v>
      </c>
      <c r="Q110" s="8">
        <f t="shared" si="27"/>
        <v>100</v>
      </c>
      <c r="R110" s="9">
        <f t="shared" si="37"/>
        <v>1.2835960598128847E-2</v>
      </c>
      <c r="S110" s="8">
        <f t="shared" si="39"/>
        <v>1</v>
      </c>
      <c r="T110" s="9">
        <f t="shared" si="40"/>
        <v>6.7158901586174852E-2</v>
      </c>
      <c r="U110" s="9">
        <f t="shared" si="41"/>
        <v>6.6497308748568545E-2</v>
      </c>
      <c r="V110" s="9">
        <f t="shared" si="36"/>
        <v>3.1457864431082533E-2</v>
      </c>
    </row>
    <row r="111" spans="1:22">
      <c r="A111" s="8">
        <f t="shared" si="38"/>
        <v>0.50000000000000033</v>
      </c>
      <c r="B111" s="47">
        <f>B110*EXP((PL_r-0.5*Vol_a^2)*dt+Vol_a*SQRT(dt)*bs!A101)</f>
        <v>117.97809795211961</v>
      </c>
      <c r="C111" s="47">
        <f t="shared" si="24"/>
        <v>19.761631017911142</v>
      </c>
      <c r="D111" s="44">
        <f t="shared" si="25"/>
        <v>0.90498192918645581</v>
      </c>
      <c r="E111" s="47">
        <f t="shared" si="30"/>
        <v>-87.006415668546722</v>
      </c>
      <c r="F111" s="47">
        <f t="shared" si="31"/>
        <v>91.085164574400494</v>
      </c>
      <c r="G111" s="47">
        <f>F111+E111</f>
        <v>4.0787489058537716</v>
      </c>
      <c r="I111" s="44"/>
      <c r="J111" s="47">
        <f t="shared" si="32"/>
        <v>3.967477246242221</v>
      </c>
      <c r="Q111" s="8">
        <f t="shared" si="27"/>
        <v>100</v>
      </c>
      <c r="R111" s="9">
        <f t="shared" si="37"/>
        <v>1.0131608168359273E-2</v>
      </c>
      <c r="S111" s="8">
        <f t="shared" si="39"/>
        <v>1</v>
      </c>
      <c r="T111" s="9">
        <f t="shared" si="40"/>
        <v>2.9367558247314095E-2</v>
      </c>
      <c r="U111" s="9">
        <f t="shared" si="41"/>
        <v>2.9075346160372328E-2</v>
      </c>
      <c r="V111" s="9">
        <f t="shared" si="36"/>
        <v>2.4829450150547244E-2</v>
      </c>
    </row>
    <row r="112" spans="1:22">
      <c r="A112" s="8">
        <f t="shared" si="38"/>
        <v>0.50500000000000034</v>
      </c>
      <c r="B112" s="47">
        <f>B111*EXP((PL_r-0.5*Vol_a^2)*dt+Vol_a*SQRT(dt)*bs!A102)</f>
        <v>117.5570804139016</v>
      </c>
      <c r="C112" s="47">
        <f t="shared" si="24"/>
        <v>19.358360731743545</v>
      </c>
      <c r="D112" s="44">
        <f t="shared" si="25"/>
        <v>0.90151744636167708</v>
      </c>
      <c r="E112" s="47">
        <f t="shared" si="30"/>
        <v>-86.621398204731349</v>
      </c>
      <c r="F112" s="47">
        <f t="shared" si="31"/>
        <v>90.686999060273848</v>
      </c>
      <c r="G112" s="47">
        <f t="shared" ref="G112:G175" si="42">F112+E112</f>
        <v>4.0656008555424989</v>
      </c>
      <c r="J112" s="47">
        <f t="shared" si="32"/>
        <v>-0.40727448602509486</v>
      </c>
      <c r="Q112" s="8">
        <f t="shared" si="27"/>
        <v>100</v>
      </c>
      <c r="R112" s="9">
        <f t="shared" si="37"/>
        <v>1.0491453693637784E-2</v>
      </c>
      <c r="S112" s="8">
        <f t="shared" si="39"/>
        <v>-1</v>
      </c>
      <c r="T112" s="9">
        <f t="shared" si="40"/>
        <v>-1.3575629057531348E-2</v>
      </c>
      <c r="U112" s="9">
        <f t="shared" si="41"/>
        <v>-1.3439205303720649E-2</v>
      </c>
      <c r="V112" s="9">
        <f t="shared" si="36"/>
        <v>-3.5686076104471188E-3</v>
      </c>
    </row>
    <row r="113" spans="1:22">
      <c r="A113" s="8">
        <f t="shared" si="38"/>
        <v>0.51000000000000034</v>
      </c>
      <c r="B113" s="47">
        <f>B112*EXP((PL_r-0.5*Vol_a^2)*dt+Vol_a*SQRT(dt)*bs!A103)</f>
        <v>119.23513566865309</v>
      </c>
      <c r="C113" s="47">
        <f t="shared" si="24"/>
        <v>20.863539702558896</v>
      </c>
      <c r="D113" s="44">
        <f t="shared" si="25"/>
        <v>0.91873653421772616</v>
      </c>
      <c r="E113" s="47">
        <f t="shared" si="30"/>
        <v>-88.682135598639817</v>
      </c>
      <c r="F113" s="47">
        <f t="shared" si="31"/>
        <v>92.749188490236449</v>
      </c>
      <c r="G113" s="47">
        <f t="shared" si="42"/>
        <v>4.0670528915966315</v>
      </c>
      <c r="J113" s="47">
        <f t="shared" si="32"/>
        <v>2.0531202766064696</v>
      </c>
      <c r="Q113" s="8">
        <f t="shared" si="27"/>
        <v>100</v>
      </c>
      <c r="R113" s="9">
        <f t="shared" si="37"/>
        <v>9.011968808201265E-3</v>
      </c>
      <c r="S113" s="8">
        <f t="shared" si="39"/>
        <v>1</v>
      </c>
      <c r="T113" s="9">
        <f t="shared" si="40"/>
        <v>2.4075158627219603E-4</v>
      </c>
      <c r="U113" s="9">
        <f t="shared" si="41"/>
        <v>2.3830840151684702E-4</v>
      </c>
      <c r="V113" s="9">
        <f t="shared" si="36"/>
        <v>1.4274386951796461E-2</v>
      </c>
    </row>
    <row r="114" spans="1:22">
      <c r="A114" s="8">
        <f t="shared" si="38"/>
        <v>0.51500000000000035</v>
      </c>
      <c r="B114" s="47">
        <f>B113*EXP((PL_r-0.5*Vol_a^2)*dt+Vol_a*SQRT(dt)*bs!A104)</f>
        <v>116.51138124369722</v>
      </c>
      <c r="C114" s="47">
        <f t="shared" si="24"/>
        <v>18.373369214675492</v>
      </c>
      <c r="D114" s="44">
        <f t="shared" si="25"/>
        <v>0.8918558891970868</v>
      </c>
      <c r="E114" s="47">
        <f t="shared" si="30"/>
        <v>-85.537992306002863</v>
      </c>
      <c r="F114" s="47">
        <f t="shared" si="31"/>
        <v>89.62656279277067</v>
      </c>
      <c r="G114" s="47">
        <f t="shared" si="42"/>
        <v>4.0885704867678072</v>
      </c>
      <c r="J114" s="47">
        <f t="shared" si="32"/>
        <v>-3.1319010800762035</v>
      </c>
      <c r="Q114" s="8">
        <f t="shared" si="27"/>
        <v>100</v>
      </c>
      <c r="R114" s="9">
        <f t="shared" si="37"/>
        <v>1.144615403633043E-2</v>
      </c>
      <c r="S114" s="8">
        <f t="shared" si="39"/>
        <v>1</v>
      </c>
      <c r="T114" s="9">
        <f t="shared" si="40"/>
        <v>2.5002886461728629E-2</v>
      </c>
      <c r="U114" s="9">
        <f t="shared" si="41"/>
        <v>2.4746678467431626E-2</v>
      </c>
      <c r="V114" s="9">
        <f t="shared" si="36"/>
        <v>-2.2843555380563433E-2</v>
      </c>
    </row>
    <row r="115" spans="1:22">
      <c r="A115" s="8">
        <f t="shared" si="38"/>
        <v>0.52000000000000035</v>
      </c>
      <c r="B115" s="47">
        <f>B114*EXP((PL_r-0.5*Vol_a^2)*dt+Vol_a*SQRT(dt)*bs!A105)</f>
        <v>114.63227807810428</v>
      </c>
      <c r="C115" s="47">
        <f t="shared" si="24"/>
        <v>16.69294807396831</v>
      </c>
      <c r="D115" s="44">
        <f t="shared" si="25"/>
        <v>0.86951368839830223</v>
      </c>
      <c r="E115" s="47">
        <f t="shared" si="30"/>
        <v>-82.981386847223988</v>
      </c>
      <c r="F115" s="47">
        <f t="shared" si="31"/>
        <v>87.074388522354596</v>
      </c>
      <c r="G115" s="47">
        <f t="shared" si="42"/>
        <v>4.0930016751306084</v>
      </c>
      <c r="J115" s="47">
        <f t="shared" si="32"/>
        <v>-2.5611373748431165</v>
      </c>
      <c r="Q115" s="8">
        <f t="shared" si="27"/>
        <v>100</v>
      </c>
      <c r="R115" s="9">
        <f t="shared" si="37"/>
        <v>1.3352645350053621E-2</v>
      </c>
      <c r="S115" s="8">
        <f t="shared" si="39"/>
        <v>1</v>
      </c>
      <c r="T115" s="9">
        <f t="shared" si="40"/>
        <v>5.2738811150145615E-3</v>
      </c>
      <c r="U115" s="9">
        <f t="shared" si="41"/>
        <v>5.2193169767413101E-3</v>
      </c>
      <c r="V115" s="9">
        <f t="shared" si="36"/>
        <v>-1.6128065306019956E-2</v>
      </c>
    </row>
    <row r="116" spans="1:22">
      <c r="A116" s="8">
        <f t="shared" si="38"/>
        <v>0.52500000000000036</v>
      </c>
      <c r="B116" s="47">
        <f>B115*EXP((PL_r-0.5*Vol_a^2)*dt+Vol_a*SQRT(dt)*bs!A106)</f>
        <v>116.40284731893871</v>
      </c>
      <c r="C116" s="47">
        <f t="shared" si="24"/>
        <v>18.228259998578096</v>
      </c>
      <c r="D116" s="44">
        <f t="shared" si="25"/>
        <v>0.89246474229331174</v>
      </c>
      <c r="E116" s="47">
        <f t="shared" si="30"/>
        <v>-85.657177136126251</v>
      </c>
      <c r="F116" s="47">
        <f t="shared" si="31"/>
        <v>89.754664418942809</v>
      </c>
      <c r="G116" s="47">
        <f t="shared" si="42"/>
        <v>4.0974872828165587</v>
      </c>
      <c r="J116" s="47">
        <f t="shared" si="32"/>
        <v>2.6715680223495255</v>
      </c>
      <c r="Q116" s="8">
        <f t="shared" si="27"/>
        <v>100</v>
      </c>
      <c r="R116" s="9">
        <f t="shared" si="37"/>
        <v>1.1529814848841883E-2</v>
      </c>
      <c r="S116" s="8">
        <f t="shared" si="39"/>
        <v>1</v>
      </c>
      <c r="T116" s="9">
        <f t="shared" si="40"/>
        <v>3.0126271847411134E-3</v>
      </c>
      <c r="U116" s="9">
        <f t="shared" si="41"/>
        <v>2.9811600906487126E-3</v>
      </c>
      <c r="V116" s="9">
        <f t="shared" si="36"/>
        <v>1.54456429769987E-2</v>
      </c>
    </row>
    <row r="117" spans="1:22">
      <c r="A117" s="8">
        <f t="shared" si="38"/>
        <v>0.53000000000000036</v>
      </c>
      <c r="B117" s="47">
        <f>B116*EXP((PL_r-0.5*Vol_a^2)*dt+Vol_a*SQRT(dt)*bs!A107)</f>
        <v>119.30290622271339</v>
      </c>
      <c r="C117" s="47">
        <f t="shared" si="24"/>
        <v>20.839545497493589</v>
      </c>
      <c r="D117" s="44">
        <f t="shared" si="25"/>
        <v>0.9228257489409718</v>
      </c>
      <c r="E117" s="47">
        <f t="shared" si="30"/>
        <v>-89.256248288316414</v>
      </c>
      <c r="F117" s="47">
        <f t="shared" si="31"/>
        <v>93.385796663085955</v>
      </c>
      <c r="G117" s="47">
        <f t="shared" si="42"/>
        <v>4.1295483747695414</v>
      </c>
      <c r="J117" s="47">
        <f t="shared" si="32"/>
        <v>3.6221563289129661</v>
      </c>
      <c r="Q117" s="8">
        <f t="shared" si="27"/>
        <v>100</v>
      </c>
      <c r="R117" s="9">
        <f t="shared" si="37"/>
        <v>8.8439153653465854E-3</v>
      </c>
      <c r="S117" s="8">
        <f t="shared" si="39"/>
        <v>1</v>
      </c>
      <c r="T117" s="9">
        <f t="shared" si="40"/>
        <v>2.6478663065170695E-2</v>
      </c>
      <c r="U117" s="9">
        <f t="shared" si="41"/>
        <v>2.6199471565784806E-2</v>
      </c>
      <c r="V117" s="9">
        <f t="shared" si="36"/>
        <v>2.4913985959713194E-2</v>
      </c>
    </row>
    <row r="118" spans="1:22">
      <c r="A118" s="8">
        <f t="shared" si="38"/>
        <v>0.53500000000000036</v>
      </c>
      <c r="B118" s="47">
        <f>B117*EXP((PL_r-0.5*Vol_a^2)*dt+Vol_a*SQRT(dt)*bs!A108)</f>
        <v>122.68863544557311</v>
      </c>
      <c r="C118" s="47">
        <f t="shared" si="24"/>
        <v>23.990826999285929</v>
      </c>
      <c r="D118" s="44">
        <f t="shared" si="25"/>
        <v>0.94904866638115681</v>
      </c>
      <c r="E118" s="47">
        <f t="shared" si="30"/>
        <v>-92.446658850459158</v>
      </c>
      <c r="F118" s="47">
        <f t="shared" si="31"/>
        <v>96.612389667835032</v>
      </c>
      <c r="G118" s="47">
        <f t="shared" si="42"/>
        <v>4.1657308173758736</v>
      </c>
      <c r="J118" s="47">
        <f t="shared" si="32"/>
        <v>3.2172539581382202</v>
      </c>
      <c r="Q118" s="8">
        <f t="shared" si="27"/>
        <v>100</v>
      </c>
      <c r="R118" s="9">
        <f t="shared" si="37"/>
        <v>6.2570510584543278E-3</v>
      </c>
      <c r="S118" s="8">
        <f t="shared" si="39"/>
        <v>1</v>
      </c>
      <c r="T118" s="9">
        <f t="shared" si="40"/>
        <v>2.8508772354566343E-2</v>
      </c>
      <c r="U118" s="9">
        <f t="shared" si="41"/>
        <v>2.8205354669837819E-2</v>
      </c>
      <c r="V118" s="9">
        <f t="shared" si="36"/>
        <v>2.8379268620156495E-2</v>
      </c>
    </row>
    <row r="119" spans="1:22">
      <c r="A119" s="8">
        <f t="shared" si="38"/>
        <v>0.54000000000000037</v>
      </c>
      <c r="B119" s="47">
        <f>B118*EXP((PL_r-0.5*Vol_a^2)*dt+Vol_a*SQRT(dt)*bs!A109)</f>
        <v>121.94478629402447</v>
      </c>
      <c r="C119" s="47">
        <f t="shared" si="24"/>
        <v>23.26743379431575</v>
      </c>
      <c r="D119" s="44">
        <f t="shared" si="25"/>
        <v>0.94500715201051211</v>
      </c>
      <c r="E119" s="47">
        <f t="shared" si="30"/>
        <v>-91.971261403930839</v>
      </c>
      <c r="F119" s="47">
        <f t="shared" si="31"/>
        <v>96.129209783647369</v>
      </c>
      <c r="G119" s="47">
        <f t="shared" si="42"/>
        <v>4.1579483797165295</v>
      </c>
      <c r="J119" s="47">
        <f t="shared" si="32"/>
        <v>-0.4928416062324974</v>
      </c>
      <c r="Q119" s="8">
        <f t="shared" si="27"/>
        <v>100</v>
      </c>
      <c r="R119" s="9">
        <f t="shared" si="37"/>
        <v>6.7243636331011979E-3</v>
      </c>
      <c r="S119" s="8">
        <f t="shared" si="39"/>
        <v>-1</v>
      </c>
      <c r="T119" s="9">
        <f t="shared" si="40"/>
        <v>-8.1616413169861776E-3</v>
      </c>
      <c r="U119" s="9">
        <f t="shared" si="41"/>
        <v>-8.0739698687480321E-3</v>
      </c>
      <c r="V119" s="9">
        <f t="shared" si="36"/>
        <v>-6.0629018233610528E-3</v>
      </c>
    </row>
    <row r="120" spans="1:22">
      <c r="A120" s="8">
        <f t="shared" si="38"/>
        <v>0.54500000000000037</v>
      </c>
      <c r="B120" s="47">
        <f>B119*EXP((PL_r-0.5*Vol_a^2)*dt+Vol_a*SQRT(dt)*bs!A110)</f>
        <v>121.64014185281802</v>
      </c>
      <c r="C120" s="47">
        <f t="shared" si="24"/>
        <v>22.960439085884289</v>
      </c>
      <c r="D120" s="44">
        <f t="shared" si="25"/>
        <v>0.94374270005605088</v>
      </c>
      <c r="E120" s="47">
        <f t="shared" si="30"/>
        <v>-91.836556821495222</v>
      </c>
      <c r="F120" s="47">
        <f t="shared" si="31"/>
        <v>95.985015070181063</v>
      </c>
      <c r="G120" s="47">
        <f t="shared" si="42"/>
        <v>4.1484582486858415</v>
      </c>
      <c r="J120" s="47">
        <f t="shared" si="32"/>
        <v>-0.15380811510673725</v>
      </c>
      <c r="Q120" s="8">
        <f t="shared" si="27"/>
        <v>100</v>
      </c>
      <c r="R120" s="9">
        <f t="shared" si="37"/>
        <v>6.9008579103661694E-3</v>
      </c>
      <c r="S120" s="8">
        <f t="shared" si="39"/>
        <v>-1</v>
      </c>
      <c r="T120" s="9">
        <f t="shared" si="40"/>
        <v>-9.8921028047184029E-3</v>
      </c>
      <c r="U120" s="9">
        <f t="shared" si="41"/>
        <v>-9.7848643952262206E-3</v>
      </c>
      <c r="V120" s="9">
        <f t="shared" si="36"/>
        <v>-2.4982162047659188E-3</v>
      </c>
    </row>
    <row r="121" spans="1:22">
      <c r="A121" s="8">
        <f t="shared" si="38"/>
        <v>0.55000000000000038</v>
      </c>
      <c r="B121" s="47">
        <f>B120*EXP((PL_r-0.5*Vol_a^2)*dt+Vol_a*SQRT(dt)*bs!A111)</f>
        <v>119.02530393829565</v>
      </c>
      <c r="C121" s="47">
        <f t="shared" si="24"/>
        <v>20.496908819397859</v>
      </c>
      <c r="D121" s="44">
        <f t="shared" si="25"/>
        <v>0.92397385489380413</v>
      </c>
      <c r="E121" s="47">
        <f t="shared" si="30"/>
        <v>-89.479360090375863</v>
      </c>
      <c r="F121" s="47">
        <f t="shared" si="31"/>
        <v>93.641621247683631</v>
      </c>
      <c r="G121" s="47">
        <f t="shared" si="42"/>
        <v>4.1622611573077677</v>
      </c>
      <c r="J121" s="47">
        <f t="shared" si="32"/>
        <v>-2.3529928039455252</v>
      </c>
      <c r="Q121" s="8">
        <f t="shared" si="27"/>
        <v>100</v>
      </c>
      <c r="R121" s="9">
        <f t="shared" si="37"/>
        <v>8.9566995005211075E-3</v>
      </c>
      <c r="S121" s="8">
        <f t="shared" si="39"/>
        <v>1</v>
      </c>
      <c r="T121" s="9">
        <f t="shared" si="40"/>
        <v>1.6628886673092442E-2</v>
      </c>
      <c r="U121" s="9">
        <f t="shared" si="41"/>
        <v>1.6446971288612826E-2</v>
      </c>
      <c r="V121" s="9">
        <f t="shared" si="36"/>
        <v>-2.1496504975193689E-2</v>
      </c>
    </row>
    <row r="122" spans="1:22">
      <c r="A122" s="8">
        <f t="shared" si="38"/>
        <v>0.55500000000000038</v>
      </c>
      <c r="B122" s="47">
        <f>B121*EXP((PL_r-0.5*Vol_a^2)*dt+Vol_a*SQRT(dt)*bs!A112)</f>
        <v>122.5208794289036</v>
      </c>
      <c r="C122" s="47">
        <f t="shared" si="24"/>
        <v>23.756955694216899</v>
      </c>
      <c r="D122" s="44">
        <f t="shared" si="25"/>
        <v>0.95111885466893675</v>
      </c>
      <c r="E122" s="47">
        <f t="shared" si="30"/>
        <v>-92.774962821232791</v>
      </c>
      <c r="F122" s="47">
        <f t="shared" si="31"/>
        <v>96.976815122578756</v>
      </c>
      <c r="G122" s="47">
        <f t="shared" si="42"/>
        <v>4.2018523013459657</v>
      </c>
      <c r="J122" s="47">
        <f t="shared" si="32"/>
        <v>3.32582924454664</v>
      </c>
      <c r="Q122" s="8">
        <f t="shared" si="27"/>
        <v>100</v>
      </c>
      <c r="R122" s="9">
        <f t="shared" si="37"/>
        <v>6.1964520774500133E-3</v>
      </c>
      <c r="S122" s="8">
        <f t="shared" si="39"/>
        <v>1</v>
      </c>
      <c r="T122" s="9">
        <f t="shared" si="40"/>
        <v>3.0811920055185432E-2</v>
      </c>
      <c r="U122" s="9">
        <f t="shared" si="41"/>
        <v>3.0471798907131292E-2</v>
      </c>
      <c r="V122" s="9">
        <f t="shared" si="36"/>
        <v>2.9368339125771963E-2</v>
      </c>
    </row>
    <row r="123" spans="1:22">
      <c r="A123" s="8">
        <f t="shared" si="38"/>
        <v>0.56000000000000039</v>
      </c>
      <c r="B123" s="47">
        <f>B122*EXP((PL_r-0.5*Vol_a^2)*dt+Vol_a*SQRT(dt)*bs!A113)</f>
        <v>119.31888846349622</v>
      </c>
      <c r="C123" s="47">
        <f t="shared" si="24"/>
        <v>20.725897094290815</v>
      </c>
      <c r="D123" s="44">
        <f t="shared" si="25"/>
        <v>0.92841113349728754</v>
      </c>
      <c r="E123" s="47">
        <f t="shared" si="30"/>
        <v>-90.05108739174014</v>
      </c>
      <c r="F123" s="47">
        <f t="shared" si="31"/>
        <v>94.277053239251075</v>
      </c>
      <c r="G123" s="47">
        <f t="shared" si="42"/>
        <v>4.2259658475109347</v>
      </c>
      <c r="J123" s="47">
        <f t="shared" si="32"/>
        <v>-2.7094600497401835</v>
      </c>
      <c r="Q123" s="8">
        <f t="shared" si="27"/>
        <v>100</v>
      </c>
      <c r="R123" s="9">
        <f t="shared" si="37"/>
        <v>8.6297022636274805E-3</v>
      </c>
      <c r="S123" s="8">
        <f t="shared" si="39"/>
        <v>1</v>
      </c>
      <c r="T123" s="9">
        <f t="shared" si="40"/>
        <v>2.9670874120895314E-2</v>
      </c>
      <c r="U123" s="9">
        <f t="shared" si="41"/>
        <v>2.9340414359802221E-2</v>
      </c>
      <c r="V123" s="9">
        <f t="shared" si="36"/>
        <v>-2.6134247324476858E-2</v>
      </c>
    </row>
    <row r="124" spans="1:22">
      <c r="A124" s="8">
        <f t="shared" si="38"/>
        <v>0.56500000000000039</v>
      </c>
      <c r="B124" s="47">
        <f>B123*EXP((PL_r-0.5*Vol_a^2)*dt+Vol_a*SQRT(dt)*bs!A114)</f>
        <v>119.07797117336861</v>
      </c>
      <c r="C124" s="47">
        <f t="shared" si="24"/>
        <v>20.480981736410882</v>
      </c>
      <c r="D124" s="44">
        <f t="shared" si="25"/>
        <v>0.92724990333156188</v>
      </c>
      <c r="E124" s="47">
        <f t="shared" si="30"/>
        <v>-89.934055523013669</v>
      </c>
      <c r="F124" s="47">
        <f t="shared" si="31"/>
        <v>94.148204483776055</v>
      </c>
      <c r="G124" s="47">
        <f t="shared" si="42"/>
        <v>4.2141489607623868</v>
      </c>
      <c r="J124" s="47">
        <f t="shared" si="32"/>
        <v>-0.1382769321999272</v>
      </c>
      <c r="Q124" s="8">
        <f t="shared" si="27"/>
        <v>100</v>
      </c>
      <c r="R124" s="9">
        <f t="shared" si="37"/>
        <v>8.8046388196315311E-3</v>
      </c>
      <c r="S124" s="8">
        <f t="shared" si="39"/>
        <v>-1</v>
      </c>
      <c r="T124" s="9">
        <f t="shared" si="40"/>
        <v>-1.2230108419756257E-2</v>
      </c>
      <c r="U124" s="9">
        <f t="shared" si="41"/>
        <v>-1.2092686093043899E-2</v>
      </c>
      <c r="V124" s="9">
        <f t="shared" si="36"/>
        <v>-2.0191043784431261E-3</v>
      </c>
    </row>
    <row r="125" spans="1:22">
      <c r="A125" s="8">
        <f t="shared" si="38"/>
        <v>0.5700000000000004</v>
      </c>
      <c r="B125" s="47">
        <f>B124*EXP((PL_r-0.5*Vol_a^2)*dt+Vol_a*SQRT(dt)*bs!A115)</f>
        <v>117.27260435446074</v>
      </c>
      <c r="C125" s="47">
        <f t="shared" si="24"/>
        <v>18.79896966632478</v>
      </c>
      <c r="D125" s="44">
        <f t="shared" si="25"/>
        <v>0.91085451465224854</v>
      </c>
      <c r="E125" s="47">
        <f t="shared" si="30"/>
        <v>-88.019311454962718</v>
      </c>
      <c r="F125" s="47">
        <f t="shared" si="31"/>
        <v>92.234889845154441</v>
      </c>
      <c r="G125" s="47">
        <f t="shared" si="42"/>
        <v>4.2155783901917232</v>
      </c>
      <c r="J125" s="47">
        <f t="shared" si="32"/>
        <v>-1.9227299298267178</v>
      </c>
      <c r="Q125" s="8">
        <f t="shared" si="27"/>
        <v>100</v>
      </c>
      <c r="R125" s="9">
        <f t="shared" si="37"/>
        <v>1.0483806436274522E-2</v>
      </c>
      <c r="S125" s="8">
        <f t="shared" si="39"/>
        <v>1</v>
      </c>
      <c r="T125" s="9">
        <f t="shared" si="40"/>
        <v>2.1528203424899641E-3</v>
      </c>
      <c r="U125" s="9">
        <f t="shared" si="41"/>
        <v>2.1284175507799872E-3</v>
      </c>
      <c r="V125" s="9">
        <f t="shared" si="36"/>
        <v>-1.5161215807744925E-2</v>
      </c>
    </row>
    <row r="126" spans="1:22">
      <c r="A126" s="8">
        <f t="shared" si="38"/>
        <v>0.5750000000000004</v>
      </c>
      <c r="B126" s="47">
        <f>B125*EXP((PL_r-0.5*Vol_a^2)*dt+Vol_a*SQRT(dt)*bs!A116)</f>
        <v>114.83278774482534</v>
      </c>
      <c r="C126" s="47">
        <f t="shared" si="24"/>
        <v>16.584611496727518</v>
      </c>
      <c r="D126" s="44">
        <f t="shared" si="25"/>
        <v>0.88320244488230149</v>
      </c>
      <c r="E126" s="47">
        <f t="shared" si="30"/>
        <v>-84.835987392152603</v>
      </c>
      <c r="F126" s="47">
        <f t="shared" si="31"/>
        <v>89.06874953673136</v>
      </c>
      <c r="G126" s="47">
        <f t="shared" si="42"/>
        <v>4.2327621445787571</v>
      </c>
      <c r="J126" s="47">
        <f t="shared" si="32"/>
        <v>-3.1753642585974311</v>
      </c>
      <c r="Q126" s="8">
        <f t="shared" si="27"/>
        <v>100</v>
      </c>
      <c r="R126" s="9">
        <f t="shared" si="37"/>
        <v>1.3107602047818375E-2</v>
      </c>
      <c r="S126" s="8">
        <f t="shared" si="39"/>
        <v>1</v>
      </c>
      <c r="T126" s="9">
        <f t="shared" si="40"/>
        <v>2.0122002811906275E-2</v>
      </c>
      <c r="U126" s="9">
        <f t="shared" si="41"/>
        <v>1.9891925261127087E-2</v>
      </c>
      <c r="V126" s="9">
        <f t="shared" si="36"/>
        <v>-2.0804659562782161E-2</v>
      </c>
    </row>
    <row r="127" spans="1:22">
      <c r="A127" s="8">
        <f t="shared" si="38"/>
        <v>0.5800000000000004</v>
      </c>
      <c r="B127" s="47">
        <f>B126*EXP((PL_r-0.5*Vol_a^2)*dt+Vol_a*SQRT(dt)*bs!A117)</f>
        <v>119.28863809233637</v>
      </c>
      <c r="C127" s="47">
        <f t="shared" si="24"/>
        <v>20.612871909107852</v>
      </c>
      <c r="D127" s="44">
        <f t="shared" si="25"/>
        <v>0.93193837707112992</v>
      </c>
      <c r="E127" s="47">
        <f t="shared" si="30"/>
        <v>-90.556787877689473</v>
      </c>
      <c r="F127" s="47">
        <f t="shared" si="31"/>
        <v>94.89129983400943</v>
      </c>
      <c r="G127" s="47">
        <f t="shared" si="42"/>
        <v>4.3345119563199574</v>
      </c>
      <c r="J127" s="47">
        <f t="shared" si="32"/>
        <v>5.8136429769658022</v>
      </c>
      <c r="Q127" s="8">
        <f t="shared" si="27"/>
        <v>100</v>
      </c>
      <c r="R127" s="9">
        <f t="shared" si="37"/>
        <v>8.4980437636840711E-3</v>
      </c>
      <c r="S127" s="8">
        <f t="shared" si="39"/>
        <v>1</v>
      </c>
      <c r="T127" s="9">
        <f t="shared" si="40"/>
        <v>7.8944171001096006E-2</v>
      </c>
      <c r="U127" s="9">
        <f t="shared" si="41"/>
        <v>7.8033709503454965E-2</v>
      </c>
      <c r="V127" s="9">
        <f t="shared" si="36"/>
        <v>3.8802945003935288E-2</v>
      </c>
    </row>
    <row r="128" spans="1:22">
      <c r="A128" s="8">
        <f t="shared" si="38"/>
        <v>0.58500000000000041</v>
      </c>
      <c r="B128" s="47">
        <f>B127*EXP((PL_r-0.5*Vol_a^2)*dt+Vol_a*SQRT(dt)*bs!A118)</f>
        <v>118.33750082024432</v>
      </c>
      <c r="C128" s="47">
        <f t="shared" si="24"/>
        <v>19.708380355315057</v>
      </c>
      <c r="D128" s="44">
        <f t="shared" si="25"/>
        <v>0.92444894116951903</v>
      </c>
      <c r="E128" s="47">
        <f t="shared" si="30"/>
        <v>-89.688596978606896</v>
      </c>
      <c r="F128" s="47">
        <f t="shared" si="31"/>
        <v>94.014508311315112</v>
      </c>
      <c r="G128" s="47">
        <f t="shared" si="42"/>
        <v>4.3259113327082162</v>
      </c>
      <c r="J128" s="47">
        <f t="shared" si="32"/>
        <v>-0.88628112715004537</v>
      </c>
      <c r="Q128" s="8">
        <f t="shared" si="27"/>
        <v>100</v>
      </c>
      <c r="R128" s="9">
        <f t="shared" si="37"/>
        <v>9.3362737038798025E-3</v>
      </c>
      <c r="S128" s="8">
        <f t="shared" si="39"/>
        <v>-1</v>
      </c>
      <c r="T128" s="9">
        <f t="shared" si="40"/>
        <v>-8.9182872372828778E-3</v>
      </c>
      <c r="U128" s="9">
        <f t="shared" si="41"/>
        <v>-8.8145513151161748E-3</v>
      </c>
      <c r="V128" s="9">
        <f t="shared" si="36"/>
        <v>-7.9734104379313893E-3</v>
      </c>
    </row>
    <row r="129" spans="1:22">
      <c r="A129" s="8">
        <f t="shared" si="38"/>
        <v>0.59000000000000041</v>
      </c>
      <c r="B129" s="47">
        <f>B128*EXP((PL_r-0.5*Vol_a^2)*dt+Vol_a*SQRT(dt)*bs!A119)</f>
        <v>117.34484602378278</v>
      </c>
      <c r="C129" s="47">
        <f t="shared" si="24"/>
        <v>18.772430468419032</v>
      </c>
      <c r="D129" s="44">
        <f t="shared" si="25"/>
        <v>0.91574958204304913</v>
      </c>
      <c r="E129" s="47">
        <f t="shared" si="30"/>
        <v>-88.686063232766003</v>
      </c>
      <c r="F129" s="47">
        <f t="shared" si="31"/>
        <v>93.003085275033257</v>
      </c>
      <c r="G129" s="47">
        <f t="shared" si="42"/>
        <v>4.3170220422672543</v>
      </c>
      <c r="J129" s="47">
        <f t="shared" si="32"/>
        <v>-1.0208249572012007</v>
      </c>
      <c r="Q129" s="8">
        <f t="shared" si="27"/>
        <v>100</v>
      </c>
      <c r="R129" s="9">
        <f t="shared" si="37"/>
        <v>1.0286382053218631E-2</v>
      </c>
      <c r="S129" s="8">
        <f t="shared" si="39"/>
        <v>-1</v>
      </c>
      <c r="T129" s="9">
        <f t="shared" si="40"/>
        <v>-9.1809087950662695E-3</v>
      </c>
      <c r="U129" s="9">
        <f t="shared" si="41"/>
        <v>-9.0732107394660665E-3</v>
      </c>
      <c r="V129" s="9">
        <f t="shared" si="36"/>
        <v>-8.3883366606616761E-3</v>
      </c>
    </row>
    <row r="130" spans="1:22">
      <c r="A130" s="8">
        <f t="shared" si="38"/>
        <v>0.59500000000000042</v>
      </c>
      <c r="B130" s="47">
        <f>B129*EXP((PL_r-0.5*Vol_a^2)*dt+Vol_a*SQRT(dt)*bs!A120)</f>
        <v>117.1100319779343</v>
      </c>
      <c r="C130" s="47">
        <f t="shared" si="24"/>
        <v>18.534418596072712</v>
      </c>
      <c r="D130" s="44">
        <f t="shared" si="25"/>
        <v>0.91437559610094166</v>
      </c>
      <c r="E130" s="47">
        <f t="shared" si="30"/>
        <v>-88.5481367031513</v>
      </c>
      <c r="F130" s="47">
        <f t="shared" si="31"/>
        <v>92.85147851097426</v>
      </c>
      <c r="G130" s="47">
        <f t="shared" si="42"/>
        <v>4.3033418078229602</v>
      </c>
      <c r="J130" s="47">
        <f t="shared" si="32"/>
        <v>-0.16090753761743795</v>
      </c>
      <c r="Q130" s="8">
        <f t="shared" si="27"/>
        <v>100</v>
      </c>
      <c r="R130" s="9">
        <f t="shared" si="37"/>
        <v>1.0496960717299832E-2</v>
      </c>
      <c r="S130" s="8">
        <f t="shared" si="39"/>
        <v>-1</v>
      </c>
      <c r="T130" s="9">
        <f t="shared" si="40"/>
        <v>-1.4108097475738261E-2</v>
      </c>
      <c r="U130" s="9">
        <f t="shared" si="41"/>
        <v>-1.3941206088980975E-2</v>
      </c>
      <c r="V130" s="9">
        <f t="shared" si="36"/>
        <v>-2.0010597295503705E-3</v>
      </c>
    </row>
    <row r="131" spans="1:22">
      <c r="A131" s="8">
        <f t="shared" si="38"/>
        <v>0.60000000000000042</v>
      </c>
      <c r="B131" s="47">
        <f>B130*EXP((PL_r-0.5*Vol_a^2)*dt+Vol_a*SQRT(dt)*bs!A121)</f>
        <v>121.35659113551688</v>
      </c>
      <c r="C131" s="47">
        <f t="shared" si="24"/>
        <v>22.480473598036383</v>
      </c>
      <c r="D131" s="44">
        <f t="shared" si="25"/>
        <v>0.95121413980753344</v>
      </c>
      <c r="E131" s="47">
        <f t="shared" si="30"/>
        <v>-92.955631848908837</v>
      </c>
      <c r="F131" s="47">
        <f t="shared" si="31"/>
        <v>97.331364209726956</v>
      </c>
      <c r="G131" s="47">
        <f t="shared" si="42"/>
        <v>4.3757323608181196</v>
      </c>
      <c r="J131" s="47">
        <f t="shared" si="32"/>
        <v>4.4706000866287283</v>
      </c>
      <c r="Q131" s="8">
        <f t="shared" si="27"/>
        <v>100</v>
      </c>
      <c r="R131" s="9">
        <f t="shared" si="37"/>
        <v>6.5881373522335418E-3</v>
      </c>
      <c r="S131" s="8">
        <f t="shared" si="39"/>
        <v>1</v>
      </c>
      <c r="T131" s="9">
        <f t="shared" si="40"/>
        <v>5.4086335355351435E-2</v>
      </c>
      <c r="U131" s="9">
        <f t="shared" si="41"/>
        <v>5.3441178016986883E-2</v>
      </c>
      <c r="V131" s="9">
        <f t="shared" si="36"/>
        <v>3.6261275706787541E-2</v>
      </c>
    </row>
    <row r="132" spans="1:22">
      <c r="A132" s="8">
        <f t="shared" si="38"/>
        <v>0.60500000000000043</v>
      </c>
      <c r="B132" s="47">
        <f>B131*EXP((PL_r-0.5*Vol_a^2)*dt+Vol_a*SQRT(dt)*bs!A122)</f>
        <v>118.68999648482055</v>
      </c>
      <c r="C132" s="47">
        <f t="shared" si="24"/>
        <v>19.948429988425076</v>
      </c>
      <c r="D132" s="44">
        <f t="shared" si="25"/>
        <v>0.93173579229289094</v>
      </c>
      <c r="E132" s="47">
        <f t="shared" si="30"/>
        <v>-90.639287923599639</v>
      </c>
      <c r="F132" s="47">
        <f t="shared" si="31"/>
        <v>95.029212834777951</v>
      </c>
      <c r="G132" s="47">
        <f t="shared" si="42"/>
        <v>4.3899249111783121</v>
      </c>
      <c r="J132" s="47">
        <f t="shared" si="32"/>
        <v>-2.3118849980430318</v>
      </c>
      <c r="Q132" s="8">
        <f t="shared" si="27"/>
        <v>100</v>
      </c>
      <c r="R132" s="9">
        <f t="shared" si="37"/>
        <v>8.82726837731607E-3</v>
      </c>
      <c r="S132" s="8">
        <f t="shared" si="39"/>
        <v>1</v>
      </c>
      <c r="T132" s="9">
        <f t="shared" si="40"/>
        <v>1.7584828284695285E-2</v>
      </c>
      <c r="U132" s="9">
        <f t="shared" si="41"/>
        <v>1.737333398337389E-2</v>
      </c>
      <c r="V132" s="9">
        <f t="shared" si="36"/>
        <v>-2.1973216499782722E-2</v>
      </c>
    </row>
    <row r="133" spans="1:22">
      <c r="A133" s="8">
        <f t="shared" si="38"/>
        <v>0.61000000000000043</v>
      </c>
      <c r="B133" s="47">
        <f>B132*EXP((PL_r-0.5*Vol_a^2)*dt+Vol_a*SQRT(dt)*bs!A123)</f>
        <v>121.55565987051916</v>
      </c>
      <c r="C133" s="47">
        <f t="shared" si="24"/>
        <v>22.632454972374276</v>
      </c>
      <c r="D133" s="44">
        <f t="shared" si="25"/>
        <v>0.95427208124342744</v>
      </c>
      <c r="E133" s="47">
        <f t="shared" si="30"/>
        <v>-93.364717559184214</v>
      </c>
      <c r="F133" s="47">
        <f t="shared" si="31"/>
        <v>97.778129705638491</v>
      </c>
      <c r="G133" s="47">
        <f t="shared" si="42"/>
        <v>4.4134121464542773</v>
      </c>
      <c r="J133" s="47">
        <f t="shared" si="32"/>
        <v>2.7394134744151537</v>
      </c>
      <c r="Q133" s="8">
        <f t="shared" si="27"/>
        <v>100</v>
      </c>
      <c r="R133" s="9">
        <f t="shared" si="37"/>
        <v>6.3243503217057621E-3</v>
      </c>
      <c r="S133" s="8">
        <f t="shared" si="39"/>
        <v>1</v>
      </c>
      <c r="T133" s="9">
        <f t="shared" si="40"/>
        <v>1.7892226036643925E-2</v>
      </c>
      <c r="U133" s="9">
        <f t="shared" si="41"/>
        <v>1.7675267020006682E-2</v>
      </c>
      <c r="V133" s="9">
        <f t="shared" si="36"/>
        <v>2.4144102035297512E-2</v>
      </c>
    </row>
    <row r="134" spans="1:22">
      <c r="A134" s="8">
        <f t="shared" si="38"/>
        <v>0.61500000000000044</v>
      </c>
      <c r="B134" s="47">
        <f>B133*EXP((PL_r-0.5*Vol_a^2)*dt+Vol_a*SQRT(dt)*bs!A124)</f>
        <v>120.13852308777588</v>
      </c>
      <c r="C134" s="47">
        <f t="shared" si="24"/>
        <v>21.266881109546773</v>
      </c>
      <c r="D134" s="44">
        <f t="shared" si="25"/>
        <v>0.94548656548632071</v>
      </c>
      <c r="E134" s="47">
        <f t="shared" si="30"/>
        <v>-92.322478467313488</v>
      </c>
      <c r="F134" s="47">
        <f t="shared" si="31"/>
        <v>96.732429119892828</v>
      </c>
      <c r="G134" s="47">
        <f t="shared" si="42"/>
        <v>4.4099506525793402</v>
      </c>
      <c r="J134" s="47">
        <f t="shared" si="32"/>
        <v>-1.055478887623186</v>
      </c>
      <c r="Q134" s="8">
        <f t="shared" si="27"/>
        <v>100</v>
      </c>
      <c r="R134" s="9">
        <f t="shared" si="37"/>
        <v>7.4092555777807876E-3</v>
      </c>
      <c r="S134" s="8">
        <f t="shared" si="39"/>
        <v>-1</v>
      </c>
      <c r="T134" s="9">
        <f t="shared" si="40"/>
        <v>-3.4265201081083736E-3</v>
      </c>
      <c r="U134" s="9">
        <f t="shared" si="41"/>
        <v>-3.3846320504356832E-3</v>
      </c>
      <c r="V134" s="9">
        <f t="shared" si="36"/>
        <v>-1.1658336471150877E-2</v>
      </c>
    </row>
    <row r="135" spans="1:22">
      <c r="A135" s="8">
        <f t="shared" si="38"/>
        <v>0.62000000000000044</v>
      </c>
      <c r="B135" s="47">
        <f>B134*EXP((PL_r-0.5*Vol_a^2)*dt+Vol_a*SQRT(dt)*bs!A125)</f>
        <v>115.63063381562526</v>
      </c>
      <c r="C135" s="47">
        <f t="shared" si="24"/>
        <v>17.069588069926212</v>
      </c>
      <c r="D135" s="44">
        <f t="shared" si="25"/>
        <v>0.90341606651680584</v>
      </c>
      <c r="E135" s="47">
        <f t="shared" si="30"/>
        <v>-87.392984300631113</v>
      </c>
      <c r="F135" s="47">
        <f t="shared" si="31"/>
        <v>91.877464385698474</v>
      </c>
      <c r="G135" s="47">
        <f t="shared" si="42"/>
        <v>4.4844800850673607</v>
      </c>
      <c r="J135" s="47">
        <f t="shared" si="32"/>
        <v>-4.8646384607846134</v>
      </c>
      <c r="Q135" s="8">
        <f t="shared" si="27"/>
        <v>100</v>
      </c>
      <c r="R135" s="9">
        <f t="shared" si="37"/>
        <v>1.2001124536928259E-2</v>
      </c>
      <c r="S135" s="8">
        <f t="shared" si="39"/>
        <v>1</v>
      </c>
      <c r="T135" s="9">
        <f t="shared" si="40"/>
        <v>9.6912658023130538E-2</v>
      </c>
      <c r="U135" s="9">
        <f t="shared" si="41"/>
        <v>9.5718361008023917E-2</v>
      </c>
      <c r="V135" s="9">
        <f t="shared" si="36"/>
        <v>-3.752242957787201E-2</v>
      </c>
    </row>
    <row r="136" spans="1:22">
      <c r="A136" s="8">
        <f t="shared" si="38"/>
        <v>0.62500000000000044</v>
      </c>
      <c r="B136" s="47">
        <f>B135*EXP((PL_r-0.5*Vol_a^2)*dt+Vol_a*SQRT(dt)*bs!A126)</f>
        <v>118.74633419380368</v>
      </c>
      <c r="C136" s="47">
        <f t="shared" si="24"/>
        <v>19.915615859444472</v>
      </c>
      <c r="D136" s="44">
        <f t="shared" si="25"/>
        <v>0.93641704729413555</v>
      </c>
      <c r="E136" s="47">
        <f t="shared" si="30"/>
        <v>-91.280475783319815</v>
      </c>
      <c r="F136" s="47">
        <f t="shared" si="31"/>
        <v>95.805398083647773</v>
      </c>
      <c r="G136" s="47">
        <f t="shared" si="42"/>
        <v>4.5249223003279582</v>
      </c>
      <c r="J136" s="47">
        <f t="shared" si="32"/>
        <v>3.9187454921080853</v>
      </c>
      <c r="Q136" s="8">
        <f t="shared" si="27"/>
        <v>100</v>
      </c>
      <c r="R136" s="9">
        <f t="shared" si="37"/>
        <v>8.5702503821811424E-3</v>
      </c>
      <c r="S136" s="8">
        <f t="shared" si="39"/>
        <v>1</v>
      </c>
      <c r="T136" s="9">
        <f t="shared" si="40"/>
        <v>3.1785542351685042E-2</v>
      </c>
      <c r="U136" s="9">
        <f t="shared" si="41"/>
        <v>3.1390696003182228E-2</v>
      </c>
      <c r="V136" s="9">
        <f t="shared" si="36"/>
        <v>2.6945284959230154E-2</v>
      </c>
    </row>
    <row r="137" spans="1:22">
      <c r="A137" s="8">
        <f t="shared" si="38"/>
        <v>0.63000000000000045</v>
      </c>
      <c r="B137" s="47">
        <f>B136*EXP((PL_r-0.5*Vol_a^2)*dt+Vol_a*SQRT(dt)*bs!A127)</f>
        <v>117.61185902190168</v>
      </c>
      <c r="C137" s="47">
        <f t="shared" si="24"/>
        <v>18.836601913302729</v>
      </c>
      <c r="D137" s="44">
        <f t="shared" si="25"/>
        <v>0.92717818196018531</v>
      </c>
      <c r="E137" s="47">
        <f t="shared" si="30"/>
        <v>-90.210547711581683</v>
      </c>
      <c r="F137" s="47">
        <f t="shared" si="31"/>
        <v>94.728378975320197</v>
      </c>
      <c r="G137" s="47">
        <f t="shared" si="42"/>
        <v>4.5178312637385147</v>
      </c>
      <c r="J137" s="47">
        <f t="shared" si="32"/>
        <v>-1.0866001271788903</v>
      </c>
      <c r="Q137" s="8">
        <f t="shared" si="27"/>
        <v>100</v>
      </c>
      <c r="R137" s="9">
        <f t="shared" si="37"/>
        <v>9.6730466014267949E-3</v>
      </c>
      <c r="S137" s="8">
        <f t="shared" si="39"/>
        <v>-1</v>
      </c>
      <c r="T137" s="9">
        <f t="shared" si="40"/>
        <v>-7.2738918279884306E-3</v>
      </c>
      <c r="U137" s="9">
        <f t="shared" si="41"/>
        <v>-7.1828157750224546E-3</v>
      </c>
      <c r="V137" s="9">
        <f t="shared" si="36"/>
        <v>-9.5537700561807749E-3</v>
      </c>
    </row>
    <row r="138" spans="1:22">
      <c r="A138" s="8">
        <f t="shared" si="38"/>
        <v>0.63500000000000045</v>
      </c>
      <c r="B138" s="47">
        <f>B137*EXP((PL_r-0.5*Vol_a^2)*dt+Vol_a*SQRT(dt)*bs!A128)</f>
        <v>114.31656279326657</v>
      </c>
      <c r="C138" s="47">
        <f t="shared" si="24"/>
        <v>15.814177798267423</v>
      </c>
      <c r="D138" s="44">
        <f t="shared" si="25"/>
        <v>0.89030980793157444</v>
      </c>
      <c r="E138" s="47">
        <f t="shared" si="30"/>
        <v>-85.962979265603508</v>
      </c>
      <c r="F138" s="47">
        <f t="shared" si="31"/>
        <v>90.523186492148085</v>
      </c>
      <c r="G138" s="47">
        <f t="shared" si="42"/>
        <v>4.560207226544577</v>
      </c>
      <c r="J138" s="47">
        <f t="shared" si="32"/>
        <v>-4.2146657947273329</v>
      </c>
      <c r="Q138" s="8">
        <f t="shared" si="27"/>
        <v>100</v>
      </c>
      <c r="R138" s="9">
        <f t="shared" si="37"/>
        <v>1.3585484214154685E-2</v>
      </c>
      <c r="S138" s="8">
        <f t="shared" si="39"/>
        <v>1</v>
      </c>
      <c r="T138" s="9">
        <f t="shared" si="40"/>
        <v>5.1932851490572564E-2</v>
      </c>
      <c r="U138" s="9">
        <f t="shared" si="41"/>
        <v>5.12774747278716E-2</v>
      </c>
      <c r="V138" s="9">
        <f t="shared" si="36"/>
        <v>-2.8018401001734524E-2</v>
      </c>
    </row>
    <row r="139" spans="1:22">
      <c r="A139" s="8">
        <f t="shared" si="38"/>
        <v>0.64000000000000046</v>
      </c>
      <c r="B139" s="47">
        <f>B138*EXP((PL_r-0.5*Vol_a^2)*dt+Vol_a*SQRT(dt)*bs!A129)</f>
        <v>116.70062180811234</v>
      </c>
      <c r="C139" s="47">
        <f t="shared" ref="C139:C202" si="43">CallOption(B139,Vol_i,0,PL_r, PL_K,PL_T-A139)</f>
        <v>17.949055490187519</v>
      </c>
      <c r="D139" s="44">
        <f t="shared" ref="D139:D202" si="44">CallDelta(B139,$E$6,0,PL_r, PL_K, PL_T-A139)</f>
        <v>0.92028833199578586</v>
      </c>
      <c r="E139" s="47">
        <f t="shared" si="30"/>
        <v>-89.449165096471219</v>
      </c>
      <c r="F139" s="47">
        <f t="shared" si="31"/>
        <v>94.030751662611252</v>
      </c>
      <c r="G139" s="47">
        <f t="shared" si="42"/>
        <v>4.5815865661400323</v>
      </c>
      <c r="J139" s="47">
        <f t="shared" si="32"/>
        <v>3.4985123991829319</v>
      </c>
      <c r="Q139" s="8">
        <f t="shared" ref="Q139:Q202" si="45">PL_K</f>
        <v>100</v>
      </c>
      <c r="R139" s="9">
        <f t="shared" ref="R139:R170" si="46">CallGamma(B139,$E$6,0,PL_r, PL_K, PL_T-A139)</f>
        <v>1.0586972191311297E-2</v>
      </c>
      <c r="S139" s="8">
        <f t="shared" si="39"/>
        <v>1</v>
      </c>
      <c r="T139" s="9">
        <f t="shared" si="40"/>
        <v>1.6936348743942772E-2</v>
      </c>
      <c r="U139" s="9">
        <f t="shared" si="41"/>
        <v>1.6720945004921065E-2</v>
      </c>
      <c r="V139" s="9">
        <f t="shared" si="36"/>
        <v>2.0854887136146468E-2</v>
      </c>
    </row>
    <row r="140" spans="1:22">
      <c r="A140" s="8">
        <f t="shared" ref="A140:A171" si="47">A139+dt</f>
        <v>0.64500000000000046</v>
      </c>
      <c r="B140" s="47">
        <f>B139*EXP((PL_r-0.5*Vol_a^2)*dt+Vol_a*SQRT(dt)*bs!A130)</f>
        <v>116.72900754125816</v>
      </c>
      <c r="C140" s="47">
        <f t="shared" si="43"/>
        <v>17.951878369403616</v>
      </c>
      <c r="D140" s="44">
        <f t="shared" si="44"/>
        <v>0.92179509896144252</v>
      </c>
      <c r="E140" s="47">
        <f t="shared" ref="E140:E203" si="48">C140-D140*B140</f>
        <v>-89.648348688761416</v>
      </c>
      <c r="F140" s="47">
        <f t="shared" ref="F140:F203" si="49">J140+F139*EXP(PL_r*dt)</f>
        <v>94.21603862044401</v>
      </c>
      <c r="G140" s="47">
        <f t="shared" si="42"/>
        <v>4.5676899316825939</v>
      </c>
      <c r="J140" s="47">
        <f t="shared" ref="J140:J203" si="50">(D140-D139)*B140</f>
        <v>0.17588341249705475</v>
      </c>
      <c r="Q140" s="8">
        <f t="shared" si="45"/>
        <v>100</v>
      </c>
      <c r="R140" s="9">
        <f t="shared" si="46"/>
        <v>1.0505709367298589E-2</v>
      </c>
      <c r="S140" s="8">
        <f t="shared" ref="S140:S171" si="51">IF(V140^2 &lt; ($E$6^2*dt), -1, 1)</f>
        <v>-1</v>
      </c>
      <c r="T140" s="9">
        <f t="shared" ref="T140:T171" si="52">0.5*R140*(B140^2)*(V140^2-$E$6^2*dt)</f>
        <v>-1.4310489106008005E-2</v>
      </c>
      <c r="U140" s="9">
        <f t="shared" ref="U140:U171" si="53">T140*EXP(-PL_r*A140)</f>
        <v>-1.412706939722789E-2</v>
      </c>
      <c r="V140" s="9">
        <f t="shared" si="36"/>
        <v>2.4323549185954399E-4</v>
      </c>
    </row>
    <row r="141" spans="1:22">
      <c r="A141" s="8">
        <f t="shared" si="47"/>
        <v>0.65000000000000047</v>
      </c>
      <c r="B141" s="47">
        <f>B140*EXP((PL_r-0.5*Vol_a^2)*dt+Vol_a*SQRT(dt)*bs!A131)</f>
        <v>118.42599677768216</v>
      </c>
      <c r="C141" s="47">
        <f t="shared" si="43"/>
        <v>19.509105235506127</v>
      </c>
      <c r="D141" s="44">
        <f t="shared" si="44"/>
        <v>0.93914431299170797</v>
      </c>
      <c r="E141" s="47">
        <f t="shared" si="48"/>
        <v>-91.709996148628406</v>
      </c>
      <c r="F141" s="47">
        <f t="shared" si="49"/>
        <v>96.280058660245487</v>
      </c>
      <c r="G141" s="47">
        <f t="shared" si="42"/>
        <v>4.5700625116170812</v>
      </c>
      <c r="J141" s="47">
        <f t="shared" si="50"/>
        <v>2.0545979648435351</v>
      </c>
      <c r="Q141" s="8">
        <f t="shared" si="45"/>
        <v>100</v>
      </c>
      <c r="R141" s="9">
        <f t="shared" si="46"/>
        <v>8.5960068884745507E-3</v>
      </c>
      <c r="S141" s="8">
        <f t="shared" si="51"/>
        <v>1</v>
      </c>
      <c r="T141" s="9">
        <f t="shared" si="52"/>
        <v>6.8410970683651024E-4</v>
      </c>
      <c r="U141" s="9">
        <f t="shared" si="53"/>
        <v>6.7527383823169922E-4</v>
      </c>
      <c r="V141" s="9">
        <f t="shared" ref="V141:V204" si="54">(B141-B140)/B140</f>
        <v>1.4537853719215401E-2</v>
      </c>
    </row>
    <row r="142" spans="1:22">
      <c r="A142" s="8">
        <f t="shared" si="47"/>
        <v>0.65500000000000047</v>
      </c>
      <c r="B142" s="47">
        <f>B141*EXP((PL_r-0.5*Vol_a^2)*dt+Vol_a*SQRT(dt)*bs!A132)</f>
        <v>118.2154608990713</v>
      </c>
      <c r="C142" s="47">
        <f t="shared" si="43"/>
        <v>19.290144234216783</v>
      </c>
      <c r="D142" s="44">
        <f t="shared" si="44"/>
        <v>0.93845773504018415</v>
      </c>
      <c r="E142" s="47">
        <f t="shared" si="48"/>
        <v>-91.650069447857121</v>
      </c>
      <c r="F142" s="47">
        <f t="shared" si="49"/>
        <v>96.208523018545321</v>
      </c>
      <c r="G142" s="47">
        <f t="shared" si="42"/>
        <v>4.5584535706882008</v>
      </c>
      <c r="J142" s="47">
        <f t="shared" si="50"/>
        <v>-8.1164128982529296E-2</v>
      </c>
      <c r="Q142" s="8">
        <f t="shared" si="45"/>
        <v>100</v>
      </c>
      <c r="R142" s="9">
        <f t="shared" si="46"/>
        <v>8.7498660534212E-3</v>
      </c>
      <c r="S142" s="8">
        <f t="shared" si="51"/>
        <v>-1</v>
      </c>
      <c r="T142" s="9">
        <f t="shared" si="52"/>
        <v>-1.2034614527137935E-2</v>
      </c>
      <c r="U142" s="9">
        <f t="shared" si="53"/>
        <v>-1.1877989212509358E-2</v>
      </c>
      <c r="V142" s="9">
        <f t="shared" si="54"/>
        <v>-1.7777843069886801E-3</v>
      </c>
    </row>
    <row r="143" spans="1:22">
      <c r="A143" s="8">
        <f t="shared" si="47"/>
        <v>0.66000000000000048</v>
      </c>
      <c r="B143" s="47">
        <f>B142*EXP((PL_r-0.5*Vol_a^2)*dt+Vol_a*SQRT(dt)*bs!A133)</f>
        <v>120.19761210566226</v>
      </c>
      <c r="C143" s="47">
        <f t="shared" si="43"/>
        <v>21.146999883628681</v>
      </c>
      <c r="D143" s="44">
        <f t="shared" si="44"/>
        <v>0.9548790528596065</v>
      </c>
      <c r="E143" s="47">
        <f t="shared" si="48"/>
        <v>-93.627182119812474</v>
      </c>
      <c r="F143" s="47">
        <f t="shared" si="49"/>
        <v>98.191947541428561</v>
      </c>
      <c r="G143" s="47">
        <f t="shared" si="42"/>
        <v>4.5647654216160873</v>
      </c>
      <c r="J143" s="47">
        <f t="shared" si="50"/>
        <v>1.9738031895227277</v>
      </c>
      <c r="Q143" s="8">
        <f t="shared" si="45"/>
        <v>100</v>
      </c>
      <c r="R143" s="9">
        <f t="shared" si="46"/>
        <v>6.7767411286185726E-3</v>
      </c>
      <c r="S143" s="8">
        <f t="shared" si="51"/>
        <v>1</v>
      </c>
      <c r="T143" s="9">
        <f t="shared" si="52"/>
        <v>3.9721511696770738E-3</v>
      </c>
      <c r="U143" s="9">
        <f t="shared" si="53"/>
        <v>3.9200633104219404E-3</v>
      </c>
      <c r="V143" s="9">
        <f t="shared" si="54"/>
        <v>1.6767275545144261E-2</v>
      </c>
    </row>
    <row r="144" spans="1:22">
      <c r="A144" s="8">
        <f t="shared" si="47"/>
        <v>0.66500000000000048</v>
      </c>
      <c r="B144" s="47">
        <f>B143*EXP((PL_r-0.5*Vol_a^2)*dt+Vol_a*SQRT(dt)*bs!A134)</f>
        <v>116.27267170368962</v>
      </c>
      <c r="C144" s="47">
        <f t="shared" si="43"/>
        <v>17.43738081160916</v>
      </c>
      <c r="D144" s="44">
        <f t="shared" si="44"/>
        <v>0.92193293560177003</v>
      </c>
      <c r="E144" s="47">
        <f t="shared" si="48"/>
        <v>-89.75822474243428</v>
      </c>
      <c r="F144" s="47">
        <f t="shared" si="49"/>
        <v>94.371034151327123</v>
      </c>
      <c r="G144" s="47">
        <f t="shared" si="42"/>
        <v>4.6128094088928435</v>
      </c>
      <c r="J144" s="47">
        <f t="shared" si="50"/>
        <v>-3.8307330758316831</v>
      </c>
      <c r="Q144" s="8">
        <f t="shared" si="45"/>
        <v>100</v>
      </c>
      <c r="R144" s="9">
        <f t="shared" si="46"/>
        <v>1.084269284788048E-2</v>
      </c>
      <c r="S144" s="8">
        <f t="shared" si="51"/>
        <v>1</v>
      </c>
      <c r="T144" s="9">
        <f t="shared" si="52"/>
        <v>6.3492828942048329E-2</v>
      </c>
      <c r="U144" s="9">
        <f t="shared" si="53"/>
        <v>6.2653965127004357E-2</v>
      </c>
      <c r="V144" s="9">
        <f t="shared" si="54"/>
        <v>-3.2654063031820731E-2</v>
      </c>
    </row>
    <row r="145" spans="1:22">
      <c r="A145" s="8">
        <f t="shared" si="47"/>
        <v>0.67000000000000048</v>
      </c>
      <c r="B145" s="47">
        <f>B144*EXP((PL_r-0.5*Vol_a^2)*dt+Vol_a*SQRT(dt)*bs!A135)</f>
        <v>121.39891498933254</v>
      </c>
      <c r="C145" s="47">
        <f t="shared" si="43"/>
        <v>22.26297801425882</v>
      </c>
      <c r="D145" s="44">
        <f t="shared" si="44"/>
        <v>0.96428053184023044</v>
      </c>
      <c r="E145" s="47">
        <f t="shared" si="48"/>
        <v>-94.79963229648169</v>
      </c>
      <c r="F145" s="47">
        <f t="shared" si="49"/>
        <v>99.521423962368601</v>
      </c>
      <c r="G145" s="47">
        <f t="shared" si="42"/>
        <v>4.7217916658869115</v>
      </c>
      <c r="J145" s="47">
        <f t="shared" si="50"/>
        <v>5.1409522357554334</v>
      </c>
      <c r="Q145" s="8">
        <f t="shared" si="45"/>
        <v>100</v>
      </c>
      <c r="R145" s="9">
        <f t="shared" si="46"/>
        <v>5.6332292662990549E-3</v>
      </c>
      <c r="S145" s="8">
        <f t="shared" si="51"/>
        <v>1</v>
      </c>
      <c r="T145" s="9">
        <f t="shared" si="52"/>
        <v>7.2384285346954083E-2</v>
      </c>
      <c r="U145" s="9">
        <f t="shared" si="53"/>
        <v>7.142080565407187E-2</v>
      </c>
      <c r="V145" s="9">
        <f t="shared" si="54"/>
        <v>4.4088118132407594E-2</v>
      </c>
    </row>
    <row r="146" spans="1:22">
      <c r="A146" s="8">
        <f t="shared" si="47"/>
        <v>0.67500000000000049</v>
      </c>
      <c r="B146" s="47">
        <f>B145*EXP((PL_r-0.5*Vol_a^2)*dt+Vol_a*SQRT(dt)*bs!A136)</f>
        <v>121.48537594196782</v>
      </c>
      <c r="C146" s="47">
        <f t="shared" si="43"/>
        <v>22.328721799064681</v>
      </c>
      <c r="D146" s="44">
        <f t="shared" si="44"/>
        <v>0.96569513666764906</v>
      </c>
      <c r="E146" s="47">
        <f t="shared" si="48"/>
        <v>-94.989114924334658</v>
      </c>
      <c r="F146" s="47">
        <f t="shared" si="49"/>
        <v>99.703230401656825</v>
      </c>
      <c r="G146" s="47">
        <f t="shared" si="42"/>
        <v>4.7141154773221672</v>
      </c>
      <c r="J146" s="47">
        <f t="shared" si="50"/>
        <v>0.17185379926827352</v>
      </c>
      <c r="Q146" s="8">
        <f t="shared" si="45"/>
        <v>100</v>
      </c>
      <c r="R146" s="9">
        <f t="shared" si="46"/>
        <v>5.4873259767698034E-3</v>
      </c>
      <c r="S146" s="8">
        <f t="shared" si="51"/>
        <v>-1</v>
      </c>
      <c r="T146" s="9">
        <f t="shared" si="52"/>
        <v>-8.0780384379407176E-3</v>
      </c>
      <c r="U146" s="9">
        <f t="shared" si="53"/>
        <v>-7.9697177289301101E-3</v>
      </c>
      <c r="V146" s="9">
        <f t="shared" si="54"/>
        <v>7.1220531619146184E-4</v>
      </c>
    </row>
    <row r="147" spans="1:22">
      <c r="A147" s="8">
        <f t="shared" si="47"/>
        <v>0.68000000000000049</v>
      </c>
      <c r="B147" s="47">
        <f>B146*EXP((PL_r-0.5*Vol_a^2)*dt+Vol_a*SQRT(dt)*bs!A137)</f>
        <v>124.47841524035418</v>
      </c>
      <c r="C147" s="47">
        <f t="shared" si="43"/>
        <v>25.225398916101241</v>
      </c>
      <c r="D147" s="44">
        <f t="shared" si="44"/>
        <v>0.97974490831069372</v>
      </c>
      <c r="E147" s="47">
        <f t="shared" si="48"/>
        <v>-96.731694610220032</v>
      </c>
      <c r="F147" s="47">
        <f t="shared" si="49"/>
        <v>101.46209453184483</v>
      </c>
      <c r="G147" s="47">
        <f t="shared" si="42"/>
        <v>4.7303999216247945</v>
      </c>
      <c r="J147" s="47">
        <f t="shared" si="50"/>
        <v>1.7488933086150666</v>
      </c>
      <c r="Q147" s="8">
        <f t="shared" si="45"/>
        <v>100</v>
      </c>
      <c r="R147" s="9">
        <f t="shared" si="46"/>
        <v>3.4751874545201089E-3</v>
      </c>
      <c r="S147" s="8">
        <f t="shared" si="51"/>
        <v>1</v>
      </c>
      <c r="T147" s="9">
        <f t="shared" si="52"/>
        <v>1.0957540063890757E-2</v>
      </c>
      <c r="U147" s="9">
        <f t="shared" si="53"/>
        <v>1.0809526294035398E-2</v>
      </c>
      <c r="V147" s="9">
        <f t="shared" si="54"/>
        <v>2.4637033677338292E-2</v>
      </c>
    </row>
    <row r="148" spans="1:22">
      <c r="A148" s="8">
        <f t="shared" si="47"/>
        <v>0.6850000000000005</v>
      </c>
      <c r="B148" s="47">
        <f>B147*EXP((PL_r-0.5*Vol_a^2)*dt+Vol_a*SQRT(dt)*bs!A138)</f>
        <v>121.78500608688613</v>
      </c>
      <c r="C148" s="47">
        <f t="shared" si="43"/>
        <v>22.583886949523205</v>
      </c>
      <c r="D148" s="44">
        <f t="shared" si="44"/>
        <v>0.96912187100585745</v>
      </c>
      <c r="E148" s="47">
        <f t="shared" si="48"/>
        <v>-95.440626009859614</v>
      </c>
      <c r="F148" s="47">
        <f t="shared" si="49"/>
        <v>100.17851458579469</v>
      </c>
      <c r="G148" s="47">
        <f t="shared" si="42"/>
        <v>4.7378885759350737</v>
      </c>
      <c r="J148" s="47">
        <f t="shared" si="50"/>
        <v>-1.2937266628307034</v>
      </c>
      <c r="Q148" s="8">
        <f t="shared" si="45"/>
        <v>100</v>
      </c>
      <c r="R148" s="9">
        <f t="shared" si="46"/>
        <v>5.0977564919833284E-3</v>
      </c>
      <c r="S148" s="8">
        <f t="shared" si="51"/>
        <v>1</v>
      </c>
      <c r="T148" s="9">
        <f t="shared" si="52"/>
        <v>1.0138403913252473E-2</v>
      </c>
      <c r="U148" s="9">
        <f t="shared" si="53"/>
        <v>1.000045488809421E-2</v>
      </c>
      <c r="V148" s="9">
        <f t="shared" si="54"/>
        <v>-2.1637559799161769E-2</v>
      </c>
    </row>
    <row r="149" spans="1:22">
      <c r="A149" s="8">
        <f t="shared" si="47"/>
        <v>0.6900000000000005</v>
      </c>
      <c r="B149" s="47">
        <f>B148*EXP((PL_r-0.5*Vol_a^2)*dt+Vol_a*SQRT(dt)*bs!A139)</f>
        <v>123.00957534928719</v>
      </c>
      <c r="C149" s="47">
        <f t="shared" si="43"/>
        <v>23.758248766361916</v>
      </c>
      <c r="D149" s="44">
        <f t="shared" si="44"/>
        <v>0.9756436492742232</v>
      </c>
      <c r="E149" s="47">
        <f t="shared" si="48"/>
        <v>-96.255262223089161</v>
      </c>
      <c r="F149" s="47">
        <f t="shared" si="49"/>
        <v>100.99077411347642</v>
      </c>
      <c r="G149" s="47">
        <f t="shared" si="42"/>
        <v>4.7355118903872579</v>
      </c>
      <c r="J149" s="47">
        <f t="shared" si="50"/>
        <v>0.80224117531388073</v>
      </c>
      <c r="Q149" s="8">
        <f t="shared" si="45"/>
        <v>100</v>
      </c>
      <c r="R149" s="9">
        <f t="shared" si="46"/>
        <v>4.1744110829317962E-3</v>
      </c>
      <c r="S149" s="8">
        <f t="shared" si="51"/>
        <v>-1</v>
      </c>
      <c r="T149" s="9">
        <f t="shared" si="52"/>
        <v>-3.1232792667060315E-3</v>
      </c>
      <c r="U149" s="9">
        <f t="shared" si="53"/>
        <v>-3.0804740481501858E-3</v>
      </c>
      <c r="V149" s="9">
        <f t="shared" si="54"/>
        <v>1.0055172650132369E-2</v>
      </c>
    </row>
    <row r="150" spans="1:22">
      <c r="A150" s="8">
        <f t="shared" si="47"/>
        <v>0.69500000000000051</v>
      </c>
      <c r="B150" s="47">
        <f>B149*EXP((PL_r-0.5*Vol_a^2)*dt+Vol_a*SQRT(dt)*bs!A140)</f>
        <v>126.01200494893925</v>
      </c>
      <c r="C150" s="47">
        <f t="shared" si="43"/>
        <v>26.689931500503377</v>
      </c>
      <c r="D150" s="44">
        <f t="shared" si="44"/>
        <v>0.98622744210754754</v>
      </c>
      <c r="E150" s="47">
        <f t="shared" si="48"/>
        <v>-97.586565815132602</v>
      </c>
      <c r="F150" s="47">
        <f t="shared" si="49"/>
        <v>102.33455865074988</v>
      </c>
      <c r="G150" s="47">
        <f t="shared" si="42"/>
        <v>4.747992835617282</v>
      </c>
      <c r="J150" s="47">
        <f t="shared" si="50"/>
        <v>1.3336849548914138</v>
      </c>
      <c r="Q150" s="8">
        <f t="shared" si="45"/>
        <v>100</v>
      </c>
      <c r="R150" s="9">
        <f t="shared" si="46"/>
        <v>2.5280416460230588E-3</v>
      </c>
      <c r="S150" s="8">
        <f t="shared" si="51"/>
        <v>1</v>
      </c>
      <c r="T150" s="9">
        <f t="shared" si="52"/>
        <v>7.9433679447802781E-3</v>
      </c>
      <c r="U150" s="9">
        <f t="shared" si="53"/>
        <v>7.8337189562525042E-3</v>
      </c>
      <c r="V150" s="9">
        <f t="shared" si="54"/>
        <v>2.4408096614646668E-2</v>
      </c>
    </row>
    <row r="151" spans="1:22">
      <c r="A151" s="8">
        <f t="shared" si="47"/>
        <v>0.70000000000000051</v>
      </c>
      <c r="B151" s="47">
        <f>B150*EXP((PL_r-0.5*Vol_a^2)*dt+Vol_a*SQRT(dt)*bs!A141)</f>
        <v>130.7989637328435</v>
      </c>
      <c r="C151" s="47">
        <f t="shared" si="43"/>
        <v>31.421724326350116</v>
      </c>
      <c r="D151" s="44">
        <f t="shared" si="44"/>
        <v>0.9947742484033637</v>
      </c>
      <c r="E151" s="47">
        <f t="shared" si="48"/>
        <v>-98.693716512928106</v>
      </c>
      <c r="F151" s="47">
        <f t="shared" si="49"/>
        <v>103.46270602502291</v>
      </c>
      <c r="G151" s="47">
        <f t="shared" si="42"/>
        <v>4.7689895120948051</v>
      </c>
      <c r="J151" s="47">
        <f t="shared" si="50"/>
        <v>1.1179134067180974</v>
      </c>
      <c r="Q151" s="8">
        <f t="shared" si="45"/>
        <v>100</v>
      </c>
      <c r="R151" s="9">
        <f t="shared" si="46"/>
        <v>1.0496307645678593E-3</v>
      </c>
      <c r="S151" s="8">
        <f t="shared" si="51"/>
        <v>1</v>
      </c>
      <c r="T151" s="9">
        <f t="shared" si="52"/>
        <v>1.1161439034851967E-2</v>
      </c>
      <c r="U151" s="9">
        <f t="shared" si="53"/>
        <v>1.1006267622707172E-2</v>
      </c>
      <c r="V151" s="9">
        <f t="shared" si="54"/>
        <v>3.7988116972219876E-2</v>
      </c>
    </row>
    <row r="152" spans="1:22">
      <c r="A152" s="8">
        <f t="shared" si="47"/>
        <v>0.70500000000000052</v>
      </c>
      <c r="B152" s="47">
        <f>B151*EXP((PL_r-0.5*Vol_a^2)*dt+Vol_a*SQRT(dt)*bs!A142)</f>
        <v>128.27156853192432</v>
      </c>
      <c r="C152" s="47">
        <f t="shared" si="43"/>
        <v>28.898959581601929</v>
      </c>
      <c r="D152" s="44">
        <f t="shared" si="44"/>
        <v>0.99181745232754726</v>
      </c>
      <c r="E152" s="47">
        <f t="shared" si="48"/>
        <v>-98.323020725789632</v>
      </c>
      <c r="F152" s="47">
        <f t="shared" si="49"/>
        <v>103.09377994248219</v>
      </c>
      <c r="G152" s="47">
        <f t="shared" si="42"/>
        <v>4.7707592166925537</v>
      </c>
      <c r="J152" s="47">
        <f t="shared" si="50"/>
        <v>-0.37927287047401437</v>
      </c>
      <c r="Q152" s="8">
        <f t="shared" si="45"/>
        <v>100</v>
      </c>
      <c r="R152" s="9">
        <f t="shared" si="46"/>
        <v>1.6046215350391639E-3</v>
      </c>
      <c r="S152" s="8">
        <f t="shared" si="51"/>
        <v>1</v>
      </c>
      <c r="T152" s="9">
        <f t="shared" si="52"/>
        <v>2.2886200112613884E-3</v>
      </c>
      <c r="U152" s="9">
        <f t="shared" si="53"/>
        <v>2.2565769038820497E-3</v>
      </c>
      <c r="V152" s="9">
        <f t="shared" si="54"/>
        <v>-1.9322746364270778E-2</v>
      </c>
    </row>
    <row r="153" spans="1:22">
      <c r="A153" s="8">
        <f t="shared" si="47"/>
        <v>0.71000000000000052</v>
      </c>
      <c r="B153" s="47">
        <f>B152*EXP((PL_r-0.5*Vol_a^2)*dt+Vol_a*SQRT(dt)*bs!A143)</f>
        <v>133.27809062638954</v>
      </c>
      <c r="C153" s="47">
        <f t="shared" si="43"/>
        <v>33.868659303828537</v>
      </c>
      <c r="D153" s="44">
        <f t="shared" si="44"/>
        <v>0.99723914889841214</v>
      </c>
      <c r="E153" s="47">
        <f t="shared" si="48"/>
        <v>-99.041470359237621</v>
      </c>
      <c r="F153" s="47">
        <f t="shared" si="49"/>
        <v>103.82668320288305</v>
      </c>
      <c r="G153" s="47">
        <f t="shared" si="42"/>
        <v>4.7852128436454251</v>
      </c>
      <c r="J153" s="47">
        <f t="shared" si="50"/>
        <v>0.72259336692051579</v>
      </c>
      <c r="Q153" s="8">
        <f t="shared" si="45"/>
        <v>100</v>
      </c>
      <c r="R153" s="9">
        <f t="shared" si="46"/>
        <v>5.9136188265584207E-4</v>
      </c>
      <c r="S153" s="8">
        <f t="shared" si="51"/>
        <v>1</v>
      </c>
      <c r="T153" s="9">
        <f t="shared" si="52"/>
        <v>6.9507092655591539E-3</v>
      </c>
      <c r="U153" s="9">
        <f t="shared" si="53"/>
        <v>6.8527066592578801E-3</v>
      </c>
      <c r="V153" s="9">
        <f t="shared" si="54"/>
        <v>3.9030645307960028E-2</v>
      </c>
    </row>
    <row r="154" spans="1:22">
      <c r="A154" s="8">
        <f t="shared" si="47"/>
        <v>0.71500000000000052</v>
      </c>
      <c r="B154" s="47">
        <f>B153*EXP((PL_r-0.5*Vol_a^2)*dt+Vol_a*SQRT(dt)*bs!A144)</f>
        <v>138.50541972194603</v>
      </c>
      <c r="C154" s="47">
        <f t="shared" si="43"/>
        <v>39.077089809568875</v>
      </c>
      <c r="D154" s="44">
        <f t="shared" si="44"/>
        <v>0.99920456170182526</v>
      </c>
      <c r="E154" s="47">
        <f t="shared" si="48"/>
        <v>-99.318157397025558</v>
      </c>
      <c r="F154" s="47">
        <f t="shared" si="49"/>
        <v>104.10928671561767</v>
      </c>
      <c r="G154" s="47">
        <f t="shared" si="42"/>
        <v>4.7911293185921124</v>
      </c>
      <c r="J154" s="47">
        <f t="shared" si="50"/>
        <v>0.27222032526361989</v>
      </c>
      <c r="Q154" s="8">
        <f t="shared" si="45"/>
        <v>100</v>
      </c>
      <c r="R154" s="9">
        <f t="shared" si="46"/>
        <v>1.8447596187173425E-4</v>
      </c>
      <c r="S154" s="8">
        <f t="shared" si="51"/>
        <v>1</v>
      </c>
      <c r="T154" s="9">
        <f t="shared" si="52"/>
        <v>2.3680893760715544E-3</v>
      </c>
      <c r="U154" s="9">
        <f t="shared" si="53"/>
        <v>2.3344666732756439E-3</v>
      </c>
      <c r="V154" s="9">
        <f t="shared" si="54"/>
        <v>3.9221218363713971E-2</v>
      </c>
    </row>
    <row r="155" spans="1:22">
      <c r="A155" s="8">
        <f t="shared" si="47"/>
        <v>0.72000000000000053</v>
      </c>
      <c r="B155" s="47">
        <f>B154*EXP((PL_r-0.5*Vol_a^2)*dt+Vol_a*SQRT(dt)*bs!A145)</f>
        <v>144.58617377835523</v>
      </c>
      <c r="C155" s="47">
        <f t="shared" si="43"/>
        <v>45.145247476450052</v>
      </c>
      <c r="D155" s="44">
        <f t="shared" si="44"/>
        <v>0.99983447695630889</v>
      </c>
      <c r="E155" s="47">
        <f t="shared" si="48"/>
        <v>-99.416993958345742</v>
      </c>
      <c r="F155" s="47">
        <f t="shared" si="49"/>
        <v>104.21077520130343</v>
      </c>
      <c r="G155" s="47">
        <f t="shared" si="42"/>
        <v>4.7937812429576923</v>
      </c>
      <c r="J155" s="47">
        <f t="shared" si="50"/>
        <v>9.1077036450408044E-2</v>
      </c>
      <c r="Q155" s="8">
        <f t="shared" si="45"/>
        <v>100</v>
      </c>
      <c r="R155" s="9">
        <f t="shared" si="46"/>
        <v>4.1487588191122108E-5</v>
      </c>
      <c r="S155" s="8">
        <f t="shared" si="51"/>
        <v>1</v>
      </c>
      <c r="T155" s="9">
        <f t="shared" si="52"/>
        <v>7.4910935895755441E-4</v>
      </c>
      <c r="U155" s="9">
        <f t="shared" si="53"/>
        <v>7.3839948038038352E-4</v>
      </c>
      <c r="V155" s="9">
        <f t="shared" si="54"/>
        <v>4.390264343891026E-2</v>
      </c>
    </row>
    <row r="156" spans="1:22">
      <c r="A156" s="8">
        <f t="shared" si="47"/>
        <v>0.72500000000000053</v>
      </c>
      <c r="B156" s="47">
        <f>B155*EXP((PL_r-0.5*Vol_a^2)*dt+Vol_a*SQRT(dt)*bs!A146)</f>
        <v>144.91669080834856</v>
      </c>
      <c r="C156" s="47">
        <f t="shared" si="43"/>
        <v>45.465693159774787</v>
      </c>
      <c r="D156" s="44">
        <f t="shared" si="44"/>
        <v>0.9998647651784901</v>
      </c>
      <c r="E156" s="47">
        <f t="shared" si="48"/>
        <v>-99.431399865758493</v>
      </c>
      <c r="F156" s="47">
        <f t="shared" si="49"/>
        <v>104.22558606882379</v>
      </c>
      <c r="G156" s="47">
        <f t="shared" si="42"/>
        <v>4.7941862030652942</v>
      </c>
      <c r="J156" s="47">
        <f t="shared" si="50"/>
        <v>4.3892689289685835E-3</v>
      </c>
      <c r="Q156" s="8">
        <f t="shared" si="45"/>
        <v>100</v>
      </c>
      <c r="R156" s="9">
        <f t="shared" si="46"/>
        <v>3.4564297513105206E-5</v>
      </c>
      <c r="S156" s="8">
        <f t="shared" si="51"/>
        <v>-1</v>
      </c>
      <c r="T156" s="9">
        <f t="shared" si="52"/>
        <v>-7.0691384056758446E-5</v>
      </c>
      <c r="U156" s="9">
        <f t="shared" si="53"/>
        <v>-6.9673754630925817E-5</v>
      </c>
      <c r="V156" s="9">
        <f t="shared" si="54"/>
        <v>2.2859518400424658E-3</v>
      </c>
    </row>
    <row r="157" spans="1:22">
      <c r="A157" s="8">
        <f t="shared" si="47"/>
        <v>0.73000000000000054</v>
      </c>
      <c r="B157" s="47">
        <f>B156*EXP((PL_r-0.5*Vol_a^2)*dt+Vol_a*SQRT(dt)*bs!A147)</f>
        <v>147.36964793510575</v>
      </c>
      <c r="C157" s="47">
        <f t="shared" si="43"/>
        <v>47.908421701053001</v>
      </c>
      <c r="D157" s="44">
        <f t="shared" si="44"/>
        <v>0.99993726655312565</v>
      </c>
      <c r="E157" s="47">
        <f t="shared" si="48"/>
        <v>-99.451981228073109</v>
      </c>
      <c r="F157" s="47">
        <f t="shared" si="49"/>
        <v>104.24669365063083</v>
      </c>
      <c r="G157" s="47">
        <f t="shared" si="42"/>
        <v>4.7947124225577227</v>
      </c>
      <c r="J157" s="47">
        <f t="shared" si="50"/>
        <v>1.0684502054851826E-2</v>
      </c>
      <c r="Q157" s="8">
        <f t="shared" si="45"/>
        <v>100</v>
      </c>
      <c r="R157" s="9">
        <f t="shared" si="46"/>
        <v>1.6660674692097621E-5</v>
      </c>
      <c r="S157" s="8">
        <f t="shared" si="51"/>
        <v>1</v>
      </c>
      <c r="T157" s="9">
        <f t="shared" si="52"/>
        <v>1.5651500094084538E-5</v>
      </c>
      <c r="U157" s="9">
        <f t="shared" si="53"/>
        <v>1.5424648240870138E-5</v>
      </c>
      <c r="V157" s="9">
        <f t="shared" si="54"/>
        <v>1.6926670855334426E-2</v>
      </c>
    </row>
    <row r="158" spans="1:22">
      <c r="A158" s="8">
        <f t="shared" si="47"/>
        <v>0.73500000000000054</v>
      </c>
      <c r="B158" s="47">
        <f>B157*EXP((PL_r-0.5*Vol_a^2)*dt+Vol_a*SQRT(dt)*bs!A148)</f>
        <v>146.30115193002882</v>
      </c>
      <c r="C158" s="47">
        <f t="shared" si="43"/>
        <v>46.830013373070088</v>
      </c>
      <c r="D158" s="44">
        <f t="shared" si="44"/>
        <v>0.99992723816754159</v>
      </c>
      <c r="E158" s="47">
        <f t="shared" si="48"/>
        <v>-99.460493417053542</v>
      </c>
      <c r="F158" s="47">
        <f t="shared" si="49"/>
        <v>104.25565167688379</v>
      </c>
      <c r="G158" s="47">
        <f t="shared" si="42"/>
        <v>4.7951582598302451</v>
      </c>
      <c r="J158" s="47">
        <f t="shared" si="50"/>
        <v>-1.4671643629464641E-3</v>
      </c>
      <c r="Q158" s="8">
        <f t="shared" si="45"/>
        <v>100</v>
      </c>
      <c r="R158" s="9">
        <f t="shared" si="46"/>
        <v>1.9480408334096119E-5</v>
      </c>
      <c r="S158" s="8">
        <f t="shared" si="51"/>
        <v>-1</v>
      </c>
      <c r="T158" s="9">
        <f t="shared" si="52"/>
        <v>-3.0736355007383806E-5</v>
      </c>
      <c r="U158" s="9">
        <f t="shared" si="53"/>
        <v>-3.0287835285421491E-5</v>
      </c>
      <c r="V158" s="9">
        <f t="shared" si="54"/>
        <v>-7.2504482439113638E-3</v>
      </c>
    </row>
    <row r="159" spans="1:22">
      <c r="A159" s="8">
        <f t="shared" si="47"/>
        <v>0.74000000000000055</v>
      </c>
      <c r="B159" s="47">
        <f>B158*EXP((PL_r-0.5*Vol_a^2)*dt+Vol_a*SQRT(dt)*bs!A149)</f>
        <v>147.5715434823685</v>
      </c>
      <c r="C159" s="47">
        <f t="shared" si="43"/>
        <v>48.090351283967536</v>
      </c>
      <c r="D159" s="44">
        <f t="shared" si="44"/>
        <v>0.99995530878958205</v>
      </c>
      <c r="E159" s="47">
        <f t="shared" si="48"/>
        <v>-99.4745970474995</v>
      </c>
      <c r="F159" s="47">
        <f t="shared" si="49"/>
        <v>104.27022018836813</v>
      </c>
      <c r="G159" s="47">
        <f t="shared" si="42"/>
        <v>4.7956231408686278</v>
      </c>
      <c r="J159" s="47">
        <f t="shared" si="50"/>
        <v>4.1424250210217364E-3</v>
      </c>
      <c r="Q159" s="8">
        <f t="shared" si="45"/>
        <v>100</v>
      </c>
      <c r="R159" s="9">
        <f t="shared" si="46"/>
        <v>1.2311037437195206E-5</v>
      </c>
      <c r="S159" s="8">
        <f t="shared" si="51"/>
        <v>-1</v>
      </c>
      <c r="T159" s="9">
        <f t="shared" si="52"/>
        <v>-1.6702553851670991E-5</v>
      </c>
      <c r="U159" s="9">
        <f t="shared" si="53"/>
        <v>-1.6457176327288089E-5</v>
      </c>
      <c r="V159" s="9">
        <f t="shared" si="54"/>
        <v>8.6834008863256405E-3</v>
      </c>
    </row>
    <row r="160" spans="1:22">
      <c r="A160" s="8">
        <f t="shared" si="47"/>
        <v>0.74500000000000055</v>
      </c>
      <c r="B160" s="47">
        <f>B159*EXP((PL_r-0.5*Vol_a^2)*dt+Vol_a*SQRT(dt)*bs!A150)</f>
        <v>148.14036839083033</v>
      </c>
      <c r="C160" s="47">
        <f t="shared" si="43"/>
        <v>48.649182956254776</v>
      </c>
      <c r="D160" s="44">
        <f t="shared" si="44"/>
        <v>0.99996725010152709</v>
      </c>
      <c r="E160" s="47">
        <f t="shared" si="48"/>
        <v>-99.486333852551013</v>
      </c>
      <c r="F160" s="47">
        <f t="shared" si="49"/>
        <v>104.28241672210606</v>
      </c>
      <c r="G160" s="47">
        <f t="shared" si="42"/>
        <v>4.7960828695550504</v>
      </c>
      <c r="J160" s="47">
        <f t="shared" si="50"/>
        <v>1.7689903506081471E-3</v>
      </c>
      <c r="Q160" s="8">
        <f t="shared" si="45"/>
        <v>100</v>
      </c>
      <c r="R160" s="9">
        <f t="shared" si="46"/>
        <v>9.2290722660286876E-6</v>
      </c>
      <c r="S160" s="8">
        <f t="shared" si="51"/>
        <v>-1</v>
      </c>
      <c r="T160" s="9">
        <f t="shared" si="52"/>
        <v>-1.8749103873828534E-5</v>
      </c>
      <c r="U160" s="9">
        <f t="shared" si="53"/>
        <v>-1.8471813171927726E-5</v>
      </c>
      <c r="V160" s="9">
        <f t="shared" si="54"/>
        <v>3.8545704343723743E-3</v>
      </c>
    </row>
    <row r="161" spans="1:22">
      <c r="A161" s="8">
        <f t="shared" si="47"/>
        <v>0.75000000000000056</v>
      </c>
      <c r="B161" s="47">
        <f>B160*EXP((PL_r-0.5*Vol_a^2)*dt+Vol_a*SQRT(dt)*bs!A151)</f>
        <v>150.58706980213677</v>
      </c>
      <c r="C161" s="47">
        <f t="shared" si="43"/>
        <v>51.085867505266464</v>
      </c>
      <c r="D161" s="44">
        <f t="shared" si="44"/>
        <v>0.9999862702142549</v>
      </c>
      <c r="E161" s="47">
        <f t="shared" si="48"/>
        <v>-99.499134768665925</v>
      </c>
      <c r="F161" s="47">
        <f t="shared" si="49"/>
        <v>104.29570966825074</v>
      </c>
      <c r="G161" s="47">
        <f t="shared" si="42"/>
        <v>4.7965748995848116</v>
      </c>
      <c r="J161" s="47">
        <f t="shared" si="50"/>
        <v>2.864183042986902E-3</v>
      </c>
      <c r="Q161" s="8">
        <f t="shared" si="45"/>
        <v>100</v>
      </c>
      <c r="R161" s="9">
        <f t="shared" si="46"/>
        <v>4.0188775993598199E-6</v>
      </c>
      <c r="S161" s="8">
        <f t="shared" si="51"/>
        <v>1</v>
      </c>
      <c r="T161" s="9">
        <f t="shared" si="52"/>
        <v>3.316437883537871E-6</v>
      </c>
      <c r="U161" s="9">
        <f t="shared" si="53"/>
        <v>3.2670625560250681E-6</v>
      </c>
      <c r="V161" s="9">
        <f t="shared" si="54"/>
        <v>1.6516101842351583E-2</v>
      </c>
    </row>
    <row r="162" spans="1:22">
      <c r="A162" s="8">
        <f t="shared" si="47"/>
        <v>0.75500000000000056</v>
      </c>
      <c r="B162" s="47">
        <f>B161*EXP((PL_r-0.5*Vol_a^2)*dt+Vol_a*SQRT(dt)*bs!A152)</f>
        <v>153.75801318170053</v>
      </c>
      <c r="C162" s="47">
        <f t="shared" si="43"/>
        <v>54.24682868705159</v>
      </c>
      <c r="D162" s="44">
        <f t="shared" si="44"/>
        <v>0.99999559692516682</v>
      </c>
      <c r="E162" s="47">
        <f t="shared" si="48"/>
        <v>-99.510507486610692</v>
      </c>
      <c r="F162" s="47">
        <f t="shared" si="49"/>
        <v>104.30757381725283</v>
      </c>
      <c r="G162" s="47">
        <f t="shared" si="42"/>
        <v>4.7970663306421386</v>
      </c>
      <c r="J162" s="47">
        <f t="shared" si="50"/>
        <v>1.434056539336385E-3</v>
      </c>
      <c r="Q162" s="8">
        <f t="shared" si="45"/>
        <v>100</v>
      </c>
      <c r="R162" s="9">
        <f t="shared" si="46"/>
        <v>1.3443165505559411E-6</v>
      </c>
      <c r="S162" s="8">
        <f t="shared" si="51"/>
        <v>1</v>
      </c>
      <c r="T162" s="9">
        <f t="shared" si="52"/>
        <v>3.8679283997288736E-6</v>
      </c>
      <c r="U162" s="9">
        <f t="shared" si="53"/>
        <v>3.8099614329089479E-6</v>
      </c>
      <c r="V162" s="9">
        <f t="shared" si="54"/>
        <v>2.1057208854187905E-2</v>
      </c>
    </row>
    <row r="163" spans="1:22">
      <c r="A163" s="8">
        <f t="shared" si="47"/>
        <v>0.76000000000000056</v>
      </c>
      <c r="B163" s="47">
        <f>B162*EXP((PL_r-0.5*Vol_a^2)*dt+Vol_a*SQRT(dt)*bs!A153)</f>
        <v>157.84987274338275</v>
      </c>
      <c r="C163" s="47">
        <f t="shared" si="43"/>
        <v>58.328725585828451</v>
      </c>
      <c r="D163" s="44">
        <f t="shared" si="44"/>
        <v>0.99999901560206128</v>
      </c>
      <c r="E163" s="47">
        <f t="shared" si="48"/>
        <v>-99.520991770464931</v>
      </c>
      <c r="F163" s="47">
        <f t="shared" si="49"/>
        <v>104.31854473390256</v>
      </c>
      <c r="G163" s="47">
        <f t="shared" si="42"/>
        <v>4.7975529634376244</v>
      </c>
      <c r="J163" s="47">
        <f t="shared" si="50"/>
        <v>5.3963771274159809E-4</v>
      </c>
      <c r="Q163" s="8">
        <f t="shared" si="45"/>
        <v>100</v>
      </c>
      <c r="R163" s="9">
        <f t="shared" si="46"/>
        <v>3.1477795126686863E-7</v>
      </c>
      <c r="S163" s="8">
        <f t="shared" si="51"/>
        <v>1</v>
      </c>
      <c r="T163" s="9">
        <f t="shared" si="52"/>
        <v>1.9930187156245763E-6</v>
      </c>
      <c r="U163" s="9">
        <f t="shared" si="53"/>
        <v>1.9629539025719213E-6</v>
      </c>
      <c r="V163" s="9">
        <f t="shared" si="54"/>
        <v>2.6612333737993467E-2</v>
      </c>
    </row>
    <row r="164" spans="1:22">
      <c r="A164" s="8">
        <f t="shared" si="47"/>
        <v>0.76500000000000057</v>
      </c>
      <c r="B164" s="47">
        <f>B163*EXP((PL_r-0.5*Vol_a^2)*dt+Vol_a*SQRT(dt)*bs!A154)</f>
        <v>156.86006865064934</v>
      </c>
      <c r="C164" s="47">
        <f t="shared" si="43"/>
        <v>57.328969092363479</v>
      </c>
      <c r="D164" s="44">
        <f t="shared" si="44"/>
        <v>0.99999893141457674</v>
      </c>
      <c r="E164" s="47">
        <f t="shared" si="48"/>
        <v>-99.530931939903013</v>
      </c>
      <c r="F164" s="47">
        <f t="shared" si="49"/>
        <v>104.32896390433145</v>
      </c>
      <c r="G164" s="47">
        <f t="shared" si="42"/>
        <v>4.7980319644284322</v>
      </c>
      <c r="J164" s="47">
        <f t="shared" si="50"/>
        <v>-1.3205654604344374E-5</v>
      </c>
      <c r="Q164" s="8">
        <f t="shared" si="45"/>
        <v>100</v>
      </c>
      <c r="R164" s="9">
        <f t="shared" si="46"/>
        <v>3.4637708919481396E-7</v>
      </c>
      <c r="S164" s="8">
        <f t="shared" si="51"/>
        <v>-1</v>
      </c>
      <c r="T164" s="9">
        <f t="shared" si="52"/>
        <v>-6.8470995387821984E-7</v>
      </c>
      <c r="U164" s="9">
        <f t="shared" si="53"/>
        <v>-6.7431362629546026E-7</v>
      </c>
      <c r="V164" s="9">
        <f t="shared" si="54"/>
        <v>-6.2705409610468105E-3</v>
      </c>
    </row>
    <row r="165" spans="1:22">
      <c r="A165" s="8">
        <f t="shared" si="47"/>
        <v>0.77000000000000057</v>
      </c>
      <c r="B165" s="47">
        <f>B164*EXP((PL_r-0.5*Vol_a^2)*dt+Vol_a*SQRT(dt)*bs!A155)</f>
        <v>156.26286406843212</v>
      </c>
      <c r="C165" s="47">
        <f t="shared" si="43"/>
        <v>56.721810706126504</v>
      </c>
      <c r="D165" s="44">
        <f t="shared" si="44"/>
        <v>0.99999897985572617</v>
      </c>
      <c r="E165" s="47">
        <f t="shared" si="48"/>
        <v>-99.540893951639632</v>
      </c>
      <c r="F165" s="47">
        <f t="shared" si="49"/>
        <v>104.33940489193684</v>
      </c>
      <c r="G165" s="47">
        <f t="shared" si="42"/>
        <v>4.7985109402972057</v>
      </c>
      <c r="J165" s="47">
        <f t="shared" si="50"/>
        <v>7.5695527479233338E-6</v>
      </c>
      <c r="Q165" s="8">
        <f t="shared" si="45"/>
        <v>100</v>
      </c>
      <c r="R165" s="9">
        <f t="shared" si="46"/>
        <v>3.3613917486556006E-7</v>
      </c>
      <c r="S165" s="8">
        <f t="shared" si="51"/>
        <v>-1</v>
      </c>
      <c r="T165" s="9">
        <f t="shared" si="52"/>
        <v>-7.6130040460620846E-7</v>
      </c>
      <c r="U165" s="9">
        <f t="shared" si="53"/>
        <v>-7.496661917442281E-7</v>
      </c>
      <c r="V165" s="9">
        <f t="shared" si="54"/>
        <v>-3.8072441721753898E-3</v>
      </c>
    </row>
    <row r="166" spans="1:22">
      <c r="A166" s="8">
        <f t="shared" si="47"/>
        <v>0.77500000000000058</v>
      </c>
      <c r="B166" s="47">
        <f>B165*EXP((PL_r-0.5*Vol_a^2)*dt+Vol_a*SQRT(dt)*bs!A156)</f>
        <v>152.60640079379084</v>
      </c>
      <c r="C166" s="47">
        <f t="shared" si="43"/>
        <v>53.055397765733019</v>
      </c>
      <c r="D166" s="44">
        <f t="shared" si="44"/>
        <v>0.99999732058657886</v>
      </c>
      <c r="E166" s="47">
        <f t="shared" si="48"/>
        <v>-99.550594132419391</v>
      </c>
      <c r="F166" s="47">
        <f t="shared" si="49"/>
        <v>104.34958613904794</v>
      </c>
      <c r="G166" s="47">
        <f t="shared" si="42"/>
        <v>4.7989920066285521</v>
      </c>
      <c r="J166" s="47">
        <f t="shared" si="50"/>
        <v>-2.5321509251805419E-4</v>
      </c>
      <c r="Q166" s="8">
        <f t="shared" si="45"/>
        <v>100</v>
      </c>
      <c r="R166" s="9">
        <f t="shared" si="46"/>
        <v>8.7876299824873799E-7</v>
      </c>
      <c r="S166" s="8">
        <f t="shared" si="51"/>
        <v>1</v>
      </c>
      <c r="T166" s="9">
        <f t="shared" si="52"/>
        <v>3.5561839394846983E-6</v>
      </c>
      <c r="U166" s="9">
        <f t="shared" si="53"/>
        <v>3.501488076413858E-6</v>
      </c>
      <c r="V166" s="9">
        <f t="shared" si="54"/>
        <v>-2.3399438481045691E-2</v>
      </c>
    </row>
    <row r="167" spans="1:22">
      <c r="A167" s="8">
        <f t="shared" si="47"/>
        <v>0.78000000000000058</v>
      </c>
      <c r="B167" s="47">
        <f>B166*EXP((PL_r-0.5*Vol_a^2)*dt+Vol_a*SQRT(dt)*bs!A157)</f>
        <v>149.37427169333321</v>
      </c>
      <c r="C167" s="47">
        <f t="shared" si="43"/>
        <v>49.81332349393783</v>
      </c>
      <c r="D167" s="44">
        <f t="shared" si="44"/>
        <v>0.99999382590558117</v>
      </c>
      <c r="E167" s="47">
        <f t="shared" si="48"/>
        <v>-99.560025948538211</v>
      </c>
      <c r="F167" s="47">
        <f t="shared" si="49"/>
        <v>104.35949960399834</v>
      </c>
      <c r="G167" s="47">
        <f t="shared" si="42"/>
        <v>4.7994736554601332</v>
      </c>
      <c r="J167" s="47">
        <f t="shared" si="50"/>
        <v>-5.2201542883128951E-4</v>
      </c>
      <c r="Q167" s="8">
        <f t="shared" si="45"/>
        <v>100</v>
      </c>
      <c r="R167" s="9">
        <f t="shared" si="46"/>
        <v>2.0168325606239353E-6</v>
      </c>
      <c r="S167" s="8">
        <f t="shared" si="51"/>
        <v>1</v>
      </c>
      <c r="T167" s="9">
        <f t="shared" si="52"/>
        <v>5.5929789425973112E-6</v>
      </c>
      <c r="U167" s="9">
        <f t="shared" si="53"/>
        <v>5.5064054996500834E-6</v>
      </c>
      <c r="V167" s="9">
        <f t="shared" si="54"/>
        <v>-2.1179512023385152E-2</v>
      </c>
    </row>
    <row r="168" spans="1:22">
      <c r="A168" s="8">
        <f t="shared" si="47"/>
        <v>0.78500000000000059</v>
      </c>
      <c r="B168" s="47">
        <f>B167*EXP((PL_r-0.5*Vol_a^2)*dt+Vol_a*SQRT(dt)*bs!A158)</f>
        <v>144.95733985787683</v>
      </c>
      <c r="C168" s="47">
        <f t="shared" si="43"/>
        <v>45.386480183226709</v>
      </c>
      <c r="D168" s="44">
        <f t="shared" si="44"/>
        <v>0.99997899258267853</v>
      </c>
      <c r="E168" s="47">
        <f t="shared" si="48"/>
        <v>-99.567814495317904</v>
      </c>
      <c r="F168" s="47">
        <f t="shared" si="49"/>
        <v>104.36778587674442</v>
      </c>
      <c r="G168" s="47">
        <f t="shared" si="42"/>
        <v>4.7999713814265164</v>
      </c>
      <c r="J168" s="47">
        <f t="shared" si="50"/>
        <v>-2.1501990292197514E-3</v>
      </c>
      <c r="Q168" s="8">
        <f t="shared" si="45"/>
        <v>100</v>
      </c>
      <c r="R168" s="9">
        <f t="shared" si="46"/>
        <v>6.7433317863156962E-6</v>
      </c>
      <c r="S168" s="8">
        <f t="shared" si="51"/>
        <v>1</v>
      </c>
      <c r="T168" s="9">
        <f t="shared" si="52"/>
        <v>4.7776697008494078E-5</v>
      </c>
      <c r="U168" s="9">
        <f t="shared" si="53"/>
        <v>4.7032460409936528E-5</v>
      </c>
      <c r="V168" s="9">
        <f t="shared" si="54"/>
        <v>-2.9569562317427623E-2</v>
      </c>
    </row>
    <row r="169" spans="1:22">
      <c r="A169" s="8">
        <f t="shared" si="47"/>
        <v>0.79000000000000059</v>
      </c>
      <c r="B169" s="47">
        <f>B168*EXP((PL_r-0.5*Vol_a^2)*dt+Vol_a*SQRT(dt)*bs!A159)</f>
        <v>142.33788829351789</v>
      </c>
      <c r="C169" s="47">
        <f t="shared" si="43"/>
        <v>42.757129206955554</v>
      </c>
      <c r="D169" s="44">
        <f t="shared" si="44"/>
        <v>0.99995984292915063</v>
      </c>
      <c r="E169" s="47">
        <f t="shared" si="48"/>
        <v>-99.575043213897587</v>
      </c>
      <c r="F169" s="47">
        <f t="shared" si="49"/>
        <v>104.3754974559437</v>
      </c>
      <c r="G169" s="47">
        <f t="shared" si="42"/>
        <v>4.8004542420461149</v>
      </c>
      <c r="J169" s="47">
        <f t="shared" si="50"/>
        <v>-2.7257212447130254E-3</v>
      </c>
      <c r="Q169" s="8">
        <f t="shared" si="45"/>
        <v>100</v>
      </c>
      <c r="R169" s="9">
        <f t="shared" si="46"/>
        <v>1.2836396622348315E-5</v>
      </c>
      <c r="S169" s="8">
        <f t="shared" si="51"/>
        <v>1</v>
      </c>
      <c r="T169" s="9">
        <f t="shared" si="52"/>
        <v>1.6454782792409593E-5</v>
      </c>
      <c r="U169" s="9">
        <f t="shared" si="53"/>
        <v>1.6196840335737809E-5</v>
      </c>
      <c r="V169" s="9">
        <f t="shared" si="54"/>
        <v>-1.8070499685819127E-2</v>
      </c>
    </row>
    <row r="170" spans="1:22">
      <c r="A170" s="8">
        <f t="shared" si="47"/>
        <v>0.7950000000000006</v>
      </c>
      <c r="B170" s="47">
        <f>B169*EXP((PL_r-0.5*Vol_a^2)*dt+Vol_a*SQRT(dt)*bs!A160)</f>
        <v>147.14023384958321</v>
      </c>
      <c r="C170" s="47">
        <f t="shared" si="43"/>
        <v>47.549413344521795</v>
      </c>
      <c r="D170" s="44">
        <f t="shared" si="44"/>
        <v>0.99999335959937119</v>
      </c>
      <c r="E170" s="47">
        <f t="shared" si="48"/>
        <v>-99.589843434960031</v>
      </c>
      <c r="F170" s="47">
        <f t="shared" si="49"/>
        <v>104.3908671782783</v>
      </c>
      <c r="G170" s="47">
        <f t="shared" si="42"/>
        <v>4.8010237433182681</v>
      </c>
      <c r="J170" s="47">
        <f t="shared" si="50"/>
        <v>4.931650694112109E-3</v>
      </c>
      <c r="Q170" s="8">
        <f t="shared" si="45"/>
        <v>100</v>
      </c>
      <c r="R170" s="9">
        <f t="shared" si="46"/>
        <v>2.2736622192364605E-6</v>
      </c>
      <c r="S170" s="8">
        <f t="shared" si="51"/>
        <v>1</v>
      </c>
      <c r="T170" s="9">
        <f t="shared" si="52"/>
        <v>2.3094657070233943E-5</v>
      </c>
      <c r="U170" s="9">
        <f t="shared" si="53"/>
        <v>2.2730355892066388E-5</v>
      </c>
      <c r="V170" s="9">
        <f t="shared" si="54"/>
        <v>3.3739052993130708E-2</v>
      </c>
    </row>
    <row r="171" spans="1:22">
      <c r="A171" s="8">
        <f t="shared" si="47"/>
        <v>0.8000000000000006</v>
      </c>
      <c r="B171" s="47">
        <f>B170*EXP((PL_r-0.5*Vol_a^2)*dt+Vol_a*SQRT(dt)*bs!A161)</f>
        <v>151.23857853085323</v>
      </c>
      <c r="C171" s="47">
        <f t="shared" si="43"/>
        <v>51.637782850089508</v>
      </c>
      <c r="D171" s="44">
        <f t="shared" si="44"/>
        <v>0.99999878775961548</v>
      </c>
      <c r="E171" s="47">
        <f t="shared" si="48"/>
        <v>-99.600612343251129</v>
      </c>
      <c r="F171" s="47">
        <f t="shared" si="49"/>
        <v>104.40212773420726</v>
      </c>
      <c r="G171" s="47">
        <f t="shared" si="42"/>
        <v>4.8015153909561263</v>
      </c>
      <c r="J171" s="47">
        <f t="shared" si="50"/>
        <v>8.2094723938438453E-4</v>
      </c>
      <c r="Q171" s="8">
        <f t="shared" si="45"/>
        <v>100</v>
      </c>
      <c r="R171" s="9">
        <f t="shared" ref="R171:R202" si="55">CallGamma(B171,$E$6,0,PL_r, PL_K, PL_T-A171)</f>
        <v>4.3957429036110884E-7</v>
      </c>
      <c r="S171" s="8">
        <f t="shared" si="51"/>
        <v>1</v>
      </c>
      <c r="T171" s="9">
        <f t="shared" si="52"/>
        <v>2.8947090528425769E-6</v>
      </c>
      <c r="U171" s="9">
        <f t="shared" si="53"/>
        <v>2.848762262513738E-6</v>
      </c>
      <c r="V171" s="9">
        <f t="shared" si="54"/>
        <v>2.7853324505788323E-2</v>
      </c>
    </row>
    <row r="172" spans="1:22">
      <c r="A172" s="8">
        <f t="shared" ref="A172:A203" si="56">A171+dt</f>
        <v>0.8050000000000006</v>
      </c>
      <c r="B172" s="47">
        <f>B171*EXP((PL_r-0.5*Vol_a^2)*dt+Vol_a*SQRT(dt)*bs!A162)</f>
        <v>145.25085441360011</v>
      </c>
      <c r="C172" s="47">
        <f t="shared" si="43"/>
        <v>45.640116892891527</v>
      </c>
      <c r="D172" s="44">
        <f t="shared" si="44"/>
        <v>0.99999201468522236</v>
      </c>
      <c r="E172" s="47">
        <f t="shared" si="48"/>
        <v>-99.60957764691436</v>
      </c>
      <c r="F172" s="47">
        <f t="shared" si="49"/>
        <v>104.41158467416611</v>
      </c>
      <c r="G172" s="47">
        <f t="shared" si="42"/>
        <v>4.8020070272517472</v>
      </c>
      <c r="J172" s="47">
        <f t="shared" si="50"/>
        <v>-9.8379484260730193E-4</v>
      </c>
      <c r="Q172" s="8">
        <f t="shared" si="45"/>
        <v>100</v>
      </c>
      <c r="R172" s="9">
        <f t="shared" si="55"/>
        <v>2.8157659824082947E-6</v>
      </c>
      <c r="S172" s="8">
        <f t="shared" ref="S172:S203" si="57">IF(V172^2 &lt; ($E$6^2*dt), -1, 1)</f>
        <v>1</v>
      </c>
      <c r="T172" s="9">
        <f t="shared" ref="T172:T203" si="58">0.5*R172*(B172^2)*(V172^2-$E$6^2*dt)</f>
        <v>4.0618210899866794E-5</v>
      </c>
      <c r="U172" s="9">
        <f t="shared" ref="U172:U203" si="59">T172*EXP(-PL_r*A172)</f>
        <v>3.9969493889083239E-5</v>
      </c>
      <c r="V172" s="9">
        <f t="shared" si="54"/>
        <v>-3.9591248313879154E-2</v>
      </c>
    </row>
    <row r="173" spans="1:22">
      <c r="A173" s="8">
        <f t="shared" si="56"/>
        <v>0.81000000000000061</v>
      </c>
      <c r="B173" s="47">
        <f>B172*EXP((PL_r-0.5*Vol_a^2)*dt+Vol_a*SQRT(dt)*bs!A163)</f>
        <v>143.27422725866916</v>
      </c>
      <c r="C173" s="47">
        <f t="shared" si="43"/>
        <v>43.653540854960625</v>
      </c>
      <c r="D173" s="44">
        <f t="shared" si="44"/>
        <v>0.99998733380850502</v>
      </c>
      <c r="E173" s="47">
        <f t="shared" si="48"/>
        <v>-99.61887166490979</v>
      </c>
      <c r="F173" s="47">
        <f t="shared" si="49"/>
        <v>104.42135570571428</v>
      </c>
      <c r="G173" s="47">
        <f t="shared" si="42"/>
        <v>4.8024840408044867</v>
      </c>
      <c r="J173" s="47">
        <f t="shared" si="50"/>
        <v>-6.7064899457063172E-4</v>
      </c>
      <c r="Q173" s="8">
        <f t="shared" si="45"/>
        <v>100</v>
      </c>
      <c r="R173" s="9">
        <f t="shared" si="55"/>
        <v>4.4875446725747128E-6</v>
      </c>
      <c r="S173" s="8">
        <f t="shared" si="57"/>
        <v>-1</v>
      </c>
      <c r="T173" s="9">
        <f t="shared" si="58"/>
        <v>-6.8224069251259376E-7</v>
      </c>
      <c r="U173" s="9">
        <f t="shared" si="59"/>
        <v>-6.7127743544154856E-7</v>
      </c>
      <c r="V173" s="9">
        <f t="shared" si="54"/>
        <v>-1.3608368521554644E-2</v>
      </c>
    </row>
    <row r="174" spans="1:22">
      <c r="A174" s="8">
        <f t="shared" si="56"/>
        <v>0.81500000000000061</v>
      </c>
      <c r="B174" s="47">
        <f>B173*EXP((PL_r-0.5*Vol_a^2)*dt+Vol_a*SQRT(dt)*bs!A164)</f>
        <v>143.29220844588508</v>
      </c>
      <c r="C174" s="47">
        <f t="shared" si="43"/>
        <v>43.661551188946092</v>
      </c>
      <c r="D174" s="44">
        <f t="shared" si="44"/>
        <v>0.9999901153777484</v>
      </c>
      <c r="E174" s="47">
        <f t="shared" si="48"/>
        <v>-99.629240867586915</v>
      </c>
      <c r="F174" s="47">
        <f t="shared" si="49"/>
        <v>104.43219694060886</v>
      </c>
      <c r="G174" s="47">
        <f t="shared" si="42"/>
        <v>4.8029560730219458</v>
      </c>
      <c r="J174" s="47">
        <f t="shared" si="50"/>
        <v>3.985771998293434E-4</v>
      </c>
      <c r="Q174" s="8">
        <f t="shared" si="45"/>
        <v>100</v>
      </c>
      <c r="R174" s="9">
        <f t="shared" si="55"/>
        <v>3.5911514223504715E-6</v>
      </c>
      <c r="S174" s="8">
        <f t="shared" si="57"/>
        <v>-1</v>
      </c>
      <c r="T174" s="9">
        <f t="shared" si="58"/>
        <v>-7.3730073426613516E-6</v>
      </c>
      <c r="U174" s="9">
        <f t="shared" si="59"/>
        <v>-7.2538014899805496E-6</v>
      </c>
      <c r="V174" s="9">
        <f t="shared" si="54"/>
        <v>1.2550189632822088E-4</v>
      </c>
    </row>
    <row r="175" spans="1:22">
      <c r="A175" s="8">
        <f t="shared" si="56"/>
        <v>0.82000000000000062</v>
      </c>
      <c r="B175" s="47">
        <f>B174*EXP((PL_r-0.5*Vol_a^2)*dt+Vol_a*SQRT(dt)*bs!A165)</f>
        <v>142.20921028529705</v>
      </c>
      <c r="C175" s="47">
        <f t="shared" si="43"/>
        <v>42.568593190826292</v>
      </c>
      <c r="D175" s="44">
        <f t="shared" si="44"/>
        <v>0.99998855137530407</v>
      </c>
      <c r="E175" s="47">
        <f t="shared" si="48"/>
        <v>-99.638988994593902</v>
      </c>
      <c r="F175" s="47">
        <f t="shared" si="49"/>
        <v>104.44241826692883</v>
      </c>
      <c r="G175" s="47">
        <f t="shared" si="42"/>
        <v>4.8034292723349239</v>
      </c>
      <c r="J175" s="47">
        <f t="shared" si="50"/>
        <v>-2.2241555249272356E-4</v>
      </c>
      <c r="Q175" s="8">
        <f t="shared" si="45"/>
        <v>100</v>
      </c>
      <c r="R175" s="9">
        <f t="shared" si="55"/>
        <v>4.2191076821010592E-6</v>
      </c>
      <c r="S175" s="8">
        <f t="shared" si="57"/>
        <v>-1</v>
      </c>
      <c r="T175" s="9">
        <f t="shared" si="58"/>
        <v>-6.0954907275900815E-6</v>
      </c>
      <c r="U175" s="9">
        <f t="shared" si="59"/>
        <v>-5.9963399384185371E-6</v>
      </c>
      <c r="V175" s="9">
        <f t="shared" si="54"/>
        <v>-7.5579696365488868E-3</v>
      </c>
    </row>
    <row r="176" spans="1:22">
      <c r="A176" s="8">
        <f t="shared" si="56"/>
        <v>0.82500000000000062</v>
      </c>
      <c r="B176" s="47">
        <f>B175*EXP((PL_r-0.5*Vol_a^2)*dt+Vol_a*SQRT(dt)*bs!A166)</f>
        <v>146.94884348314875</v>
      </c>
      <c r="C176" s="47">
        <f t="shared" si="43"/>
        <v>47.298235144058467</v>
      </c>
      <c r="D176" s="44">
        <f t="shared" si="44"/>
        <v>0.99999859361762999</v>
      </c>
      <c r="E176" s="47">
        <f t="shared" si="48"/>
        <v>-99.650401672827527</v>
      </c>
      <c r="F176" s="47">
        <f t="shared" si="49"/>
        <v>104.45433872688081</v>
      </c>
      <c r="G176" s="47">
        <f t="shared" ref="G176:G211" si="60">F176+E176</f>
        <v>4.8039370540532786</v>
      </c>
      <c r="J176" s="47">
        <f t="shared" si="50"/>
        <v>1.4756958957722027E-3</v>
      </c>
      <c r="Q176" s="8">
        <f t="shared" si="45"/>
        <v>100</v>
      </c>
      <c r="R176" s="9">
        <f t="shared" si="55"/>
        <v>5.5777852487648428E-7</v>
      </c>
      <c r="S176" s="8">
        <f t="shared" si="57"/>
        <v>1</v>
      </c>
      <c r="T176" s="9">
        <f t="shared" si="58"/>
        <v>5.4851044018633049E-6</v>
      </c>
      <c r="U176" s="9">
        <f t="shared" si="59"/>
        <v>5.3953427493242592E-6</v>
      </c>
      <c r="V176" s="9">
        <f t="shared" si="54"/>
        <v>3.3328595161615432E-2</v>
      </c>
    </row>
    <row r="177" spans="1:22">
      <c r="A177" s="8">
        <f t="shared" si="56"/>
        <v>0.83000000000000063</v>
      </c>
      <c r="B177" s="47">
        <f>B176*EXP((PL_r-0.5*Vol_a^2)*dt+Vol_a*SQRT(dt)*bs!A167)</f>
        <v>153.71652125472266</v>
      </c>
      <c r="C177" s="47">
        <f t="shared" si="43"/>
        <v>54.055944042886125</v>
      </c>
      <c r="D177" s="44">
        <f t="shared" si="44"/>
        <v>0.99999994077462429</v>
      </c>
      <c r="E177" s="47">
        <f t="shared" si="48"/>
        <v>-99.660568107917811</v>
      </c>
      <c r="F177" s="47">
        <f t="shared" si="49"/>
        <v>104.46499176332934</v>
      </c>
      <c r="G177" s="47">
        <f t="shared" si="60"/>
        <v>4.8044236554115258</v>
      </c>
      <c r="J177" s="47">
        <f t="shared" si="50"/>
        <v>2.0708028674643183E-4</v>
      </c>
      <c r="Q177" s="8">
        <f t="shared" si="45"/>
        <v>100</v>
      </c>
      <c r="R177" s="9">
        <f t="shared" si="55"/>
        <v>2.5521019341734099E-8</v>
      </c>
      <c r="S177" s="8">
        <f t="shared" si="57"/>
        <v>1</v>
      </c>
      <c r="T177" s="9">
        <f t="shared" si="58"/>
        <v>5.7921989634481776E-7</v>
      </c>
      <c r="U177" s="9">
        <f t="shared" si="59"/>
        <v>5.6968421122212246E-7</v>
      </c>
      <c r="V177" s="9">
        <f t="shared" si="54"/>
        <v>4.6054651477063127E-2</v>
      </c>
    </row>
    <row r="178" spans="1:22">
      <c r="A178" s="8">
        <f t="shared" si="56"/>
        <v>0.83500000000000063</v>
      </c>
      <c r="B178" s="47">
        <f>B177*EXP((PL_r-0.5*Vol_a^2)*dt+Vol_a*SQRT(dt)*bs!A168)</f>
        <v>160.19479267184627</v>
      </c>
      <c r="C178" s="47">
        <f t="shared" si="43"/>
        <v>60.524248774577657</v>
      </c>
      <c r="D178" s="44">
        <f t="shared" si="44"/>
        <v>0.99999999796123507</v>
      </c>
      <c r="E178" s="47">
        <f t="shared" si="48"/>
        <v>-99.670543570669096</v>
      </c>
      <c r="F178" s="47">
        <f t="shared" si="49"/>
        <v>104.47544794584529</v>
      </c>
      <c r="G178" s="47">
        <f t="shared" si="60"/>
        <v>4.8049043751761928</v>
      </c>
      <c r="J178" s="47">
        <f t="shared" si="50"/>
        <v>9.1609972575293809E-6</v>
      </c>
      <c r="Q178" s="8">
        <f t="shared" si="45"/>
        <v>100</v>
      </c>
      <c r="R178" s="9">
        <f t="shared" si="55"/>
        <v>9.4355062366972701E-10</v>
      </c>
      <c r="S178" s="8">
        <f t="shared" si="57"/>
        <v>1</v>
      </c>
      <c r="T178" s="9">
        <f t="shared" si="58"/>
        <v>1.9082126844348259E-8</v>
      </c>
      <c r="U178" s="9">
        <f t="shared" si="59"/>
        <v>1.8766101482477884E-8</v>
      </c>
      <c r="V178" s="9">
        <f t="shared" si="54"/>
        <v>4.2144275476989922E-2</v>
      </c>
    </row>
    <row r="179" spans="1:22">
      <c r="A179" s="8">
        <f t="shared" si="56"/>
        <v>0.84000000000000064</v>
      </c>
      <c r="B179" s="47">
        <f>B178*EXP((PL_r-0.5*Vol_a^2)*dt+Vol_a*SQRT(dt)*bs!A169)</f>
        <v>158.70952833779418</v>
      </c>
      <c r="C179" s="47">
        <f t="shared" si="43"/>
        <v>59.029016888442385</v>
      </c>
      <c r="D179" s="44">
        <f t="shared" si="44"/>
        <v>0.99999999759017189</v>
      </c>
      <c r="E179" s="47">
        <f t="shared" si="48"/>
        <v>-99.680511066889125</v>
      </c>
      <c r="F179" s="47">
        <f t="shared" si="49"/>
        <v>104.48589595414327</v>
      </c>
      <c r="G179" s="47">
        <f t="shared" si="60"/>
        <v>4.8053848872541494</v>
      </c>
      <c r="J179" s="47">
        <f t="shared" si="50"/>
        <v>-5.8891262310257678E-8</v>
      </c>
      <c r="Q179" s="8">
        <f t="shared" si="45"/>
        <v>100</v>
      </c>
      <c r="R179" s="9">
        <f t="shared" si="55"/>
        <v>1.1381279904620805E-9</v>
      </c>
      <c r="S179" s="8">
        <f t="shared" si="57"/>
        <v>-1</v>
      </c>
      <c r="T179" s="9">
        <f t="shared" si="58"/>
        <v>-1.6346076742753812E-9</v>
      </c>
      <c r="U179" s="9">
        <f t="shared" si="59"/>
        <v>-1.6073756548051893E-9</v>
      </c>
      <c r="V179" s="9">
        <f t="shared" si="54"/>
        <v>-9.2716143220373248E-3</v>
      </c>
    </row>
    <row r="180" spans="1:22">
      <c r="A180" s="8">
        <f t="shared" si="56"/>
        <v>0.84500000000000064</v>
      </c>
      <c r="B180" s="47">
        <f>B179*EXP((PL_r-0.5*Vol_a^2)*dt+Vol_a*SQRT(dt)*bs!A170)</f>
        <v>170.30998392577271</v>
      </c>
      <c r="C180" s="47">
        <f t="shared" si="43"/>
        <v>70.619503921912184</v>
      </c>
      <c r="D180" s="44">
        <f t="shared" si="44"/>
        <v>0.99999999999604061</v>
      </c>
      <c r="E180" s="47">
        <f t="shared" si="48"/>
        <v>-99.690480003186195</v>
      </c>
      <c r="F180" s="47">
        <f t="shared" si="49"/>
        <v>104.49634547592905</v>
      </c>
      <c r="G180" s="47">
        <f t="shared" si="60"/>
        <v>4.8058654727428518</v>
      </c>
      <c r="J180" s="47">
        <f t="shared" si="50"/>
        <v>4.0974346413139131E-7</v>
      </c>
      <c r="Q180" s="8">
        <f t="shared" si="45"/>
        <v>100</v>
      </c>
      <c r="R180" s="9">
        <f t="shared" si="55"/>
        <v>2.0490326354418859E-12</v>
      </c>
      <c r="S180" s="8">
        <f t="shared" si="57"/>
        <v>1</v>
      </c>
      <c r="T180" s="9">
        <f t="shared" si="58"/>
        <v>1.5281744618492285E-10</v>
      </c>
      <c r="U180" s="9">
        <f t="shared" si="59"/>
        <v>1.5025653202068652E-10</v>
      </c>
      <c r="V180" s="9">
        <f t="shared" si="54"/>
        <v>7.3092370127194592E-2</v>
      </c>
    </row>
    <row r="181" spans="1:22">
      <c r="A181" s="8">
        <f t="shared" si="56"/>
        <v>0.85000000000000064</v>
      </c>
      <c r="B181" s="47">
        <f>B180*EXP((PL_r-0.5*Vol_a^2)*dt+Vol_a*SQRT(dt)*bs!A171)</f>
        <v>171.63558117000755</v>
      </c>
      <c r="C181" s="47">
        <f t="shared" si="43"/>
        <v>71.93513161967185</v>
      </c>
      <c r="D181" s="44">
        <f t="shared" si="44"/>
        <v>0.99999999999910882</v>
      </c>
      <c r="E181" s="47">
        <f t="shared" si="48"/>
        <v>-99.700449550182739</v>
      </c>
      <c r="F181" s="47">
        <f t="shared" si="49"/>
        <v>104.50679563350241</v>
      </c>
      <c r="G181" s="47">
        <f t="shared" si="60"/>
        <v>4.8063460833196672</v>
      </c>
      <c r="J181" s="47">
        <f t="shared" si="50"/>
        <v>5.2661440999183563E-10</v>
      </c>
      <c r="Q181" s="8">
        <f t="shared" si="45"/>
        <v>100</v>
      </c>
      <c r="R181" s="9">
        <f t="shared" si="55"/>
        <v>4.7864340910425962E-13</v>
      </c>
      <c r="S181" s="8">
        <f t="shared" si="57"/>
        <v>-1</v>
      </c>
      <c r="T181" s="9">
        <f t="shared" si="58"/>
        <v>-9.8291477319825041E-13</v>
      </c>
      <c r="U181" s="9">
        <f t="shared" si="59"/>
        <v>-9.6634645180421439E-13</v>
      </c>
      <c r="V181" s="9">
        <f t="shared" si="54"/>
        <v>7.7834382558135042E-3</v>
      </c>
    </row>
    <row r="182" spans="1:22">
      <c r="A182" s="8">
        <f t="shared" si="56"/>
        <v>0.85500000000000065</v>
      </c>
      <c r="B182" s="47">
        <f>B181*EXP((PL_r-0.5*Vol_a^2)*dt+Vol_a*SQRT(dt)*bs!A172)</f>
        <v>170.00346032271284</v>
      </c>
      <c r="C182" s="47">
        <f t="shared" si="43"/>
        <v>70.29304022890328</v>
      </c>
      <c r="D182" s="44">
        <f t="shared" si="44"/>
        <v>0.9999999999990592</v>
      </c>
      <c r="E182" s="47">
        <f t="shared" si="48"/>
        <v>-99.710420093649631</v>
      </c>
      <c r="F182" s="47">
        <f t="shared" si="49"/>
        <v>104.51724683560872</v>
      </c>
      <c r="G182" s="47">
        <f t="shared" si="60"/>
        <v>4.8068267419590853</v>
      </c>
      <c r="J182" s="47">
        <f t="shared" si="50"/>
        <v>-8.4367564894552588E-12</v>
      </c>
      <c r="Q182" s="8">
        <f t="shared" si="45"/>
        <v>100</v>
      </c>
      <c r="R182" s="9">
        <f t="shared" si="55"/>
        <v>5.1832191399319838E-13</v>
      </c>
      <c r="S182" s="8">
        <f t="shared" si="57"/>
        <v>-1</v>
      </c>
      <c r="T182" s="9">
        <f t="shared" si="58"/>
        <v>-8.2072067599377061E-13</v>
      </c>
      <c r="U182" s="9">
        <f t="shared" si="59"/>
        <v>-8.0680566485192146E-13</v>
      </c>
      <c r="V182" s="9">
        <f t="shared" si="54"/>
        <v>-9.5092220166054925E-3</v>
      </c>
    </row>
    <row r="183" spans="1:22">
      <c r="A183" s="8">
        <f t="shared" si="56"/>
        <v>0.86000000000000065</v>
      </c>
      <c r="B183" s="47">
        <f>B182*EXP((PL_r-0.5*Vol_a^2)*dt+Vol_a*SQRT(dt)*bs!A173)</f>
        <v>171.16730147043489</v>
      </c>
      <c r="C183" s="47">
        <f t="shared" si="43"/>
        <v>71.446909836045933</v>
      </c>
      <c r="D183" s="44">
        <f t="shared" si="44"/>
        <v>0.99999999999980083</v>
      </c>
      <c r="E183" s="47">
        <f t="shared" si="48"/>
        <v>-99.720391634354854</v>
      </c>
      <c r="F183" s="47">
        <f t="shared" si="49"/>
        <v>104.52769908302288</v>
      </c>
      <c r="G183" s="47">
        <f t="shared" si="60"/>
        <v>4.807307448668027</v>
      </c>
      <c r="J183" s="47">
        <f t="shared" si="50"/>
        <v>1.2694263127582873E-10</v>
      </c>
      <c r="Q183" s="8">
        <f t="shared" si="45"/>
        <v>100</v>
      </c>
      <c r="R183" s="9">
        <f t="shared" si="55"/>
        <v>1.1408875892971214E-13</v>
      </c>
      <c r="S183" s="8">
        <f t="shared" si="57"/>
        <v>-1</v>
      </c>
      <c r="T183" s="9">
        <f t="shared" si="58"/>
        <v>-2.5593036063728454E-13</v>
      </c>
      <c r="U183" s="9">
        <f t="shared" si="59"/>
        <v>-2.5156599953531864E-13</v>
      </c>
      <c r="V183" s="9">
        <f t="shared" si="54"/>
        <v>6.8459850494382033E-3</v>
      </c>
    </row>
    <row r="184" spans="1:22">
      <c r="A184" s="8">
        <f t="shared" si="56"/>
        <v>0.86500000000000066</v>
      </c>
      <c r="B184" s="47">
        <f>B183*EXP((PL_r-0.5*Vol_a^2)*dt+Vol_a*SQRT(dt)*bs!A174)</f>
        <v>169.47460049591555</v>
      </c>
      <c r="C184" s="47">
        <f t="shared" si="43"/>
        <v>69.744236323744559</v>
      </c>
      <c r="D184" s="44">
        <f t="shared" si="44"/>
        <v>0.99999999999979361</v>
      </c>
      <c r="E184" s="47">
        <f t="shared" si="48"/>
        <v>-99.730364172136007</v>
      </c>
      <c r="F184" s="47">
        <f t="shared" si="49"/>
        <v>104.53815237558588</v>
      </c>
      <c r="G184" s="47">
        <f t="shared" si="60"/>
        <v>4.8077882034498742</v>
      </c>
      <c r="J184" s="47">
        <f t="shared" si="50"/>
        <v>-1.2230049231381503E-12</v>
      </c>
      <c r="Q184" s="8">
        <f t="shared" si="45"/>
        <v>100</v>
      </c>
      <c r="R184" s="9">
        <f t="shared" si="55"/>
        <v>1.2149832821692558E-13</v>
      </c>
      <c r="S184" s="8">
        <f t="shared" si="57"/>
        <v>-1</v>
      </c>
      <c r="T184" s="9">
        <f t="shared" si="58"/>
        <v>-1.7832800590137045E-13</v>
      </c>
      <c r="U184" s="9">
        <f t="shared" si="59"/>
        <v>-1.752694640683341E-13</v>
      </c>
      <c r="V184" s="9">
        <f t="shared" si="54"/>
        <v>-9.8891608384193298E-3</v>
      </c>
    </row>
    <row r="185" spans="1:22">
      <c r="A185" s="8">
        <f t="shared" si="56"/>
        <v>0.87000000000000066</v>
      </c>
      <c r="B185" s="47">
        <f>B184*EXP((PL_r-0.5*Vol_a^2)*dt+Vol_a*SQRT(dt)*bs!A175)</f>
        <v>168.11565651384552</v>
      </c>
      <c r="C185" s="47">
        <f t="shared" si="43"/>
        <v>68.375318806588837</v>
      </c>
      <c r="D185" s="44">
        <f t="shared" si="44"/>
        <v>0.99999999999982681</v>
      </c>
      <c r="E185" s="47">
        <f t="shared" si="48"/>
        <v>-99.740337707227582</v>
      </c>
      <c r="F185" s="47">
        <f t="shared" si="49"/>
        <v>104.54860671353721</v>
      </c>
      <c r="G185" s="47">
        <f t="shared" si="60"/>
        <v>4.8082690063096294</v>
      </c>
      <c r="J185" s="47">
        <f t="shared" si="50"/>
        <v>5.5807115925831994E-12</v>
      </c>
      <c r="Q185" s="8">
        <f t="shared" si="45"/>
        <v>100</v>
      </c>
      <c r="R185" s="9">
        <f t="shared" si="55"/>
        <v>1.0504905321353248E-13</v>
      </c>
      <c r="S185" s="8">
        <f t="shared" si="57"/>
        <v>-1</v>
      </c>
      <c r="T185" s="9">
        <f t="shared" si="58"/>
        <v>-2.0144960459202495E-13</v>
      </c>
      <c r="U185" s="9">
        <f t="shared" si="59"/>
        <v>-1.9797470080643842E-13</v>
      </c>
      <c r="V185" s="9">
        <f t="shared" si="54"/>
        <v>-8.018570205172321E-3</v>
      </c>
    </row>
    <row r="186" spans="1:22">
      <c r="A186" s="8">
        <f t="shared" si="56"/>
        <v>0.87500000000000067</v>
      </c>
      <c r="B186" s="47">
        <f>B185*EXP((PL_r-0.5*Vol_a^2)*dt+Vol_a*SQRT(dt)*bs!A176)</f>
        <v>163.78255783117424</v>
      </c>
      <c r="C186" s="47">
        <f t="shared" si="43"/>
        <v>64.032245591429671</v>
      </c>
      <c r="D186" s="44">
        <f t="shared" si="44"/>
        <v>0.99999999999908651</v>
      </c>
      <c r="E186" s="47">
        <f t="shared" si="48"/>
        <v>-99.750312239594962</v>
      </c>
      <c r="F186" s="47">
        <f t="shared" si="49"/>
        <v>104.55906209684778</v>
      </c>
      <c r="G186" s="47">
        <f t="shared" si="60"/>
        <v>4.8087498572528204</v>
      </c>
      <c r="J186" s="47">
        <f t="shared" si="50"/>
        <v>-1.2124768917967875E-10</v>
      </c>
      <c r="Q186" s="8">
        <f t="shared" si="45"/>
        <v>100</v>
      </c>
      <c r="R186" s="9">
        <f t="shared" si="55"/>
        <v>5.6297853220512497E-13</v>
      </c>
      <c r="S186" s="8">
        <f t="shared" si="57"/>
        <v>1</v>
      </c>
      <c r="T186" s="9">
        <f t="shared" si="58"/>
        <v>3.5060616671448213E-12</v>
      </c>
      <c r="U186" s="9">
        <f t="shared" si="59"/>
        <v>3.4452393355994722E-12</v>
      </c>
      <c r="V186" s="9">
        <f t="shared" si="54"/>
        <v>-2.5774510075534909E-2</v>
      </c>
    </row>
    <row r="187" spans="1:22">
      <c r="A187" s="8">
        <f t="shared" si="56"/>
        <v>0.88000000000000067</v>
      </c>
      <c r="B187" s="47">
        <f>B186*EXP((PL_r-0.5*Vol_a^2)*dt+Vol_a*SQRT(dt)*bs!A177)</f>
        <v>162.87070134464082</v>
      </c>
      <c r="C187" s="47">
        <f t="shared" si="43"/>
        <v>63.110413574903518</v>
      </c>
      <c r="D187" s="44">
        <f t="shared" si="44"/>
        <v>0.99999999999941525</v>
      </c>
      <c r="E187" s="47">
        <f t="shared" si="48"/>
        <v>-99.760287769642062</v>
      </c>
      <c r="F187" s="47">
        <f t="shared" si="49"/>
        <v>104.56951852592375</v>
      </c>
      <c r="G187" s="47">
        <f t="shared" si="60"/>
        <v>4.8092307562816927</v>
      </c>
      <c r="J187" s="47">
        <f t="shared" si="50"/>
        <v>5.3541631870488598E-11</v>
      </c>
      <c r="Q187" s="8">
        <f t="shared" si="45"/>
        <v>100</v>
      </c>
      <c r="R187" s="9">
        <f t="shared" si="55"/>
        <v>3.7289738140747825E-13</v>
      </c>
      <c r="S187" s="8">
        <f t="shared" si="57"/>
        <v>-1</v>
      </c>
      <c r="T187" s="9">
        <f t="shared" si="58"/>
        <v>-8.3587252013507021E-13</v>
      </c>
      <c r="U187" s="9">
        <f t="shared" si="59"/>
        <v>-8.212898675483846E-13</v>
      </c>
      <c r="V187" s="9">
        <f t="shared" si="54"/>
        <v>-5.5674822680041296E-3</v>
      </c>
    </row>
    <row r="188" spans="1:22">
      <c r="A188" s="8">
        <f t="shared" si="56"/>
        <v>0.88500000000000068</v>
      </c>
      <c r="B188" s="47">
        <f>B187*EXP((PL_r-0.5*Vol_a^2)*dt+Vol_a*SQRT(dt)*bs!A178)</f>
        <v>164.26351787301428</v>
      </c>
      <c r="C188" s="47">
        <f t="shared" si="43"/>
        <v>64.493253575681166</v>
      </c>
      <c r="D188" s="44">
        <f t="shared" si="44"/>
        <v>0.99999999999992339</v>
      </c>
      <c r="E188" s="47">
        <f t="shared" si="48"/>
        <v>-99.770264297320523</v>
      </c>
      <c r="F188" s="47">
        <f t="shared" si="49"/>
        <v>104.57997600072484</v>
      </c>
      <c r="G188" s="47">
        <f t="shared" si="60"/>
        <v>4.809711703404318</v>
      </c>
      <c r="J188" s="47">
        <f t="shared" si="50"/>
        <v>8.3470355217139682E-11</v>
      </c>
      <c r="Q188" s="8">
        <f t="shared" si="45"/>
        <v>100</v>
      </c>
      <c r="R188" s="9">
        <f t="shared" si="55"/>
        <v>5.1274607309976938E-14</v>
      </c>
      <c r="S188" s="8">
        <f t="shared" si="57"/>
        <v>-1</v>
      </c>
      <c r="T188" s="9">
        <f t="shared" si="58"/>
        <v>-8.7762681596865982E-14</v>
      </c>
      <c r="U188" s="9">
        <f t="shared" si="59"/>
        <v>-8.6222948964755427E-14</v>
      </c>
      <c r="V188" s="9">
        <f t="shared" si="54"/>
        <v>8.5516702321199196E-3</v>
      </c>
    </row>
    <row r="189" spans="1:22">
      <c r="A189" s="8">
        <f t="shared" si="56"/>
        <v>0.89000000000000068</v>
      </c>
      <c r="B189" s="47">
        <f>B188*EXP((PL_r-0.5*Vol_a^2)*dt+Vol_a*SQRT(dt)*bs!A179)</f>
        <v>161.0187521631544</v>
      </c>
      <c r="C189" s="47">
        <f t="shared" si="43"/>
        <v>61.238510340523788</v>
      </c>
      <c r="D189" s="44">
        <f t="shared" si="44"/>
        <v>0.99999999999978628</v>
      </c>
      <c r="E189" s="47">
        <f t="shared" si="48"/>
        <v>-99.780241822596196</v>
      </c>
      <c r="F189" s="47">
        <f t="shared" si="49"/>
        <v>104.59043452122015</v>
      </c>
      <c r="G189" s="47">
        <f t="shared" si="60"/>
        <v>4.8101926986239505</v>
      </c>
      <c r="J189" s="47">
        <f t="shared" si="50"/>
        <v>-2.20776906669213E-11</v>
      </c>
      <c r="Q189" s="8">
        <f t="shared" si="45"/>
        <v>100</v>
      </c>
      <c r="R189" s="9">
        <f t="shared" si="55"/>
        <v>1.465873681050915E-13</v>
      </c>
      <c r="S189" s="8">
        <f t="shared" si="57"/>
        <v>1</v>
      </c>
      <c r="T189" s="9">
        <f t="shared" si="58"/>
        <v>3.6143000172348443E-13</v>
      </c>
      <c r="U189" s="9">
        <f t="shared" si="59"/>
        <v>3.5505346721084606E-13</v>
      </c>
      <c r="V189" s="9">
        <f t="shared" si="54"/>
        <v>-1.9753416655597735E-2</v>
      </c>
    </row>
    <row r="190" spans="1:22">
      <c r="A190" s="8">
        <f t="shared" si="56"/>
        <v>0.89500000000000068</v>
      </c>
      <c r="B190" s="47">
        <f>B189*EXP((PL_r-0.5*Vol_a^2)*dt+Vol_a*SQRT(dt)*bs!A180)</f>
        <v>165.49016308057313</v>
      </c>
      <c r="C190" s="47">
        <f t="shared" si="43"/>
        <v>65.699942734842111</v>
      </c>
      <c r="D190" s="44">
        <f t="shared" si="44"/>
        <v>0.99999999999999767</v>
      </c>
      <c r="E190" s="47">
        <f t="shared" si="48"/>
        <v>-99.790220345730617</v>
      </c>
      <c r="F190" s="47">
        <f t="shared" si="49"/>
        <v>104.60089408767686</v>
      </c>
      <c r="G190" s="47">
        <f t="shared" si="60"/>
        <v>4.8106737419462462</v>
      </c>
      <c r="J190" s="47">
        <f t="shared" si="50"/>
        <v>3.4982380381955032E-11</v>
      </c>
      <c r="Q190" s="8">
        <f t="shared" si="45"/>
        <v>100</v>
      </c>
      <c r="R190" s="9">
        <f t="shared" si="55"/>
        <v>1.7030548915412861E-15</v>
      </c>
      <c r="S190" s="8">
        <f t="shared" si="57"/>
        <v>1</v>
      </c>
      <c r="T190" s="9">
        <f t="shared" si="58"/>
        <v>1.3319553745458583E-14</v>
      </c>
      <c r="U190" s="9">
        <f t="shared" si="59"/>
        <v>1.3083254917269106E-14</v>
      </c>
      <c r="V190" s="9">
        <f t="shared" si="54"/>
        <v>2.7769504218291333E-2</v>
      </c>
    </row>
    <row r="191" spans="1:22">
      <c r="A191" s="8">
        <f t="shared" si="56"/>
        <v>0.90000000000000069</v>
      </c>
      <c r="B191" s="47">
        <f>B190*EXP((PL_r-0.5*Vol_a^2)*dt+Vol_a*SQRT(dt)*bs!A181)</f>
        <v>164.75280893463926</v>
      </c>
      <c r="C191" s="47">
        <f t="shared" si="43"/>
        <v>64.952609067905954</v>
      </c>
      <c r="D191" s="44">
        <f t="shared" si="44"/>
        <v>0.99999999999999911</v>
      </c>
      <c r="E191" s="47">
        <f t="shared" si="48"/>
        <v>-99.800199866733166</v>
      </c>
      <c r="F191" s="47">
        <f t="shared" si="49"/>
        <v>104.61135470010778</v>
      </c>
      <c r="G191" s="47">
        <f t="shared" si="60"/>
        <v>4.8111548333746157</v>
      </c>
      <c r="J191" s="47">
        <f t="shared" si="50"/>
        <v>2.3778607040617744E-13</v>
      </c>
      <c r="Q191" s="8">
        <f t="shared" si="45"/>
        <v>100</v>
      </c>
      <c r="R191" s="9">
        <f t="shared" si="55"/>
        <v>6.8063842427565898E-16</v>
      </c>
      <c r="S191" s="8">
        <f t="shared" si="57"/>
        <v>-1</v>
      </c>
      <c r="T191" s="9">
        <f t="shared" si="58"/>
        <v>-1.6641066990162103E-15</v>
      </c>
      <c r="U191" s="9">
        <f t="shared" si="59"/>
        <v>-1.6344207534601251E-15</v>
      </c>
      <c r="V191" s="9">
        <f t="shared" si="54"/>
        <v>-4.4555768887294175E-3</v>
      </c>
    </row>
    <row r="192" spans="1:22">
      <c r="A192" s="8">
        <f t="shared" si="56"/>
        <v>0.90500000000000069</v>
      </c>
      <c r="B192" s="47">
        <f>B191*EXP((PL_r-0.5*Vol_a^2)*dt+Vol_a*SQRT(dt)*bs!A182)</f>
        <v>166.12964066319012</v>
      </c>
      <c r="C192" s="47">
        <f t="shared" si="43"/>
        <v>66.319460277452521</v>
      </c>
      <c r="D192" s="44">
        <f t="shared" si="44"/>
        <v>1</v>
      </c>
      <c r="E192" s="47">
        <f t="shared" si="48"/>
        <v>-99.810180385737596</v>
      </c>
      <c r="F192" s="47">
        <f t="shared" si="49"/>
        <v>104.62181635865215</v>
      </c>
      <c r="G192" s="47">
        <f t="shared" si="60"/>
        <v>4.8116359729145586</v>
      </c>
      <c r="J192" s="47">
        <f t="shared" si="50"/>
        <v>1.4755276170958186E-13</v>
      </c>
      <c r="Q192" s="8">
        <f t="shared" si="45"/>
        <v>100</v>
      </c>
      <c r="R192" s="9">
        <f t="shared" si="55"/>
        <v>4.4238630433063423E-17</v>
      </c>
      <c r="S192" s="8">
        <f t="shared" si="57"/>
        <v>-1</v>
      </c>
      <c r="T192" s="9">
        <f t="shared" si="58"/>
        <v>-7.9459868999941789E-17</v>
      </c>
      <c r="U192" s="9">
        <f t="shared" si="59"/>
        <v>-7.803458311954029E-17</v>
      </c>
      <c r="V192" s="9">
        <f t="shared" si="54"/>
        <v>8.3569545032587036E-3</v>
      </c>
    </row>
    <row r="193" spans="1:22">
      <c r="A193" s="8">
        <f t="shared" si="56"/>
        <v>0.9100000000000007</v>
      </c>
      <c r="B193" s="47">
        <f>B192*EXP((PL_r-0.5*Vol_a^2)*dt+Vol_a*SQRT(dt)*bs!A183)</f>
        <v>160.16737865734277</v>
      </c>
      <c r="C193" s="47">
        <f t="shared" si="43"/>
        <v>60.34721675449903</v>
      </c>
      <c r="D193" s="44">
        <f t="shared" si="44"/>
        <v>0.99999999999999867</v>
      </c>
      <c r="E193" s="47">
        <f t="shared" si="48"/>
        <v>-99.820161902843509</v>
      </c>
      <c r="F193" s="47">
        <f t="shared" si="49"/>
        <v>104.63227906341433</v>
      </c>
      <c r="G193" s="47">
        <f t="shared" si="60"/>
        <v>4.8121171605708213</v>
      </c>
      <c r="J193" s="47">
        <f t="shared" si="50"/>
        <v>-2.1338581389508541E-13</v>
      </c>
      <c r="Q193" s="8">
        <f t="shared" si="45"/>
        <v>100</v>
      </c>
      <c r="R193" s="9">
        <f t="shared" si="55"/>
        <v>1.0687532586423405E-15</v>
      </c>
      <c r="S193" s="8">
        <f t="shared" si="57"/>
        <v>1</v>
      </c>
      <c r="T193" s="9">
        <f t="shared" si="58"/>
        <v>1.4915530074574554E-14</v>
      </c>
      <c r="U193" s="9">
        <f t="shared" si="59"/>
        <v>1.46465228187017E-14</v>
      </c>
      <c r="V193" s="9">
        <f t="shared" si="54"/>
        <v>-3.5889212677797766E-2</v>
      </c>
    </row>
    <row r="194" spans="1:22">
      <c r="A194" s="8">
        <f t="shared" si="56"/>
        <v>0.9150000000000007</v>
      </c>
      <c r="B194" s="47">
        <f>B193*EXP((PL_r-0.5*Vol_a^2)*dt+Vol_a*SQRT(dt)*bs!A184)</f>
        <v>161.60396636251483</v>
      </c>
      <c r="C194" s="47">
        <f t="shared" si="43"/>
        <v>61.773821944363348</v>
      </c>
      <c r="D194" s="44">
        <f t="shared" si="44"/>
        <v>0.99999999999999989</v>
      </c>
      <c r="E194" s="47">
        <f t="shared" si="48"/>
        <v>-99.830144418151448</v>
      </c>
      <c r="F194" s="47">
        <f t="shared" si="49"/>
        <v>104.64274281449971</v>
      </c>
      <c r="G194" s="47">
        <f t="shared" si="60"/>
        <v>4.8125983963482639</v>
      </c>
      <c r="J194" s="47">
        <f t="shared" si="50"/>
        <v>1.9735808875905461E-13</v>
      </c>
      <c r="Q194" s="8">
        <f t="shared" si="45"/>
        <v>100</v>
      </c>
      <c r="R194" s="9">
        <f t="shared" si="55"/>
        <v>5.0573998570808498E-17</v>
      </c>
      <c r="S194" s="8">
        <f t="shared" si="57"/>
        <v>-1</v>
      </c>
      <c r="T194" s="9">
        <f t="shared" si="58"/>
        <v>-7.8950987414685643E-17</v>
      </c>
      <c r="U194" s="9">
        <f t="shared" si="59"/>
        <v>-7.7519324018990708E-17</v>
      </c>
      <c r="V194" s="9">
        <f t="shared" si="54"/>
        <v>8.9692902338462509E-3</v>
      </c>
    </row>
    <row r="195" spans="1:22">
      <c r="A195" s="8">
        <f t="shared" si="56"/>
        <v>0.92000000000000071</v>
      </c>
      <c r="B195" s="47">
        <f>B194*EXP((PL_r-0.5*Vol_a^2)*dt+Vol_a*SQRT(dt)*bs!A185)</f>
        <v>158.50996786013485</v>
      </c>
      <c r="C195" s="47">
        <f t="shared" si="43"/>
        <v>58.669839928374216</v>
      </c>
      <c r="D195" s="44">
        <f t="shared" si="44"/>
        <v>0.99999999999999989</v>
      </c>
      <c r="E195" s="47">
        <f t="shared" si="48"/>
        <v>-99.840127931760605</v>
      </c>
      <c r="F195" s="47">
        <f t="shared" si="49"/>
        <v>104.65320761201232</v>
      </c>
      <c r="G195" s="47">
        <f t="shared" si="60"/>
        <v>4.8130796802517182</v>
      </c>
      <c r="J195" s="47">
        <f t="shared" si="50"/>
        <v>0</v>
      </c>
      <c r="Q195" s="8">
        <f t="shared" si="45"/>
        <v>100</v>
      </c>
      <c r="R195" s="9">
        <f t="shared" si="55"/>
        <v>1.117446794917479E-16</v>
      </c>
      <c r="S195" s="8">
        <f t="shared" si="57"/>
        <v>1</v>
      </c>
      <c r="T195" s="9">
        <f t="shared" si="58"/>
        <v>2.3380894821502056E-16</v>
      </c>
      <c r="U195" s="9">
        <f t="shared" si="59"/>
        <v>2.2954620110688549E-16</v>
      </c>
      <c r="V195" s="9">
        <f t="shared" si="54"/>
        <v>-1.9145560421700451E-2</v>
      </c>
    </row>
    <row r="196" spans="1:22">
      <c r="A196" s="8">
        <f t="shared" si="56"/>
        <v>0.92500000000000071</v>
      </c>
      <c r="B196" s="47">
        <f>B195*EXP((PL_r-0.5*Vol_a^2)*dt+Vol_a*SQRT(dt)*bs!A186)</f>
        <v>153.13722512837518</v>
      </c>
      <c r="C196" s="47">
        <f t="shared" si="43"/>
        <v>53.287112684604097</v>
      </c>
      <c r="D196" s="44">
        <f t="shared" si="44"/>
        <v>0.99999999999999767</v>
      </c>
      <c r="E196" s="47">
        <f t="shared" si="48"/>
        <v>-99.850112443770712</v>
      </c>
      <c r="F196" s="47">
        <f t="shared" si="49"/>
        <v>104.66367345605667</v>
      </c>
      <c r="G196" s="47">
        <f t="shared" si="60"/>
        <v>4.8135610122859589</v>
      </c>
      <c r="J196" s="47">
        <f t="shared" si="50"/>
        <v>-3.4003294652945641E-13</v>
      </c>
      <c r="Q196" s="8">
        <f t="shared" si="45"/>
        <v>100</v>
      </c>
      <c r="R196" s="9">
        <f t="shared" si="55"/>
        <v>2.2168463165752606E-15</v>
      </c>
      <c r="S196" s="8">
        <f t="shared" si="57"/>
        <v>1</v>
      </c>
      <c r="T196" s="9">
        <f t="shared" si="58"/>
        <v>2.4665140587134251E-14</v>
      </c>
      <c r="U196" s="9">
        <f t="shared" si="59"/>
        <v>2.4213030399989103E-14</v>
      </c>
      <c r="V196" s="9">
        <f t="shared" si="54"/>
        <v>-3.3895298852753809E-2</v>
      </c>
    </row>
    <row r="197" spans="1:22">
      <c r="A197" s="8">
        <f t="shared" si="56"/>
        <v>0.93000000000000071</v>
      </c>
      <c r="B197" s="47">
        <f>B196*EXP((PL_r-0.5*Vol_a^2)*dt+Vol_a*SQRT(dt)*bs!A187)</f>
        <v>152.46588954599298</v>
      </c>
      <c r="C197" s="47">
        <f t="shared" si="43"/>
        <v>52.6057915917103</v>
      </c>
      <c r="D197" s="44">
        <f t="shared" si="44"/>
        <v>0.99999999999999944</v>
      </c>
      <c r="E197" s="47">
        <f t="shared" si="48"/>
        <v>-99.860097954282594</v>
      </c>
      <c r="F197" s="47">
        <f t="shared" si="49"/>
        <v>104.67414034673837</v>
      </c>
      <c r="G197" s="47">
        <f t="shared" si="60"/>
        <v>4.8140423924557751</v>
      </c>
      <c r="J197" s="47">
        <f t="shared" si="50"/>
        <v>2.7083382567026778E-13</v>
      </c>
      <c r="Q197" s="8">
        <f t="shared" si="45"/>
        <v>100</v>
      </c>
      <c r="R197" s="9">
        <f t="shared" si="55"/>
        <v>5.1821130777661295E-16</v>
      </c>
      <c r="S197" s="8">
        <f t="shared" si="57"/>
        <v>-1</v>
      </c>
      <c r="T197" s="9">
        <f t="shared" si="58"/>
        <v>-1.0888710219429477E-15</v>
      </c>
      <c r="U197" s="9">
        <f t="shared" si="59"/>
        <v>-1.068805211466223E-15</v>
      </c>
      <c r="V197" s="9">
        <f t="shared" si="54"/>
        <v>-4.3838823762113802E-3</v>
      </c>
    </row>
    <row r="198" spans="1:22">
      <c r="A198" s="8">
        <f t="shared" si="56"/>
        <v>0.93500000000000072</v>
      </c>
      <c r="B198" s="47">
        <f>B197*EXP((PL_r-0.5*Vol_a^2)*dt+Vol_a*SQRT(dt)*bs!A188)</f>
        <v>153.19700761916263</v>
      </c>
      <c r="C198" s="47">
        <f t="shared" si="43"/>
        <v>53.326923155767403</v>
      </c>
      <c r="D198" s="44">
        <f t="shared" si="44"/>
        <v>1</v>
      </c>
      <c r="E198" s="47">
        <f t="shared" si="48"/>
        <v>-99.87008446339523</v>
      </c>
      <c r="F198" s="47">
        <f t="shared" si="49"/>
        <v>104.68460828416129</v>
      </c>
      <c r="G198" s="47">
        <f t="shared" si="60"/>
        <v>4.8145238207660555</v>
      </c>
      <c r="J198" s="47">
        <f t="shared" si="50"/>
        <v>8.5041422581234942E-14</v>
      </c>
      <c r="Q198" s="8">
        <f t="shared" si="45"/>
        <v>100</v>
      </c>
      <c r="R198" s="9">
        <f t="shared" si="55"/>
        <v>2.1199696748964116E-17</v>
      </c>
      <c r="S198" s="8">
        <f t="shared" si="57"/>
        <v>-1</v>
      </c>
      <c r="T198" s="9">
        <f t="shared" si="58"/>
        <v>-4.4033807578934386E-17</v>
      </c>
      <c r="U198" s="9">
        <f t="shared" si="59"/>
        <v>-4.3218026700814792E-17</v>
      </c>
      <c r="V198" s="9">
        <f t="shared" si="54"/>
        <v>4.7952894601326823E-3</v>
      </c>
    </row>
    <row r="199" spans="1:22">
      <c r="A199" s="8">
        <f t="shared" si="56"/>
        <v>0.94000000000000072</v>
      </c>
      <c r="B199" s="47">
        <f>B198*EXP((PL_r-0.5*Vol_a^2)*dt+Vol_a*SQRT(dt)*bs!A189)</f>
        <v>153.26386671522468</v>
      </c>
      <c r="C199" s="47">
        <f t="shared" si="43"/>
        <v>53.383794744016043</v>
      </c>
      <c r="D199" s="44">
        <f t="shared" si="44"/>
        <v>1</v>
      </c>
      <c r="E199" s="47">
        <f t="shared" si="48"/>
        <v>-99.880071971208636</v>
      </c>
      <c r="F199" s="47">
        <f t="shared" si="49"/>
        <v>104.6950772684302</v>
      </c>
      <c r="G199" s="47">
        <f t="shared" si="60"/>
        <v>4.8150052972215605</v>
      </c>
      <c r="J199" s="47">
        <f t="shared" si="50"/>
        <v>0</v>
      </c>
      <c r="Q199" s="8">
        <f t="shared" si="45"/>
        <v>100</v>
      </c>
      <c r="R199" s="9">
        <f t="shared" si="55"/>
        <v>1.104950680088408E-18</v>
      </c>
      <c r="S199" s="8">
        <f t="shared" si="57"/>
        <v>-1</v>
      </c>
      <c r="T199" s="9">
        <f t="shared" si="58"/>
        <v>-2.5930366698135472E-18</v>
      </c>
      <c r="U199" s="9">
        <f t="shared" si="59"/>
        <v>-2.5447429636611315E-18</v>
      </c>
      <c r="V199" s="9">
        <f t="shared" si="54"/>
        <v>4.3642560061129583E-4</v>
      </c>
    </row>
    <row r="200" spans="1:22">
      <c r="A200" s="8">
        <f t="shared" si="56"/>
        <v>0.94500000000000073</v>
      </c>
      <c r="B200" s="47">
        <f>B199*EXP((PL_r-0.5*Vol_a^2)*dt+Vol_a*SQRT(dt)*bs!A190)</f>
        <v>154.95058365554672</v>
      </c>
      <c r="C200" s="47">
        <f t="shared" si="43"/>
        <v>55.060523177723965</v>
      </c>
      <c r="D200" s="44">
        <f t="shared" si="44"/>
        <v>1</v>
      </c>
      <c r="E200" s="47">
        <f t="shared" si="48"/>
        <v>-99.890060477822757</v>
      </c>
      <c r="F200" s="47">
        <f t="shared" si="49"/>
        <v>104.70554729964988</v>
      </c>
      <c r="G200" s="47">
        <f t="shared" si="60"/>
        <v>4.8154868218271218</v>
      </c>
      <c r="J200" s="47">
        <f t="shared" si="50"/>
        <v>0</v>
      </c>
      <c r="Q200" s="8">
        <f t="shared" si="45"/>
        <v>100</v>
      </c>
      <c r="R200" s="9">
        <f t="shared" si="55"/>
        <v>4.1565023286494928E-21</v>
      </c>
      <c r="S200" s="8">
        <f t="shared" si="57"/>
        <v>-1</v>
      </c>
      <c r="T200" s="9">
        <f t="shared" si="58"/>
        <v>-3.9361194100737326E-21</v>
      </c>
      <c r="U200" s="9">
        <f t="shared" si="59"/>
        <v>-3.8624253557117626E-21</v>
      </c>
      <c r="V200" s="9">
        <f t="shared" si="54"/>
        <v>1.1005313753802681E-2</v>
      </c>
    </row>
    <row r="201" spans="1:22">
      <c r="A201" s="8">
        <f t="shared" si="56"/>
        <v>0.95000000000000073</v>
      </c>
      <c r="B201" s="47">
        <f>B200*EXP((PL_r-0.5*Vol_a^2)*dt+Vol_a*SQRT(dt)*bs!A191)</f>
        <v>155.59973381111482</v>
      </c>
      <c r="C201" s="47">
        <f t="shared" si="43"/>
        <v>55.699683827777321</v>
      </c>
      <c r="D201" s="44">
        <f t="shared" si="44"/>
        <v>1</v>
      </c>
      <c r="E201" s="47">
        <f t="shared" si="48"/>
        <v>-99.900049983337496</v>
      </c>
      <c r="F201" s="47">
        <f t="shared" si="49"/>
        <v>104.71601837792504</v>
      </c>
      <c r="G201" s="47">
        <f t="shared" si="60"/>
        <v>4.8159683945875429</v>
      </c>
      <c r="J201" s="47">
        <f t="shared" si="50"/>
        <v>0</v>
      </c>
      <c r="Q201" s="8">
        <f t="shared" si="45"/>
        <v>100</v>
      </c>
      <c r="R201" s="9">
        <f t="shared" si="55"/>
        <v>2.2047665279716029E-23</v>
      </c>
      <c r="S201" s="8">
        <f t="shared" si="57"/>
        <v>-1</v>
      </c>
      <c r="T201" s="9">
        <f t="shared" si="58"/>
        <v>-4.8695810935327136E-23</v>
      </c>
      <c r="U201" s="9">
        <f t="shared" si="59"/>
        <v>-4.7779324717420538E-23</v>
      </c>
      <c r="V201" s="9">
        <f t="shared" si="54"/>
        <v>4.1894011642521272E-3</v>
      </c>
    </row>
    <row r="202" spans="1:22">
      <c r="A202" s="8">
        <f t="shared" si="56"/>
        <v>0.95500000000000074</v>
      </c>
      <c r="B202" s="47">
        <f>B201*EXP((PL_r-0.5*Vol_a^2)*dt+Vol_a*SQRT(dt)*bs!A192)</f>
        <v>154.76881391054368</v>
      </c>
      <c r="C202" s="47">
        <f t="shared" si="43"/>
        <v>54.858773422690945</v>
      </c>
      <c r="D202" s="44">
        <f t="shared" si="44"/>
        <v>1</v>
      </c>
      <c r="E202" s="47">
        <f t="shared" si="48"/>
        <v>-99.91004048785274</v>
      </c>
      <c r="F202" s="47">
        <f t="shared" si="49"/>
        <v>104.72649050336038</v>
      </c>
      <c r="G202" s="47">
        <f t="shared" si="60"/>
        <v>4.8164500155076411</v>
      </c>
      <c r="J202" s="47">
        <f t="shared" si="50"/>
        <v>0</v>
      </c>
      <c r="Q202" s="8">
        <f t="shared" si="45"/>
        <v>100</v>
      </c>
      <c r="R202" s="9">
        <f t="shared" si="55"/>
        <v>3.8069480946581179E-25</v>
      </c>
      <c r="S202" s="8">
        <f t="shared" si="57"/>
        <v>-1</v>
      </c>
      <c r="T202" s="9">
        <f t="shared" si="58"/>
        <v>-7.8187166692420596E-25</v>
      </c>
      <c r="U202" s="9">
        <f t="shared" si="59"/>
        <v>-7.6707963170971503E-25</v>
      </c>
      <c r="V202" s="9">
        <f t="shared" si="54"/>
        <v>-5.3401113242250147E-3</v>
      </c>
    </row>
    <row r="203" spans="1:22">
      <c r="A203" s="8">
        <f t="shared" si="56"/>
        <v>0.96000000000000074</v>
      </c>
      <c r="B203" s="47">
        <f>B202*EXP((PL_r-0.5*Vol_a^2)*dt+Vol_a*SQRT(dt)*bs!A193)</f>
        <v>159.31313609134997</v>
      </c>
      <c r="C203" s="47">
        <f t="shared" ref="C203:C210" si="61">CallOption(B203,Vol_i,0,PL_r, PL_K,PL_T-A203)</f>
        <v>59.393104099881597</v>
      </c>
      <c r="D203" s="44">
        <f t="shared" ref="D203:D210" si="62">CallDelta(B203,$E$6,0,PL_r, PL_K, PL_T-A203)</f>
        <v>1</v>
      </c>
      <c r="E203" s="47">
        <f t="shared" si="48"/>
        <v>-99.920031991468377</v>
      </c>
      <c r="F203" s="47">
        <f t="shared" si="49"/>
        <v>104.73696367606063</v>
      </c>
      <c r="G203" s="47">
        <f t="shared" si="60"/>
        <v>4.8169316845922481</v>
      </c>
      <c r="J203" s="47">
        <f t="shared" si="50"/>
        <v>0</v>
      </c>
      <c r="Q203" s="8">
        <f t="shared" ref="Q203:Q211" si="63">PL_K</f>
        <v>100</v>
      </c>
      <c r="R203" s="9">
        <f t="shared" ref="R203:R210" si="64">CallGamma(B203,$E$6,0,PL_r, PL_K, PL_T-A203)</f>
        <v>1.4453702832276854E-31</v>
      </c>
      <c r="S203" s="8">
        <f t="shared" si="57"/>
        <v>1</v>
      </c>
      <c r="T203" s="9">
        <f t="shared" si="58"/>
        <v>1.2144892985998591E-30</v>
      </c>
      <c r="U203" s="9">
        <f t="shared" si="59"/>
        <v>1.1913935329148803E-30</v>
      </c>
      <c r="V203" s="9">
        <f t="shared" si="54"/>
        <v>2.9362001723634755E-2</v>
      </c>
    </row>
    <row r="204" spans="1:22">
      <c r="A204" s="8">
        <f t="shared" ref="A204:A211" si="65">A203+dt</f>
        <v>0.96500000000000075</v>
      </c>
      <c r="B204" s="47">
        <f>B203*EXP((PL_r-0.5*Vol_a^2)*dt+Vol_a*SQRT(dt)*bs!A194)</f>
        <v>153.97831093331632</v>
      </c>
      <c r="C204" s="47">
        <f t="shared" si="61"/>
        <v>54.048286439031997</v>
      </c>
      <c r="D204" s="44">
        <f t="shared" si="62"/>
        <v>1</v>
      </c>
      <c r="E204" s="47">
        <f t="shared" ref="E204:E211" si="66">C204-D204*B204</f>
        <v>-99.930024494284325</v>
      </c>
      <c r="F204" s="47">
        <f t="shared" ref="F204:F211" si="67">J204+F203*EXP(PL_r*dt)</f>
        <v>104.74743789613051</v>
      </c>
      <c r="G204" s="47">
        <f t="shared" si="60"/>
        <v>4.8174134018461814</v>
      </c>
      <c r="J204" s="47">
        <f t="shared" ref="J204:J211" si="68">(D204-D203)*B204</f>
        <v>0</v>
      </c>
      <c r="Q204" s="8">
        <f t="shared" si="63"/>
        <v>100</v>
      </c>
      <c r="R204" s="9">
        <f t="shared" si="64"/>
        <v>5.6792253936621743E-31</v>
      </c>
      <c r="S204" s="8">
        <f t="shared" ref="S204:S211" si="69">IF(V204^2 &lt; ($E$6^2*dt), -1, 1)</f>
        <v>1</v>
      </c>
      <c r="T204" s="9">
        <f t="shared" ref="T204:T211" si="70">0.5*R204*(B204^2)*(V204^2-$E$6^2*dt)</f>
        <v>6.2029461129881609E-30</v>
      </c>
      <c r="U204" s="9">
        <f t="shared" ref="U204:U211" si="71">T204*EXP(-PL_r*A204)</f>
        <v>6.0843771242066019E-30</v>
      </c>
      <c r="V204" s="9">
        <f t="shared" si="54"/>
        <v>-3.3486411032513159E-2</v>
      </c>
    </row>
    <row r="205" spans="1:22">
      <c r="A205" s="8">
        <f t="shared" si="65"/>
        <v>0.97000000000000075</v>
      </c>
      <c r="B205" s="47">
        <f>B204*EXP((PL_r-0.5*Vol_a^2)*dt+Vol_a*SQRT(dt)*bs!A195)</f>
        <v>157.40283497053017</v>
      </c>
      <c r="C205" s="47">
        <f t="shared" si="61"/>
        <v>57.462816974129623</v>
      </c>
      <c r="D205" s="44">
        <f t="shared" si="62"/>
        <v>1</v>
      </c>
      <c r="E205" s="47">
        <f t="shared" si="66"/>
        <v>-99.940017996400542</v>
      </c>
      <c r="F205" s="47">
        <f t="shared" si="67"/>
        <v>104.75791316367477</v>
      </c>
      <c r="G205" s="47">
        <f t="shared" si="60"/>
        <v>4.8178951672742301</v>
      </c>
      <c r="J205" s="47">
        <f t="shared" si="68"/>
        <v>0</v>
      </c>
      <c r="Q205" s="8">
        <f t="shared" si="63"/>
        <v>100</v>
      </c>
      <c r="R205" s="9">
        <f t="shared" si="64"/>
        <v>2.6824349874000739E-39</v>
      </c>
      <c r="S205" s="8">
        <f t="shared" si="69"/>
        <v>1</v>
      </c>
      <c r="T205" s="9">
        <f t="shared" si="70"/>
        <v>9.7904522998655529E-39</v>
      </c>
      <c r="U205" s="9">
        <f t="shared" si="71"/>
        <v>9.6023480361459596E-39</v>
      </c>
      <c r="V205" s="9">
        <f t="shared" ref="V205:V211" si="72">(B205-B204)/B204</f>
        <v>2.2240301354499906E-2</v>
      </c>
    </row>
    <row r="206" spans="1:22">
      <c r="A206" s="8">
        <f t="shared" si="65"/>
        <v>0.97500000000000075</v>
      </c>
      <c r="B206" s="47">
        <f>B205*EXP((PL_r-0.5*Vol_a^2)*dt+Vol_a*SQRT(dt)*bs!A196)</f>
        <v>162.07803006930698</v>
      </c>
      <c r="C206" s="47">
        <f t="shared" si="61"/>
        <v>62.128017571390046</v>
      </c>
      <c r="D206" s="44">
        <f t="shared" si="62"/>
        <v>1</v>
      </c>
      <c r="E206" s="47">
        <f t="shared" si="66"/>
        <v>-99.95001249791693</v>
      </c>
      <c r="F206" s="47">
        <f t="shared" si="67"/>
        <v>104.76838947879817</v>
      </c>
      <c r="G206" s="47">
        <f t="shared" si="60"/>
        <v>4.81837698088124</v>
      </c>
      <c r="J206" s="47">
        <f t="shared" si="68"/>
        <v>0</v>
      </c>
      <c r="Q206" s="8">
        <f t="shared" si="63"/>
        <v>100</v>
      </c>
      <c r="R206" s="9">
        <f t="shared" si="64"/>
        <v>1.1029129580257583E-52</v>
      </c>
      <c r="S206" s="8">
        <f t="shared" si="69"/>
        <v>1</v>
      </c>
      <c r="T206" s="9">
        <f t="shared" si="70"/>
        <v>9.8828164431839087E-52</v>
      </c>
      <c r="U206" s="9">
        <f t="shared" si="71"/>
        <v>9.6919683390184106E-52</v>
      </c>
      <c r="V206" s="9">
        <f t="shared" si="72"/>
        <v>2.9702102250268411E-2</v>
      </c>
    </row>
    <row r="207" spans="1:22">
      <c r="A207" s="8">
        <f t="shared" si="65"/>
        <v>0.98000000000000076</v>
      </c>
      <c r="B207" s="47">
        <f>B206*EXP((PL_r-0.5*Vol_a^2)*dt+Vol_a*SQRT(dt)*bs!A197)</f>
        <v>159.69229647209164</v>
      </c>
      <c r="C207" s="47">
        <f t="shared" si="61"/>
        <v>59.732288473158192</v>
      </c>
      <c r="D207" s="44">
        <f t="shared" si="62"/>
        <v>1</v>
      </c>
      <c r="E207" s="47">
        <f t="shared" si="66"/>
        <v>-99.960007998933449</v>
      </c>
      <c r="F207" s="47">
        <f t="shared" si="67"/>
        <v>104.77886684160546</v>
      </c>
      <c r="G207" s="47">
        <f t="shared" si="60"/>
        <v>4.8188588426720145</v>
      </c>
      <c r="J207" s="47">
        <f t="shared" si="68"/>
        <v>0</v>
      </c>
      <c r="Q207" s="8">
        <f t="shared" si="63"/>
        <v>100</v>
      </c>
      <c r="R207" s="9">
        <f t="shared" si="64"/>
        <v>1.8709968534620981E-61</v>
      </c>
      <c r="S207" s="8">
        <f t="shared" si="69"/>
        <v>1</v>
      </c>
      <c r="T207" s="9">
        <f t="shared" si="70"/>
        <v>3.9765380236621279E-62</v>
      </c>
      <c r="U207" s="9">
        <f t="shared" si="71"/>
        <v>3.8993567259309079E-62</v>
      </c>
      <c r="V207" s="9">
        <f t="shared" si="72"/>
        <v>-1.4719660623930091E-2</v>
      </c>
    </row>
    <row r="208" spans="1:22">
      <c r="A208" s="8">
        <f t="shared" si="65"/>
        <v>0.98500000000000076</v>
      </c>
      <c r="B208" s="47">
        <f>B207*EXP((PL_r-0.5*Vol_a^2)*dt+Vol_a*SQRT(dt)*bs!A198)</f>
        <v>162.47555156250942</v>
      </c>
      <c r="C208" s="47">
        <f t="shared" si="61"/>
        <v>62.505547062959394</v>
      </c>
      <c r="D208" s="44">
        <f t="shared" si="62"/>
        <v>1</v>
      </c>
      <c r="E208" s="47">
        <f t="shared" si="66"/>
        <v>-99.970004499550029</v>
      </c>
      <c r="F208" s="47">
        <f t="shared" si="67"/>
        <v>104.78934525220143</v>
      </c>
      <c r="G208" s="47">
        <f t="shared" si="60"/>
        <v>4.8193407526513994</v>
      </c>
      <c r="J208" s="47">
        <f t="shared" si="68"/>
        <v>0</v>
      </c>
      <c r="Q208" s="8">
        <f t="shared" si="63"/>
        <v>100</v>
      </c>
      <c r="R208" s="9">
        <f t="shared" si="64"/>
        <v>3.4187343375858849E-87</v>
      </c>
      <c r="S208" s="8">
        <f t="shared" si="69"/>
        <v>1</v>
      </c>
      <c r="T208" s="9">
        <f t="shared" si="70"/>
        <v>4.6823442325975964E-87</v>
      </c>
      <c r="U208" s="9">
        <f t="shared" si="71"/>
        <v>4.5910046995930253E-87</v>
      </c>
      <c r="V208" s="9">
        <f t="shared" si="72"/>
        <v>1.7428862580758198E-2</v>
      </c>
    </row>
    <row r="209" spans="1:22">
      <c r="A209" s="8">
        <f t="shared" si="65"/>
        <v>0.99000000000000077</v>
      </c>
      <c r="B209" s="47">
        <f>B208*EXP((PL_r-0.5*Vol_a^2)*dt+Vol_a*SQRT(dt)*bs!A199)</f>
        <v>162.78337858552555</v>
      </c>
      <c r="C209" s="47">
        <f t="shared" si="61"/>
        <v>62.803376585658881</v>
      </c>
      <c r="D209" s="44">
        <f t="shared" si="62"/>
        <v>1</v>
      </c>
      <c r="E209" s="47">
        <f t="shared" si="66"/>
        <v>-99.980001999866673</v>
      </c>
      <c r="F209" s="47">
        <f t="shared" si="67"/>
        <v>104.79982471069084</v>
      </c>
      <c r="G209" s="47">
        <f t="shared" si="60"/>
        <v>4.8198227108241696</v>
      </c>
      <c r="J209" s="47">
        <f t="shared" si="68"/>
        <v>0</v>
      </c>
      <c r="Q209" s="8">
        <f t="shared" si="63"/>
        <v>100</v>
      </c>
      <c r="R209" s="9">
        <f t="shared" si="64"/>
        <v>9.8350914835538584E-131</v>
      </c>
      <c r="S209" s="8">
        <f t="shared" si="69"/>
        <v>-1</v>
      </c>
      <c r="T209" s="9">
        <f t="shared" si="70"/>
        <v>-2.5593705123005227E-130</v>
      </c>
      <c r="U209" s="9">
        <f t="shared" si="71"/>
        <v>-2.509193369150711E-130</v>
      </c>
      <c r="V209" s="9">
        <f t="shared" si="72"/>
        <v>1.8946051886317196E-3</v>
      </c>
    </row>
    <row r="210" spans="1:22">
      <c r="A210" s="8">
        <f t="shared" si="65"/>
        <v>0.99500000000000077</v>
      </c>
      <c r="B210" s="47">
        <f>B209*EXP((PL_r-0.5*Vol_a^2)*dt+Vol_a*SQRT(dt)*bs!A200)</f>
        <v>159.68270185243696</v>
      </c>
      <c r="C210" s="47">
        <f t="shared" si="61"/>
        <v>59.692701352453625</v>
      </c>
      <c r="D210" s="44">
        <f t="shared" si="62"/>
        <v>1</v>
      </c>
      <c r="E210" s="47">
        <f t="shared" si="66"/>
        <v>-99.990000499983338</v>
      </c>
      <c r="F210" s="47">
        <f t="shared" si="67"/>
        <v>104.81030521717851</v>
      </c>
      <c r="G210" s="47">
        <f t="shared" si="60"/>
        <v>4.820304717195171</v>
      </c>
      <c r="J210" s="47">
        <f t="shared" si="68"/>
        <v>0</v>
      </c>
      <c r="Q210" s="8">
        <f t="shared" si="63"/>
        <v>100</v>
      </c>
      <c r="R210" s="9">
        <f t="shared" si="64"/>
        <v>1.6699397146147182E-239</v>
      </c>
      <c r="S210" s="8">
        <f t="shared" si="69"/>
        <v>1</v>
      </c>
      <c r="T210" s="9">
        <f t="shared" si="70"/>
        <v>3.466553920487219E-239</v>
      </c>
      <c r="U210" s="9">
        <f t="shared" si="71"/>
        <v>3.3982513619534079E-239</v>
      </c>
      <c r="V210" s="9">
        <f t="shared" si="72"/>
        <v>-1.9047870612044774E-2</v>
      </c>
    </row>
    <row r="211" spans="1:22">
      <c r="A211" s="8">
        <f t="shared" si="65"/>
        <v>1.0000000000000007</v>
      </c>
      <c r="B211" s="47">
        <f>B210*EXP((PL_r-0.5*Vol_a^2)*dt+Vol_a*SQRT(dt)*bs!A201)</f>
        <v>159.76442960543957</v>
      </c>
      <c r="C211" s="58">
        <f>MAX(B211-PL_K,0)</f>
        <v>59.764429605439574</v>
      </c>
      <c r="D211" s="45">
        <f>IF(B211&gt;PL_K,1,0)</f>
        <v>1</v>
      </c>
      <c r="E211" s="47">
        <f t="shared" si="66"/>
        <v>-100</v>
      </c>
      <c r="F211" s="47">
        <f t="shared" si="67"/>
        <v>104.82078677176922</v>
      </c>
      <c r="G211" s="47">
        <f t="shared" si="60"/>
        <v>4.820786771769221</v>
      </c>
      <c r="J211" s="47">
        <f t="shared" si="68"/>
        <v>0</v>
      </c>
      <c r="Q211" s="8">
        <f t="shared" si="63"/>
        <v>100</v>
      </c>
      <c r="R211" s="9">
        <v>0</v>
      </c>
      <c r="S211" s="8">
        <f t="shared" si="69"/>
        <v>-1</v>
      </c>
      <c r="T211" s="9">
        <f t="shared" si="70"/>
        <v>0</v>
      </c>
      <c r="U211" s="9">
        <f t="shared" si="71"/>
        <v>0</v>
      </c>
      <c r="V211" s="9">
        <f t="shared" si="72"/>
        <v>5.1181344036960944E-4</v>
      </c>
    </row>
  </sheetData>
  <phoneticPr fontId="4" type="noConversion"/>
  <conditionalFormatting sqref="D11:D210">
    <cfRule type="dataBar" priority="4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{D37C8063-4E24-ED40-812A-AD9B4592E30D}</x14:id>
        </ext>
      </extLst>
    </cfRule>
  </conditionalFormatting>
  <conditionalFormatting sqref="D211">
    <cfRule type="dataBar" priority="3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{29D72B28-E7E8-C44A-A4DC-FBD0CF8A327C}</x14:id>
        </ext>
      </extLst>
    </cfRule>
  </conditionalFormatting>
  <conditionalFormatting sqref="R11:R21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{EDB03965-2FBA-8347-8239-D5A3C6E9F9F5}</x14:id>
        </ext>
      </extLst>
    </cfRule>
  </conditionalFormatting>
  <conditionalFormatting sqref="S12:S211">
    <cfRule type="iconSet" priority="1">
      <iconSet iconSet="3Arrows">
        <cfvo type="percent" val="0"/>
        <cfvo type="percent" val="33"/>
        <cfvo type="percent" val="67"/>
      </iconSet>
    </cfRule>
  </conditionalFormatting>
  <dataValidations disablePrompts="1" count="1">
    <dataValidation type="list" allowBlank="1" showInputMessage="1" showErrorMessage="1" sqref="E6" xr:uid="{00000000-0002-0000-0200-000000000000}">
      <formula1>$E$1:$E$2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Recalculate">
                <anchor moveWithCells="1" sizeWithCells="1">
                  <from>
                    <xdr:col>7</xdr:col>
                    <xdr:colOff>28575</xdr:colOff>
                    <xdr:row>6</xdr:row>
                    <xdr:rowOff>66675</xdr:rowOff>
                  </from>
                  <to>
                    <xdr:col>8</xdr:col>
                    <xdr:colOff>352425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7C8063-4E24-ED40-812A-AD9B4592E30D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D11:D210</xm:sqref>
        </x14:conditionalFormatting>
        <x14:conditionalFormatting xmlns:xm="http://schemas.microsoft.com/office/excel/2006/main">
          <x14:cfRule type="dataBar" id="{29D72B28-E7E8-C44A-A4DC-FBD0CF8A327C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D211</xm:sqref>
        </x14:conditionalFormatting>
        <x14:conditionalFormatting xmlns:xm="http://schemas.microsoft.com/office/excel/2006/main">
          <x14:cfRule type="dataBar" id="{EDB03965-2FBA-8347-8239-D5A3C6E9F9F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R11:R211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77FE-46DF-460F-AF37-ED9CAA04BFC4}">
  <sheetPr codeName="Sheet7"/>
  <dimension ref="A1:AF75"/>
  <sheetViews>
    <sheetView tabSelected="1" topLeftCell="C24" zoomScale="70" zoomScaleNormal="70" workbookViewId="0">
      <selection activeCell="AF75" sqref="AF75"/>
    </sheetView>
  </sheetViews>
  <sheetFormatPr defaultRowHeight="12.75"/>
  <cols>
    <col min="1" max="1" width="13.5703125" bestFit="1" customWidth="1"/>
    <col min="2" max="2" width="18.28515625" bestFit="1" customWidth="1"/>
    <col min="3" max="3" width="16.7109375" bestFit="1" customWidth="1"/>
    <col min="4" max="4" width="17.28515625" bestFit="1" customWidth="1"/>
    <col min="5" max="5" width="28.28515625" bestFit="1" customWidth="1"/>
    <col min="6" max="6" width="15.42578125" bestFit="1" customWidth="1"/>
    <col min="7" max="7" width="6.42578125" bestFit="1" customWidth="1"/>
    <col min="8" max="8" width="11" bestFit="1" customWidth="1"/>
    <col min="9" max="10" width="5.85546875" bestFit="1" customWidth="1"/>
    <col min="11" max="11" width="8.7109375" bestFit="1" customWidth="1"/>
    <col min="12" max="12" width="11.5703125" bestFit="1" customWidth="1"/>
    <col min="13" max="13" width="15.85546875" bestFit="1" customWidth="1"/>
    <col min="25" max="25" width="18.140625" bestFit="1" customWidth="1"/>
    <col min="27" max="27" width="16" bestFit="1" customWidth="1"/>
  </cols>
  <sheetData>
    <row r="1" spans="1:32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127</v>
      </c>
      <c r="L1" t="s">
        <v>128</v>
      </c>
      <c r="M1" t="s">
        <v>129</v>
      </c>
      <c r="N1" t="s">
        <v>117</v>
      </c>
      <c r="O1" t="s">
        <v>118</v>
      </c>
      <c r="P1" t="s">
        <v>119</v>
      </c>
      <c r="Q1" t="s">
        <v>120</v>
      </c>
      <c r="R1" t="s">
        <v>130</v>
      </c>
      <c r="S1" t="s">
        <v>131</v>
      </c>
      <c r="T1" t="s">
        <v>132</v>
      </c>
      <c r="U1" t="s">
        <v>122</v>
      </c>
      <c r="V1" t="s">
        <v>123</v>
      </c>
      <c r="W1" t="s">
        <v>124</v>
      </c>
      <c r="X1" t="s">
        <v>133</v>
      </c>
      <c r="Y1" t="s">
        <v>134</v>
      </c>
      <c r="Z1" t="s">
        <v>138</v>
      </c>
      <c r="AA1" t="s">
        <v>139</v>
      </c>
      <c r="AB1" t="s">
        <v>135</v>
      </c>
      <c r="AC1" t="s">
        <v>136</v>
      </c>
      <c r="AD1" t="s">
        <v>141</v>
      </c>
      <c r="AE1" t="s">
        <v>140</v>
      </c>
      <c r="AF1" t="s">
        <v>137</v>
      </c>
    </row>
    <row r="2" spans="1:32">
      <c r="A2" s="64">
        <v>45047</v>
      </c>
      <c r="B2" s="65">
        <v>11.62</v>
      </c>
      <c r="C2" s="65">
        <v>23.619</v>
      </c>
      <c r="D2" s="65">
        <v>304.89359999999999</v>
      </c>
      <c r="E2" s="63" t="s">
        <v>125</v>
      </c>
      <c r="F2" s="63" t="s">
        <v>126</v>
      </c>
      <c r="G2">
        <v>320</v>
      </c>
      <c r="H2" s="64">
        <v>45156</v>
      </c>
      <c r="I2" s="66">
        <v>0.02</v>
      </c>
      <c r="J2" s="65">
        <v>0.302777778</v>
      </c>
      <c r="K2" s="65" cm="1">
        <f t="array" ref="K2">CallOption(data[[#This Row],[asset_price]],data[[#This Row],[sigma_impl]]/100,0,data[[#This Row],[r]],data[[#This Row],[K]],data[[#This Row],[t]])</f>
        <v>10.397203867429255</v>
      </c>
      <c r="L2" s="65" t="e">
        <f>data[[#This Row],[call]]-K1</f>
        <v>#VALUE!</v>
      </c>
      <c r="M2" s="65" t="e">
        <f>data[[#This Row],[sigma_impl]]-C1</f>
        <v>#VALUE!</v>
      </c>
      <c r="N2" s="65">
        <f>SQRT(data[[#This Row],[t]])</f>
        <v>0.5502524675092334</v>
      </c>
      <c r="O2" s="65" t="e">
        <f>data[[#This Row],[asset_price]]-D1</f>
        <v>#VALUE!</v>
      </c>
      <c r="P2" s="65" cm="1">
        <f t="array" ref="P2">CallDelta(data[[#This Row],[asset_price]],data[[#This Row],[sigma_impl]]/100,0,data[[#This Row],[r]],data[[#This Row],[K]],data[[#This Row],[t]])</f>
        <v>0.39723441814775529</v>
      </c>
      <c r="Q2" s="65" cm="1">
        <f t="array" ref="Q2">CallVega(data[[#This Row],[asset_price]],data[[#This Row],[sigma_impl]]/100,0,data[[#This Row],[r]],data[[#This Row],[K]],data[[#This Row],[t]])</f>
        <v>64.696879204374881</v>
      </c>
      <c r="R2" s="65" t="e">
        <f>(data[[#This Row],[D_call]]-data[[#This Row],[delta_bs]]*data[[#This Row],[D_S]])*data[[#This Row],[sqrt_t]]*data[[#This Row],[asset_price]]</f>
        <v>#VALUE!</v>
      </c>
      <c r="S2" s="65" t="e">
        <f>data[[#This Row],[vega_bs]]*data[[#This Row],[D_S]]</f>
        <v>#VALUE!</v>
      </c>
      <c r="T2" s="65" t="e">
        <f>data[[#This Row],[y_num]]/data[[#This Row],[y_den]]</f>
        <v>#VALUE!</v>
      </c>
      <c r="U2" s="65">
        <v>-4.3904110000000003</v>
      </c>
      <c r="V2" s="65">
        <v>13.107970999999999</v>
      </c>
      <c r="W2" s="65">
        <v>-9.5703019999999999</v>
      </c>
      <c r="X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0.12975186503321828</v>
      </c>
      <c r="Y2" s="65">
        <f>data[[#This Row],[call]]-data[[#This Row],[delta_bs]]*data[[#This Row],[asset_price]]</f>
        <v>-110.71702792554518</v>
      </c>
      <c r="Z2" s="65" t="e">
        <f>(data[[#This Row],[delta_bs]]-P1)*data[[#This Row],[asset_price]]</f>
        <v>#VALUE!</v>
      </c>
      <c r="AA2" s="65">
        <f>-data[[#This Row],[portfolio_bs]]</f>
        <v>110.71702792554518</v>
      </c>
      <c r="AB2" s="65">
        <f>data[[#This Row],[portfolio_bs]]+data[[#This Row],[cash_acc_bs]]</f>
        <v>0</v>
      </c>
      <c r="AC2" s="65">
        <f>data[[#This Row],[call]]-data[[#This Row],[delta_mv]]*data[[#This Row],[asset_price]]</f>
        <v>-29.163309369262784</v>
      </c>
      <c r="AD2" s="65" t="e">
        <f>(data[[#This Row],[delta_mv]]-X1)*data[[#This Row],[asset_price]]</f>
        <v>#VALUE!</v>
      </c>
      <c r="AE2" s="65">
        <f>-data[[#This Row],[portfolio_mv]]</f>
        <v>29.163309369262784</v>
      </c>
      <c r="AF2" s="65">
        <f>data[[#This Row],[portfolio_mv]]+data[[#This Row],[cash_acc_bs2]]</f>
        <v>0</v>
      </c>
    </row>
    <row r="3" spans="1:32">
      <c r="A3" s="64">
        <v>45048</v>
      </c>
      <c r="B3" s="65">
        <v>11.87</v>
      </c>
      <c r="C3" s="65">
        <v>24.451000000000001</v>
      </c>
      <c r="D3" s="65">
        <v>304.7439</v>
      </c>
      <c r="E3" s="63" t="s">
        <v>125</v>
      </c>
      <c r="F3" s="63" t="s">
        <v>126</v>
      </c>
      <c r="G3">
        <v>320</v>
      </c>
      <c r="H3" s="64">
        <v>45156</v>
      </c>
      <c r="I3" s="66">
        <v>0.02</v>
      </c>
      <c r="J3" s="65">
        <v>0.3</v>
      </c>
      <c r="K3" s="65" cm="1">
        <f t="array" ref="K3">CallOption(data[[#This Row],[asset_price]],data[[#This Row],[sigma_impl]]/100,0,data[[#This Row],[r]],data[[#This Row],[K]],data[[#This Row],[t]])</f>
        <v>10.797242118359847</v>
      </c>
      <c r="L3" s="65">
        <f>data[[#This Row],[call]]-K2</f>
        <v>0.4000382509305922</v>
      </c>
      <c r="M3" s="65">
        <f>data[[#This Row],[sigma_impl]]-C2</f>
        <v>0.83200000000000074</v>
      </c>
      <c r="N3" s="65">
        <f>SQRT(data[[#This Row],[t]])</f>
        <v>0.54772255750516607</v>
      </c>
      <c r="O3" s="65">
        <f>data[[#This Row],[asset_price]]-D2</f>
        <v>-0.14969999999999573</v>
      </c>
      <c r="P3" s="65" cm="1">
        <f t="array" ref="P3">CallDelta(data[[#This Row],[asset_price]],data[[#This Row],[sigma_impl]]/100,0,data[[#This Row],[r]],data[[#This Row],[K]],data[[#This Row],[t]])</f>
        <v>0.40013764929135687</v>
      </c>
      <c r="Q3" s="65" cm="1">
        <f t="array" ref="Q3">CallVega(data[[#This Row],[asset_price]],data[[#This Row],[sigma_impl]]/100,0,data[[#This Row],[r]],data[[#This Row],[K]],data[[#This Row],[t]])</f>
        <v>64.492220747733668</v>
      </c>
      <c r="R3" s="65">
        <f>(data[[#This Row],[D_call]]-data[[#This Row],[delta_bs]]*data[[#This Row],[D_S]])*data[[#This Row],[sqrt_t]]*data[[#This Row],[asset_price]]</f>
        <v>76.770744128824148</v>
      </c>
      <c r="S3" s="65">
        <f>data[[#This Row],[vega_bs]]*data[[#This Row],[D_S]]</f>
        <v>-9.654485445935455</v>
      </c>
      <c r="T3" s="65">
        <f>data[[#This Row],[y_num]]/data[[#This Row],[y_den]]</f>
        <v>-7.9518214159351892</v>
      </c>
      <c r="U3" s="65">
        <f>U2</f>
        <v>-4.3904110000000003</v>
      </c>
      <c r="V3" s="65">
        <f t="shared" ref="V3:V66" si="0">V2</f>
        <v>13.107970999999999</v>
      </c>
      <c r="W3" s="65">
        <f t="shared" ref="W3:W66" si="1">W2</f>
        <v>-9.5703019999999999</v>
      </c>
      <c r="X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0.13828171664626721</v>
      </c>
      <c r="Y3" s="65">
        <f>data[[#This Row],[call]]-data[[#This Row],[delta_bs]]*data[[#This Row],[asset_price]]</f>
        <v>-111.14226566352048</v>
      </c>
      <c r="Z3" s="65">
        <f>(data[[#This Row],[delta_bs]]-P2)*data[[#This Row],[asset_price]]</f>
        <v>0.88474198130260584</v>
      </c>
      <c r="AA3" s="65">
        <f>data[[#This Row],[cash_delta_bs]]+AA2*EXP(I2*(data[[#This Row],[ref_date]]-A2)/360)</f>
        <v>111.60792102370642</v>
      </c>
      <c r="AB3" s="65">
        <f>data[[#This Row],[portfolio_bs]]+data[[#This Row],[cash_acc_bs]]</f>
        <v>0.46565536018594855</v>
      </c>
      <c r="AC3" s="65">
        <f>data[[#This Row],[call]]-data[[#This Row],[delta_mv]]*data[[#This Row],[asset_price]]</f>
        <v>-31.34326751111854</v>
      </c>
      <c r="AD3" s="65">
        <f>(data[[#This Row],[delta_mv]]-X2)*data[[#This Row],[asset_price]]</f>
        <v>2.5994202469818193</v>
      </c>
      <c r="AE3" s="65">
        <f>data[[#This Row],[cash_delta_mv]]+AE2*EXP(I2*(data[[#This Row],[ref_date]]-A2)/360)</f>
        <v>31.764349845104388</v>
      </c>
      <c r="AF3" s="65">
        <f>data[[#This Row],[portfolio_mv]]+data[[#This Row],[cash_acc_bs2]]</f>
        <v>0.42108233398584716</v>
      </c>
    </row>
    <row r="4" spans="1:32">
      <c r="A4" s="64">
        <v>45049</v>
      </c>
      <c r="B4" s="65">
        <v>11.37</v>
      </c>
      <c r="C4" s="65">
        <v>24.593</v>
      </c>
      <c r="D4" s="65">
        <v>303.73610000000002</v>
      </c>
      <c r="E4" s="63" t="s">
        <v>125</v>
      </c>
      <c r="F4" s="63" t="s">
        <v>126</v>
      </c>
      <c r="G4">
        <v>320</v>
      </c>
      <c r="H4" s="64">
        <v>45156</v>
      </c>
      <c r="I4" s="66">
        <v>0.02</v>
      </c>
      <c r="J4" s="65">
        <v>0.29722222199999998</v>
      </c>
      <c r="K4" s="65" cm="1">
        <f t="array" ref="K4">CallOption(data[[#This Row],[asset_price]],data[[#This Row],[sigma_impl]]/100,0,data[[#This Row],[r]],data[[#This Row],[K]],data[[#This Row],[t]])</f>
        <v>10.410581503629217</v>
      </c>
      <c r="L4" s="65">
        <f>data[[#This Row],[call]]-K3</f>
        <v>-0.38666061473062996</v>
      </c>
      <c r="M4" s="65">
        <f>data[[#This Row],[sigma_impl]]-C3</f>
        <v>0.14199999999999946</v>
      </c>
      <c r="N4" s="65">
        <f>SQRT(data[[#This Row],[t]])</f>
        <v>0.54518090758939819</v>
      </c>
      <c r="O4" s="65">
        <f>data[[#This Row],[asset_price]]-D3</f>
        <v>-1.0077999999999747</v>
      </c>
      <c r="P4" s="65" cm="1">
        <f t="array" ref="P4">CallDelta(data[[#This Row],[asset_price]],data[[#This Row],[sigma_impl]]/100,0,data[[#This Row],[r]],data[[#This Row],[K]],data[[#This Row],[t]])</f>
        <v>0.39063259772711312</v>
      </c>
      <c r="Q4" s="65" cm="1">
        <f t="array" ref="Q4">CallVega(data[[#This Row],[asset_price]],data[[#This Row],[sigma_impl]]/100,0,data[[#This Row],[r]],data[[#This Row],[K]],data[[#This Row],[t]])</f>
        <v>63.563065373431101</v>
      </c>
      <c r="R4" s="65">
        <f>(data[[#This Row],[D_call]]-data[[#This Row],[delta_bs]]*data[[#This Row],[D_S]])*data[[#This Row],[sqrt_t]]*data[[#This Row],[asset_price]]</f>
        <v>1.1622703887729513</v>
      </c>
      <c r="S4" s="65">
        <f>data[[#This Row],[vega_bs]]*data[[#This Row],[D_S]]</f>
        <v>-64.058857283342263</v>
      </c>
      <c r="T4" s="65">
        <f>data[[#This Row],[y_num]]/data[[#This Row],[y_den]]</f>
        <v>-1.8143788978814423E-2</v>
      </c>
      <c r="U4" s="65">
        <f t="shared" ref="U4:U67" si="2">U3</f>
        <v>-4.3904110000000003</v>
      </c>
      <c r="V4" s="65">
        <f t="shared" si="0"/>
        <v>13.107970999999999</v>
      </c>
      <c r="W4" s="65">
        <f t="shared" si="1"/>
        <v>-9.5703019999999999</v>
      </c>
      <c r="X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0.11027249995527894</v>
      </c>
      <c r="Y4" s="65">
        <f>data[[#This Row],[call]]-data[[#This Row],[delta_bs]]*data[[#This Row],[asset_price]]</f>
        <v>-108.23864026287299</v>
      </c>
      <c r="Z4" s="65">
        <f>(data[[#This Row],[delta_bs]]-P3)*data[[#This Row],[asset_price]]</f>
        <v>-2.8870272924222959</v>
      </c>
      <c r="AA4" s="65">
        <f>data[[#This Row],[cash_delta_bs]]+AA3*EXP(I3*(data[[#This Row],[ref_date]]-A3)/360)</f>
        <v>108.72709434357861</v>
      </c>
      <c r="AB4" s="65">
        <f>data[[#This Row],[portfolio_bs]]+data[[#This Row],[cash_acc_bs]]</f>
        <v>0.48845408070562257</v>
      </c>
      <c r="AC4" s="65">
        <f>data[[#This Row],[call]]-data[[#This Row],[delta_mv]]*data[[#This Row],[asset_price]]</f>
        <v>-23.083157570037386</v>
      </c>
      <c r="AD4" s="65">
        <f>(data[[#This Row],[delta_mv]]-X3)*data[[#This Row],[asset_price]]</f>
        <v>-8.5074102417756823</v>
      </c>
      <c r="AE4" s="65">
        <f>data[[#This Row],[cash_delta_mv]]+AE3*EXP(I3*(data[[#This Row],[ref_date]]-A3)/360)</f>
        <v>23.258704338451174</v>
      </c>
      <c r="AF4" s="65">
        <f>data[[#This Row],[portfolio_mv]]+data[[#This Row],[cash_acc_bs2]]</f>
        <v>0.17554676841378836</v>
      </c>
    </row>
    <row r="5" spans="1:32">
      <c r="A5" s="64">
        <v>45050</v>
      </c>
      <c r="B5" s="65">
        <v>12.74</v>
      </c>
      <c r="C5" s="65">
        <v>25.51</v>
      </c>
      <c r="D5" s="65">
        <v>304.7439</v>
      </c>
      <c r="E5" s="63" t="s">
        <v>125</v>
      </c>
      <c r="F5" s="63" t="s">
        <v>126</v>
      </c>
      <c r="G5">
        <v>320</v>
      </c>
      <c r="H5" s="64">
        <v>45156</v>
      </c>
      <c r="I5" s="66">
        <v>0.02</v>
      </c>
      <c r="J5" s="65">
        <v>0.29444444400000003</v>
      </c>
      <c r="K5" s="65" cm="1">
        <f t="array" ref="K5">CallOption(data[[#This Row],[asset_price]],data[[#This Row],[sigma_impl]]/100,0,data[[#This Row],[r]],data[[#This Row],[K]],data[[#This Row],[t]])</f>
        <v>11.31555840100711</v>
      </c>
      <c r="L5" s="65">
        <f>data[[#This Row],[call]]-K4</f>
        <v>0.90497689737789244</v>
      </c>
      <c r="M5" s="65">
        <f>data[[#This Row],[sigma_impl]]-C4</f>
        <v>0.91700000000000159</v>
      </c>
      <c r="N5" s="65">
        <f>SQRT(data[[#This Row],[t]])</f>
        <v>0.54262735279379348</v>
      </c>
      <c r="O5" s="65">
        <f>data[[#This Row],[asset_price]]-D4</f>
        <v>1.0077999999999747</v>
      </c>
      <c r="P5" s="65" cm="1">
        <f t="array" ref="P5">CallDelta(data[[#This Row],[asset_price]],data[[#This Row],[sigma_impl]]/100,0,data[[#This Row],[r]],data[[#This Row],[K]],data[[#This Row],[t]])</f>
        <v>0.40472307752004999</v>
      </c>
      <c r="Q5" s="65" cm="1">
        <f t="array" ref="Q5">CallVega(data[[#This Row],[asset_price]],data[[#This Row],[sigma_impl]]/100,0,data[[#This Row],[r]],data[[#This Row],[K]],data[[#This Row],[t]])</f>
        <v>64.079617535221246</v>
      </c>
      <c r="R5" s="65">
        <f>(data[[#This Row],[D_call]]-data[[#This Row],[delta_bs]]*data[[#This Row],[D_S]])*data[[#This Row],[sqrt_t]]*data[[#This Row],[asset_price]]</f>
        <v>82.201137560240255</v>
      </c>
      <c r="S5" s="65">
        <f>data[[#This Row],[vega_bs]]*data[[#This Row],[D_S]]</f>
        <v>64.579438551994357</v>
      </c>
      <c r="T5" s="65">
        <f>data[[#This Row],[y_num]]/data[[#This Row],[y_den]]</f>
        <v>1.2728685693676056</v>
      </c>
      <c r="U5" s="65">
        <f t="shared" si="2"/>
        <v>-4.3904110000000003</v>
      </c>
      <c r="V5" s="65">
        <f t="shared" si="0"/>
        <v>13.107970999999999</v>
      </c>
      <c r="W5" s="65">
        <f t="shared" si="1"/>
        <v>-9.5703019999999999</v>
      </c>
      <c r="X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0.1517038830724769</v>
      </c>
      <c r="Y5" s="65">
        <f>data[[#This Row],[call]]-data[[#This Row],[delta_bs]]*data[[#This Row],[asset_price]]</f>
        <v>-112.02133066245526</v>
      </c>
      <c r="Z5" s="65">
        <f>(data[[#This Row],[delta_bs]]-P4)*data[[#This Row],[asset_price]]</f>
        <v>4.2939877649707752</v>
      </c>
      <c r="AA5" s="65">
        <f>data[[#This Row],[cash_delta_bs]]+AA4*EXP(I4*(data[[#This Row],[ref_date]]-A4)/360)</f>
        <v>113.02712267047141</v>
      </c>
      <c r="AB5" s="65">
        <f>data[[#This Row],[portfolio_bs]]+data[[#This Row],[cash_acc_bs]]</f>
        <v>1.005792008016158</v>
      </c>
      <c r="AC5" s="65">
        <f>data[[#This Row],[call]]-data[[#This Row],[delta_mv]]*data[[#This Row],[asset_price]]</f>
        <v>-34.915274571643479</v>
      </c>
      <c r="AD5" s="65">
        <f>(data[[#This Row],[delta_mv]]-X4)*data[[#This Row],[asset_price]]</f>
        <v>12.625961273529064</v>
      </c>
      <c r="AE5" s="65">
        <f>data[[#This Row],[cash_delta_mv]]+AE4*EXP(I4*(data[[#This Row],[ref_date]]-A4)/360)</f>
        <v>35.885957798114987</v>
      </c>
      <c r="AF5" s="65">
        <f>data[[#This Row],[portfolio_mv]]+data[[#This Row],[cash_acc_bs2]]</f>
        <v>0.97068322647150751</v>
      </c>
    </row>
    <row r="6" spans="1:32">
      <c r="A6" s="64">
        <v>45051</v>
      </c>
      <c r="B6" s="65">
        <v>14.1</v>
      </c>
      <c r="C6" s="65">
        <v>24.573</v>
      </c>
      <c r="D6" s="65">
        <v>309.97250000000003</v>
      </c>
      <c r="E6" s="63" t="s">
        <v>125</v>
      </c>
      <c r="F6" s="63" t="s">
        <v>126</v>
      </c>
      <c r="G6">
        <v>320</v>
      </c>
      <c r="H6" s="64">
        <v>45156</v>
      </c>
      <c r="I6" s="66">
        <v>0.02</v>
      </c>
      <c r="J6" s="65">
        <v>0.29166666699999999</v>
      </c>
      <c r="K6" s="65" cm="1">
        <f t="array" ref="K6">CallOption(data[[#This Row],[asset_price]],data[[#This Row],[sigma_impl]]/100,0,data[[#This Row],[r]],data[[#This Row],[K]],data[[#This Row],[t]])</f>
        <v>12.849274106531013</v>
      </c>
      <c r="L6" s="65">
        <f>data[[#This Row],[call]]-K5</f>
        <v>1.5337157055239032</v>
      </c>
      <c r="M6" s="65">
        <f>data[[#This Row],[sigma_impl]]-C5</f>
        <v>-0.93700000000000117</v>
      </c>
      <c r="N6" s="65">
        <f>SQRT(data[[#This Row],[t]])</f>
        <v>0.54006172517592843</v>
      </c>
      <c r="O6" s="65">
        <f>data[[#This Row],[asset_price]]-D5</f>
        <v>5.2286000000000286</v>
      </c>
      <c r="P6" s="65" cm="1">
        <f t="array" ref="P6">CallDelta(data[[#This Row],[asset_price]],data[[#This Row],[sigma_impl]]/100,0,data[[#This Row],[r]],data[[#This Row],[K]],data[[#This Row],[t]])</f>
        <v>0.44844423111986254</v>
      </c>
      <c r="Q6" s="65" cm="1">
        <f t="array" ref="Q6">CallVega(data[[#This Row],[asset_price]],data[[#This Row],[sigma_impl]]/100,0,data[[#This Row],[r]],data[[#This Row],[K]],data[[#This Row],[t]])</f>
        <v>66.226193745262535</v>
      </c>
      <c r="R6" s="65">
        <f>(data[[#This Row],[D_call]]-data[[#This Row],[delta_bs]]*data[[#This Row],[D_S]])*data[[#This Row],[sqrt_t]]*data[[#This Row],[asset_price]]</f>
        <v>-135.76818842386294</v>
      </c>
      <c r="S6" s="65">
        <f>data[[#This Row],[vega_bs]]*data[[#This Row],[D_S]]</f>
        <v>346.27027661648157</v>
      </c>
      <c r="T6" s="65">
        <f>data[[#This Row],[y_num]]/data[[#This Row],[y_den]]</f>
        <v>-0.39208733059764078</v>
      </c>
      <c r="U6" s="65">
        <f t="shared" si="2"/>
        <v>-4.3904110000000003</v>
      </c>
      <c r="V6" s="65">
        <f t="shared" si="0"/>
        <v>13.107970999999999</v>
      </c>
      <c r="W6" s="65">
        <f t="shared" si="1"/>
        <v>-9.5703019999999999</v>
      </c>
      <c r="X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0.2756330687060673</v>
      </c>
      <c r="Y6" s="65">
        <f>data[[#This Row],[call]]-data[[#This Row],[delta_bs]]*data[[#This Row],[asset_price]]</f>
        <v>-126.1561053242706</v>
      </c>
      <c r="Z6" s="65">
        <f>(data[[#This Row],[delta_bs]]-P5)*data[[#This Row],[asset_price]]</f>
        <v>13.552355284217896</v>
      </c>
      <c r="AA6" s="65">
        <f>data[[#This Row],[cash_delta_bs]]+AA5*EXP(I5*(data[[#This Row],[ref_date]]-A5)/360)</f>
        <v>126.5857574137099</v>
      </c>
      <c r="AB6" s="65">
        <f>data[[#This Row],[portfolio_bs]]+data[[#This Row],[cash_acc_bs]]</f>
        <v>0.42965208943930122</v>
      </c>
      <c r="AC6" s="65">
        <f>data[[#This Row],[call]]-data[[#This Row],[delta_mv]]*data[[#This Row],[asset_price]]</f>
        <v>-72.589397282960434</v>
      </c>
      <c r="AD6" s="65">
        <f>(data[[#This Row],[delta_mv]]-X5)*data[[#This Row],[asset_price]]</f>
        <v>38.414639493808103</v>
      </c>
      <c r="AE6" s="65">
        <f>data[[#This Row],[cash_delta_mv]]+AE5*EXP(I5*(data[[#This Row],[ref_date]]-A5)/360)</f>
        <v>74.302591011625793</v>
      </c>
      <c r="AF6" s="65">
        <f>data[[#This Row],[portfolio_mv]]+data[[#This Row],[cash_acc_bs2]]</f>
        <v>1.7131937286653596</v>
      </c>
    </row>
    <row r="7" spans="1:32">
      <c r="A7" s="64">
        <v>45054</v>
      </c>
      <c r="B7" s="65">
        <v>12.3</v>
      </c>
      <c r="C7" s="65">
        <v>24.128</v>
      </c>
      <c r="D7" s="65">
        <v>307.97680000000003</v>
      </c>
      <c r="E7" s="63" t="s">
        <v>125</v>
      </c>
      <c r="F7" s="63" t="s">
        <v>126</v>
      </c>
      <c r="G7">
        <v>320</v>
      </c>
      <c r="H7" s="64">
        <v>45156</v>
      </c>
      <c r="I7" s="66">
        <v>0.02</v>
      </c>
      <c r="J7" s="65">
        <v>0.28333333300000002</v>
      </c>
      <c r="K7" s="65" cm="1">
        <f t="array" ref="K7">CallOption(data[[#This Row],[asset_price]],data[[#This Row],[sigma_impl]]/100,0,data[[#This Row],[r]],data[[#This Row],[K]],data[[#This Row],[t]])</f>
        <v>11.436684235997078</v>
      </c>
      <c r="L7" s="65">
        <f>data[[#This Row],[call]]-K6</f>
        <v>-1.4125898705339353</v>
      </c>
      <c r="M7" s="65">
        <f>data[[#This Row],[sigma_impl]]-C6</f>
        <v>-0.44500000000000028</v>
      </c>
      <c r="N7" s="65">
        <f>SQRT(data[[#This Row],[t]])</f>
        <v>0.53229064710926499</v>
      </c>
      <c r="O7" s="65">
        <f>data[[#This Row],[asset_price]]-D6</f>
        <v>-1.9956999999999994</v>
      </c>
      <c r="P7" s="65" cm="1">
        <f t="array" ref="P7">CallDelta(data[[#This Row],[asset_price]],data[[#This Row],[sigma_impl]]/100,0,data[[#This Row],[r]],data[[#This Row],[K]],data[[#This Row],[t]])</f>
        <v>0.42471347764114598</v>
      </c>
      <c r="Q7" s="65" cm="1">
        <f t="array" ref="Q7">CallVega(data[[#This Row],[asset_price]],data[[#This Row],[sigma_impl]]/100,0,data[[#This Row],[r]],data[[#This Row],[K]],data[[#This Row],[t]])</f>
        <v>64.231829183929392</v>
      </c>
      <c r="R7" s="65">
        <f>(data[[#This Row],[D_call]]-data[[#This Row],[delta_bs]]*data[[#This Row],[D_S]])*data[[#This Row],[sqrt_t]]*data[[#This Row],[asset_price]]</f>
        <v>-92.620467912738647</v>
      </c>
      <c r="S7" s="65">
        <f>data[[#This Row],[vega_bs]]*data[[#This Row],[D_S]]</f>
        <v>-128.18746150236785</v>
      </c>
      <c r="T7" s="65">
        <f>data[[#This Row],[y_num]]/data[[#This Row],[y_den]]</f>
        <v>0.72253921582671943</v>
      </c>
      <c r="U7" s="65">
        <f t="shared" si="2"/>
        <v>-4.3904110000000003</v>
      </c>
      <c r="V7" s="65">
        <f t="shared" si="0"/>
        <v>13.107970999999999</v>
      </c>
      <c r="W7" s="65">
        <f t="shared" si="1"/>
        <v>-9.5703019999999999</v>
      </c>
      <c r="X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0.209376703834703</v>
      </c>
      <c r="Y7" s="65">
        <f>data[[#This Row],[call]]-data[[#This Row],[delta_bs]]*data[[#This Row],[asset_price]]</f>
        <v>-119.36521352479461</v>
      </c>
      <c r="Z7" s="65">
        <f>(data[[#This Row],[delta_bs]]-P6)*data[[#This Row],[asset_price]]</f>
        <v>-7.3085215179639951</v>
      </c>
      <c r="AA7" s="65">
        <f>data[[#This Row],[cash_delta_bs]]+AA6*EXP(I6*(data[[#This Row],[ref_date]]-A6)/360)</f>
        <v>119.29833528021472</v>
      </c>
      <c r="AB7" s="65">
        <f>data[[#This Row],[portfolio_bs]]+data[[#This Row],[cash_acc_bs]]</f>
        <v>-6.6878244579896773E-2</v>
      </c>
      <c r="AC7" s="65">
        <f>data[[#This Row],[call]]-data[[#This Row],[delta_mv]]*data[[#This Row],[asset_price]]</f>
        <v>-53.046483005562493</v>
      </c>
      <c r="AD7" s="65">
        <f>(data[[#This Row],[delta_mv]]-X6)*data[[#This Row],[asset_price]]</f>
        <v>-20.40542323271519</v>
      </c>
      <c r="AE7" s="65">
        <f>data[[#This Row],[cash_delta_mv]]+AE6*EXP(I6*(data[[#This Row],[ref_date]]-A6)/360)</f>
        <v>53.909552576116965</v>
      </c>
      <c r="AF7" s="65">
        <f>data[[#This Row],[portfolio_mv]]+data[[#This Row],[cash_acc_bs2]]</f>
        <v>0.86306957055447242</v>
      </c>
    </row>
    <row r="8" spans="1:32">
      <c r="A8" s="64">
        <v>45055</v>
      </c>
      <c r="B8" s="65">
        <v>11.7</v>
      </c>
      <c r="C8" s="65">
        <v>24.187999999999999</v>
      </c>
      <c r="D8" s="65">
        <v>306.3304</v>
      </c>
      <c r="E8" s="63" t="s">
        <v>125</v>
      </c>
      <c r="F8" s="63" t="s">
        <v>126</v>
      </c>
      <c r="G8">
        <v>320</v>
      </c>
      <c r="H8" s="64">
        <v>45156</v>
      </c>
      <c r="I8" s="66">
        <v>0.02</v>
      </c>
      <c r="J8" s="65">
        <v>0.28055555599999998</v>
      </c>
      <c r="K8" s="65" cm="1">
        <f t="array" ref="K8">CallOption(data[[#This Row],[asset_price]],data[[#This Row],[sigma_impl]]/100,0,data[[#This Row],[r]],data[[#This Row],[K]],data[[#This Row],[t]])</f>
        <v>10.707238624442368</v>
      </c>
      <c r="L8" s="65">
        <f>data[[#This Row],[call]]-K7</f>
        <v>-0.72944561155470922</v>
      </c>
      <c r="M8" s="65">
        <f>data[[#This Row],[sigma_impl]]-C7</f>
        <v>5.9999999999998721E-2</v>
      </c>
      <c r="N8" s="65">
        <f>SQRT(data[[#This Row],[t]])</f>
        <v>0.52967495315523461</v>
      </c>
      <c r="O8" s="65">
        <f>data[[#This Row],[asset_price]]-D7</f>
        <v>-1.6464000000000283</v>
      </c>
      <c r="P8" s="65" cm="1">
        <f t="array" ref="P8">CallDelta(data[[#This Row],[asset_price]],data[[#This Row],[sigma_impl]]/100,0,data[[#This Row],[r]],data[[#This Row],[K]],data[[#This Row],[t]])</f>
        <v>0.4079198370189312</v>
      </c>
      <c r="Q8" s="65" cm="1">
        <f t="array" ref="Q8">CallVega(data[[#This Row],[asset_price]],data[[#This Row],[sigma_impl]]/100,0,data[[#This Row],[r]],data[[#This Row],[K]],data[[#This Row],[t]])</f>
        <v>62.998626753970996</v>
      </c>
      <c r="R8" s="65">
        <f>(data[[#This Row],[D_call]]-data[[#This Row],[delta_bs]]*data[[#This Row],[D_S]])*data[[#This Row],[sqrt_t]]*data[[#This Row],[asset_price]]</f>
        <v>-9.3858975682528207</v>
      </c>
      <c r="S8" s="65">
        <f>data[[#This Row],[vega_bs]]*data[[#This Row],[D_S]]</f>
        <v>-103.72093908773962</v>
      </c>
      <c r="T8" s="65">
        <f>data[[#This Row],[y_num]]/data[[#This Row],[y_den]]</f>
        <v>9.0491829815704833E-2</v>
      </c>
      <c r="U8" s="65">
        <f t="shared" si="2"/>
        <v>-4.3904110000000003</v>
      </c>
      <c r="V8" s="65">
        <f t="shared" si="0"/>
        <v>13.107970999999999</v>
      </c>
      <c r="W8" s="65">
        <f t="shared" si="1"/>
        <v>-9.5703019999999999</v>
      </c>
      <c r="X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0.16102241989223484</v>
      </c>
      <c r="Y8" s="65">
        <f>data[[#This Row],[call]]-data[[#This Row],[delta_bs]]*data[[#This Row],[asset_price]]</f>
        <v>-114.25100821750164</v>
      </c>
      <c r="Z8" s="65">
        <f>(data[[#This Row],[delta_bs]]-P7)*data[[#This Row],[asset_price]]</f>
        <v>-5.1444026492593018</v>
      </c>
      <c r="AA8" s="65">
        <f>data[[#This Row],[cash_delta_bs]]+AA7*EXP(I7*(data[[#This Row],[ref_date]]-A7)/360)</f>
        <v>114.16056050035452</v>
      </c>
      <c r="AB8" s="65">
        <f>data[[#This Row],[portfolio_bs]]+data[[#This Row],[cash_acc_bs]]</f>
        <v>-9.0447717147114304E-2</v>
      </c>
      <c r="AC8" s="65">
        <f>data[[#This Row],[call]]-data[[#This Row],[delta_mv]]*data[[#This Row],[asset_price]]</f>
        <v>-38.618823670113891</v>
      </c>
      <c r="AD8" s="65">
        <f>(data[[#This Row],[delta_mv]]-X7)*data[[#This Row],[asset_price]]</f>
        <v>-14.812387141809847</v>
      </c>
      <c r="AE8" s="65">
        <f>data[[#This Row],[cash_delta_mv]]+AE7*EXP(I7*(data[[#This Row],[ref_date]]-A7)/360)</f>
        <v>39.100160492645529</v>
      </c>
      <c r="AF8" s="65">
        <f>data[[#This Row],[portfolio_mv]]+data[[#This Row],[cash_acc_bs2]]</f>
        <v>0.48133682253163812</v>
      </c>
    </row>
    <row r="9" spans="1:32">
      <c r="A9" s="64">
        <v>45056</v>
      </c>
      <c r="B9" s="65">
        <v>13.9</v>
      </c>
      <c r="C9" s="65">
        <v>24.202000000000002</v>
      </c>
      <c r="D9" s="65">
        <v>311.62889999999999</v>
      </c>
      <c r="E9" s="63" t="s">
        <v>125</v>
      </c>
      <c r="F9" s="63" t="s">
        <v>126</v>
      </c>
      <c r="G9">
        <v>320</v>
      </c>
      <c r="H9" s="64">
        <v>45156</v>
      </c>
      <c r="I9" s="66">
        <v>0.02</v>
      </c>
      <c r="J9" s="65">
        <v>0.27777777799999998</v>
      </c>
      <c r="K9" s="65" cm="1">
        <f t="array" ref="K9">CallOption(data[[#This Row],[asset_price]],data[[#This Row],[sigma_impl]]/100,0,data[[#This Row],[r]],data[[#This Row],[K]],data[[#This Row],[t]])</f>
        <v>12.931115217542441</v>
      </c>
      <c r="L9" s="65">
        <f>data[[#This Row],[call]]-K8</f>
        <v>2.2238765931000728</v>
      </c>
      <c r="M9" s="65">
        <f>data[[#This Row],[sigma_impl]]-C8</f>
        <v>1.4000000000002899E-2</v>
      </c>
      <c r="N9" s="65">
        <f>SQRT(data[[#This Row],[t]])</f>
        <v>0.52704627690554839</v>
      </c>
      <c r="O9" s="65">
        <f>data[[#This Row],[asset_price]]-D8</f>
        <v>5.29849999999999</v>
      </c>
      <c r="P9" s="65" cm="1">
        <f t="array" ref="P9">CallDelta(data[[#This Row],[asset_price]],data[[#This Row],[sigma_impl]]/100,0,data[[#This Row],[r]],data[[#This Row],[K]],data[[#This Row],[t]])</f>
        <v>0.45998048845460893</v>
      </c>
      <c r="Q9" s="65" cm="1">
        <f t="array" ref="Q9">CallVega(data[[#This Row],[asset_price]],data[[#This Row],[sigma_impl]]/100,0,data[[#This Row],[r]],data[[#This Row],[K]],data[[#This Row],[t]])</f>
        <v>65.193464061731163</v>
      </c>
      <c r="R9" s="65">
        <f>(data[[#This Row],[D_call]]-data[[#This Row],[delta_bs]]*data[[#This Row],[D_S]])*data[[#This Row],[sqrt_t]]*data[[#This Row],[asset_price]]</f>
        <v>-35.037931617250656</v>
      </c>
      <c r="S9" s="65">
        <f>data[[#This Row],[vega_bs]]*data[[#This Row],[D_S]]</f>
        <v>345.42756933108194</v>
      </c>
      <c r="T9" s="65">
        <f>data[[#This Row],[y_num]]/data[[#This Row],[y_den]]</f>
        <v>-0.10143351234269275</v>
      </c>
      <c r="U9" s="65">
        <f t="shared" si="2"/>
        <v>-4.3904110000000003</v>
      </c>
      <c r="V9" s="65">
        <f t="shared" si="0"/>
        <v>13.107970999999999</v>
      </c>
      <c r="W9" s="65">
        <f t="shared" si="1"/>
        <v>-9.5703019999999999</v>
      </c>
      <c r="X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0.30680224013908219</v>
      </c>
      <c r="Y9" s="65">
        <f>data[[#This Row],[call]]-data[[#This Row],[delta_bs]]*data[[#This Row],[asset_price]]</f>
        <v>-130.41209842103004</v>
      </c>
      <c r="Z9" s="65">
        <f>(data[[#This Row],[delta_bs]]-P8)*data[[#This Row],[asset_price]]</f>
        <v>16.223603540183671</v>
      </c>
      <c r="AA9" s="65">
        <f>data[[#This Row],[cash_delta_bs]]+AA8*EXP(I8*(data[[#This Row],[ref_date]]-A8)/360)</f>
        <v>130.39050647007628</v>
      </c>
      <c r="AB9" s="65">
        <f>data[[#This Row],[portfolio_bs]]+data[[#This Row],[cash_acc_bs]]</f>
        <v>-2.1591950953762762E-2</v>
      </c>
      <c r="AC9" s="65">
        <f>data[[#This Row],[call]]-data[[#This Row],[delta_mv]]*data[[#This Row],[asset_price]]</f>
        <v>-82.67732939453559</v>
      </c>
      <c r="AD9" s="65">
        <f>(data[[#This Row],[delta_mv]]-X8)*data[[#This Row],[asset_price]]</f>
        <v>45.429205025722766</v>
      </c>
      <c r="AE9" s="65">
        <f>data[[#This Row],[cash_delta_mv]]+AE8*EXP(I8*(data[[#This Row],[ref_date]]-A8)/360)</f>
        <v>84.531537809847634</v>
      </c>
      <c r="AF9" s="65">
        <f>data[[#This Row],[portfolio_mv]]+data[[#This Row],[cash_acc_bs2]]</f>
        <v>1.8542084153120442</v>
      </c>
    </row>
    <row r="10" spans="1:32">
      <c r="A10" s="64">
        <v>45057</v>
      </c>
      <c r="B10" s="65">
        <v>12.6</v>
      </c>
      <c r="C10" s="65">
        <v>24.007000000000001</v>
      </c>
      <c r="D10" s="65">
        <v>309.43369999999999</v>
      </c>
      <c r="E10" s="63" t="s">
        <v>125</v>
      </c>
      <c r="F10" s="63" t="s">
        <v>126</v>
      </c>
      <c r="G10">
        <v>320</v>
      </c>
      <c r="H10" s="64">
        <v>45156</v>
      </c>
      <c r="I10" s="66">
        <v>0.02</v>
      </c>
      <c r="J10" s="65">
        <v>0.27500000000000002</v>
      </c>
      <c r="K10" s="65" cm="1">
        <f t="array" ref="K10">CallOption(data[[#This Row],[asset_price]],data[[#This Row],[sigma_impl]]/100,0,data[[#This Row],[r]],data[[#This Row],[K]],data[[#This Row],[t]])</f>
        <v>11.735961848777038</v>
      </c>
      <c r="L10" s="65">
        <f>data[[#This Row],[call]]-K9</f>
        <v>-1.1951533687654035</v>
      </c>
      <c r="M10" s="65">
        <f>data[[#This Row],[sigma_impl]]-C9</f>
        <v>-0.19500000000000028</v>
      </c>
      <c r="N10" s="65">
        <f>SQRT(data[[#This Row],[t]])</f>
        <v>0.52440442408507582</v>
      </c>
      <c r="O10" s="65">
        <f>data[[#This Row],[asset_price]]-D9</f>
        <v>-2.1951999999999998</v>
      </c>
      <c r="P10" s="65" cm="1">
        <f t="array" ref="P10">CallDelta(data[[#This Row],[asset_price]],data[[#This Row],[sigma_impl]]/100,0,data[[#This Row],[r]],data[[#This Row],[K]],data[[#This Row],[t]])</f>
        <v>0.4364107484497658</v>
      </c>
      <c r="Q10" s="65" cm="1">
        <f t="array" ref="Q10">CallVega(data[[#This Row],[asset_price]],data[[#This Row],[sigma_impl]]/100,0,data[[#This Row],[r]],data[[#This Row],[K]],data[[#This Row],[t]])</f>
        <v>63.911616480936232</v>
      </c>
      <c r="R10" s="65">
        <f>(data[[#This Row],[D_call]]-data[[#This Row],[delta_bs]]*data[[#This Row],[D_S]])*data[[#This Row],[sqrt_t]]*data[[#This Row],[asset_price]]</f>
        <v>-38.481057866920509</v>
      </c>
      <c r="S10" s="65">
        <f>data[[#This Row],[vega_bs]]*data[[#This Row],[D_S]]</f>
        <v>-140.2987804989512</v>
      </c>
      <c r="T10" s="65">
        <f>data[[#This Row],[y_num]]/data[[#This Row],[y_den]]</f>
        <v>0.27427934676316146</v>
      </c>
      <c r="U10" s="65">
        <f t="shared" si="2"/>
        <v>-4.3904110000000003</v>
      </c>
      <c r="V10" s="65">
        <f t="shared" si="0"/>
        <v>13.107970999999999</v>
      </c>
      <c r="W10" s="65">
        <f t="shared" si="1"/>
        <v>-9.5703019999999999</v>
      </c>
      <c r="X1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0.24237103854642084</v>
      </c>
      <c r="Y10" s="65">
        <f>data[[#This Row],[call]]-data[[#This Row],[delta_bs]]*data[[#This Row],[asset_price]]</f>
        <v>-123.30423076380325</v>
      </c>
      <c r="Z10" s="65">
        <f>(data[[#This Row],[delta_bs]]-P9)*data[[#This Row],[asset_price]]</f>
        <v>-7.2932718577366282</v>
      </c>
      <c r="AA10" s="65">
        <f>data[[#This Row],[cash_delta_bs]]+AA9*EXP(I9*(data[[#This Row],[ref_date]]-A9)/360)</f>
        <v>123.10447873058941</v>
      </c>
      <c r="AB10" s="65">
        <f>data[[#This Row],[portfolio_bs]]+data[[#This Row],[cash_acc_bs]]</f>
        <v>-0.19975203321384072</v>
      </c>
      <c r="AC10" s="65">
        <f>data[[#This Row],[call]]-data[[#This Row],[delta_mv]]*data[[#This Row],[asset_price]]</f>
        <v>-63.261805381484578</v>
      </c>
      <c r="AD10" s="65">
        <f>(data[[#This Row],[delta_mv]]-X9)*data[[#This Row],[asset_price]]</f>
        <v>-19.937185104263097</v>
      </c>
      <c r="AE10" s="65">
        <f>data[[#This Row],[cash_delta_mv]]+AE9*EXP(I9*(data[[#This Row],[ref_date]]-A9)/360)</f>
        <v>64.599049032581846</v>
      </c>
      <c r="AF10" s="65">
        <f>data[[#This Row],[portfolio_mv]]+data[[#This Row],[cash_acc_bs2]]</f>
        <v>1.3372436510972676</v>
      </c>
    </row>
    <row r="11" spans="1:32">
      <c r="A11" s="64">
        <v>45058</v>
      </c>
      <c r="B11" s="65">
        <v>11.76</v>
      </c>
      <c r="C11" s="65">
        <v>23.677</v>
      </c>
      <c r="D11" s="65">
        <v>308.29610000000002</v>
      </c>
      <c r="E11" s="63" t="s">
        <v>125</v>
      </c>
      <c r="F11" s="63" t="s">
        <v>126</v>
      </c>
      <c r="G11">
        <v>320</v>
      </c>
      <c r="H11" s="64">
        <v>45156</v>
      </c>
      <c r="I11" s="66">
        <v>0.02</v>
      </c>
      <c r="J11" s="65">
        <v>0.27222222200000001</v>
      </c>
      <c r="K11" s="65" cm="1">
        <f t="array" ref="K11">CallOption(data[[#This Row],[asset_price]],data[[#This Row],[sigma_impl]]/100,0,data[[#This Row],[r]],data[[#This Row],[K]],data[[#This Row],[t]])</f>
        <v>10.954573428364114</v>
      </c>
      <c r="L11" s="65">
        <f>data[[#This Row],[call]]-K10</f>
        <v>-0.78138842041292378</v>
      </c>
      <c r="M11" s="65">
        <f>data[[#This Row],[sigma_impl]]-C10</f>
        <v>-0.33000000000000185</v>
      </c>
      <c r="N11" s="65">
        <f>SQRT(data[[#This Row],[t]])</f>
        <v>0.52174919453699209</v>
      </c>
      <c r="O11" s="65">
        <f>data[[#This Row],[asset_price]]-D10</f>
        <v>-1.1375999999999635</v>
      </c>
      <c r="P11" s="65" cm="1">
        <f t="array" ref="P11">CallDelta(data[[#This Row],[asset_price]],data[[#This Row],[sigma_impl]]/100,0,data[[#This Row],[r]],data[[#This Row],[K]],data[[#This Row],[t]])</f>
        <v>0.42239159206537935</v>
      </c>
      <c r="Q11" s="65" cm="1">
        <f t="array" ref="Q11">CallVega(data[[#This Row],[asset_price]],data[[#This Row],[sigma_impl]]/100,0,data[[#This Row],[r]],data[[#This Row],[K]],data[[#This Row],[t]])</f>
        <v>62.953047640928567</v>
      </c>
      <c r="R11" s="65">
        <f>(data[[#This Row],[D_call]]-data[[#This Row],[delta_bs]]*data[[#This Row],[D_S]])*data[[#This Row],[sqrt_t]]*data[[#This Row],[asset_price]]</f>
        <v>-48.39683902339268</v>
      </c>
      <c r="S11" s="65">
        <f>data[[#This Row],[vega_bs]]*data[[#This Row],[D_S]]</f>
        <v>-71.615386996318037</v>
      </c>
      <c r="T11" s="65">
        <f>data[[#This Row],[y_num]]/data[[#This Row],[y_den]]</f>
        <v>0.67578827753707327</v>
      </c>
      <c r="U11" s="65">
        <f t="shared" si="2"/>
        <v>-4.3904110000000003</v>
      </c>
      <c r="V11" s="65">
        <f t="shared" si="0"/>
        <v>13.107970999999999</v>
      </c>
      <c r="W11" s="65">
        <f t="shared" si="1"/>
        <v>-9.5703019999999999</v>
      </c>
      <c r="X1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0.20275645191682615</v>
      </c>
      <c r="Y11" s="65">
        <f>data[[#This Row],[call]]-data[[#This Row],[delta_bs]]*data[[#This Row],[asset_price]]</f>
        <v>-119.2671070781833</v>
      </c>
      <c r="Z11" s="65">
        <f>(data[[#This Row],[delta_bs]]-P10)*data[[#This Row],[asset_price]]</f>
        <v>-4.3220512385964422</v>
      </c>
      <c r="AA11" s="65">
        <f>data[[#This Row],[cash_delta_bs]]+AA10*EXP(I10*(data[[#This Row],[ref_date]]-A10)/360)</f>
        <v>118.78926681967977</v>
      </c>
      <c r="AB11" s="65">
        <f>data[[#This Row],[portfolio_bs]]+data[[#This Row],[cash_acc_bs]]</f>
        <v>-0.47784025850353373</v>
      </c>
      <c r="AC11" s="65">
        <f>data[[#This Row],[call]]-data[[#This Row],[delta_mv]]*data[[#This Row],[asset_price]]</f>
        <v>-51.554449947430918</v>
      </c>
      <c r="AD11" s="65">
        <f>(data[[#This Row],[delta_mv]]-X10)*data[[#This Row],[asset_price]]</f>
        <v>-12.213022561016189</v>
      </c>
      <c r="AE11" s="65">
        <f>data[[#This Row],[cash_delta_mv]]+AE10*EXP(I10*(data[[#This Row],[ref_date]]-A10)/360)</f>
        <v>52.38961540731475</v>
      </c>
      <c r="AF11" s="65">
        <f>data[[#This Row],[portfolio_mv]]+data[[#This Row],[cash_acc_bs2]]</f>
        <v>0.83516545988383228</v>
      </c>
    </row>
    <row r="12" spans="1:32">
      <c r="A12" s="64">
        <v>45061</v>
      </c>
      <c r="B12" s="65">
        <v>11.5</v>
      </c>
      <c r="C12" s="65">
        <v>23.582999999999998</v>
      </c>
      <c r="D12" s="65">
        <v>308.7851</v>
      </c>
      <c r="E12" s="63" t="s">
        <v>125</v>
      </c>
      <c r="F12" s="63" t="s">
        <v>126</v>
      </c>
      <c r="G12">
        <v>320</v>
      </c>
      <c r="H12" s="64">
        <v>45156</v>
      </c>
      <c r="I12" s="66">
        <v>0.02</v>
      </c>
      <c r="J12" s="65">
        <v>0.26388888900000002</v>
      </c>
      <c r="K12" s="65" cm="1">
        <f t="array" ref="K12">CallOption(data[[#This Row],[asset_price]],data[[#This Row],[sigma_impl]]/100,0,data[[#This Row],[r]],data[[#This Row],[K]],data[[#This Row],[t]])</f>
        <v>10.853120554638522</v>
      </c>
      <c r="L12" s="65">
        <f>data[[#This Row],[call]]-K11</f>
        <v>-0.10145287372559153</v>
      </c>
      <c r="M12" s="65">
        <f>data[[#This Row],[sigma_impl]]-C11</f>
        <v>-9.4000000000001194E-2</v>
      </c>
      <c r="N12" s="65">
        <f>SQRT(data[[#This Row],[t]])</f>
        <v>0.51370116702222901</v>
      </c>
      <c r="O12" s="65">
        <f>data[[#This Row],[asset_price]]-D11</f>
        <v>0.4889999999999759</v>
      </c>
      <c r="P12" s="65" cm="1">
        <f t="array" ref="P12">CallDelta(data[[#This Row],[asset_price]],data[[#This Row],[sigma_impl]]/100,0,data[[#This Row],[r]],data[[#This Row],[K]],data[[#This Row],[t]])</f>
        <v>0.42451975493065564</v>
      </c>
      <c r="Q12" s="65" cm="1">
        <f t="array" ref="Q12">CallVega(data[[#This Row],[asset_price]],data[[#This Row],[sigma_impl]]/100,0,data[[#This Row],[r]],data[[#This Row],[K]],data[[#This Row],[t]])</f>
        <v>62.145476216588186</v>
      </c>
      <c r="R12" s="65">
        <f>(data[[#This Row],[D_call]]-data[[#This Row],[delta_bs]]*data[[#This Row],[D_S]])*data[[#This Row],[sqrt_t]]*data[[#This Row],[asset_price]]</f>
        <v>-49.021415440446816</v>
      </c>
      <c r="S12" s="65">
        <f>data[[#This Row],[vega_bs]]*data[[#This Row],[D_S]]</f>
        <v>30.389137869910126</v>
      </c>
      <c r="T12" s="65">
        <f>data[[#This Row],[y_num]]/data[[#This Row],[y_den]]</f>
        <v>-1.6131229405157124</v>
      </c>
      <c r="U12" s="65">
        <f t="shared" si="2"/>
        <v>-4.3904110000000003</v>
      </c>
      <c r="V12" s="65">
        <f t="shared" si="0"/>
        <v>13.107970999999999</v>
      </c>
      <c r="W12" s="65">
        <f t="shared" si="1"/>
        <v>-9.5703019999999999</v>
      </c>
      <c r="X1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0.20882521248580679</v>
      </c>
      <c r="Y12" s="65">
        <f>data[[#This Row],[call]]-data[[#This Row],[delta_bs]]*data[[#This Row],[asset_price]]</f>
        <v>-120.23225442359946</v>
      </c>
      <c r="Z12" s="65">
        <f>(data[[#This Row],[delta_bs]]-P11)*data[[#This Row],[asset_price]]</f>
        <v>0.65714498317062386</v>
      </c>
      <c r="AA12" s="65">
        <f>data[[#This Row],[cash_delta_bs]]+AA11*EXP(I11*(data[[#This Row],[ref_date]]-A11)/360)</f>
        <v>119.4662116639296</v>
      </c>
      <c r="AB12" s="65">
        <f>data[[#This Row],[portfolio_bs]]+data[[#This Row],[cash_acc_bs]]</f>
        <v>-0.76604275966985824</v>
      </c>
      <c r="AC12" s="65">
        <f>data[[#This Row],[call]]-data[[#This Row],[delta_mv]]*data[[#This Row],[asset_price]]</f>
        <v>-53.628993565312584</v>
      </c>
      <c r="AD12" s="65">
        <f>(data[[#This Row],[delta_mv]]-X11)*data[[#This Row],[asset_price]]</f>
        <v>1.8739428391687458</v>
      </c>
      <c r="AE12" s="65">
        <f>data[[#This Row],[cash_delta_mv]]+AE11*EXP(I11*(data[[#This Row],[ref_date]]-A11)/360)</f>
        <v>54.272290576725354</v>
      </c>
      <c r="AF12" s="65">
        <f>data[[#This Row],[portfolio_mv]]+data[[#This Row],[cash_acc_bs2]]</f>
        <v>0.64329701141276985</v>
      </c>
    </row>
    <row r="13" spans="1:32">
      <c r="A13" s="64">
        <v>45062</v>
      </c>
      <c r="B13" s="65">
        <v>12.92</v>
      </c>
      <c r="C13" s="65">
        <v>23.786000000000001</v>
      </c>
      <c r="D13" s="65">
        <v>311.06009999999998</v>
      </c>
      <c r="E13" s="63" t="s">
        <v>125</v>
      </c>
      <c r="F13" s="63" t="s">
        <v>126</v>
      </c>
      <c r="G13">
        <v>320</v>
      </c>
      <c r="H13" s="64">
        <v>45156</v>
      </c>
      <c r="I13" s="66">
        <v>0.02</v>
      </c>
      <c r="J13" s="65">
        <v>0.26111111100000001</v>
      </c>
      <c r="K13" s="65" cm="1">
        <f t="array" ref="K13">CallOption(data[[#This Row],[asset_price]],data[[#This Row],[sigma_impl]]/100,0,data[[#This Row],[r]],data[[#This Row],[K]],data[[#This Row],[t]])</f>
        <v>11.887911187457803</v>
      </c>
      <c r="L13" s="65">
        <f>data[[#This Row],[call]]-K12</f>
        <v>1.0347906328192806</v>
      </c>
      <c r="M13" s="65">
        <f>data[[#This Row],[sigma_impl]]-C12</f>
        <v>0.20300000000000296</v>
      </c>
      <c r="N13" s="65">
        <f>SQRT(data[[#This Row],[t]])</f>
        <v>0.51099032378314169</v>
      </c>
      <c r="O13" s="65">
        <f>data[[#This Row],[asset_price]]-D12</f>
        <v>2.2749999999999773</v>
      </c>
      <c r="P13" s="65" cm="1">
        <f t="array" ref="P13">CallDelta(data[[#This Row],[asset_price]],data[[#This Row],[sigma_impl]]/100,0,data[[#This Row],[r]],data[[#This Row],[K]],data[[#This Row],[t]])</f>
        <v>0.44852598524145681</v>
      </c>
      <c r="Q13" s="65" cm="1">
        <f t="array" ref="Q13">CallVega(data[[#This Row],[asset_price]],data[[#This Row],[sigma_impl]]/100,0,data[[#This Row],[r]],data[[#This Row],[K]],data[[#This Row],[t]])</f>
        <v>62.882794724154799</v>
      </c>
      <c r="R13" s="65">
        <f>(data[[#This Row],[D_call]]-data[[#This Row],[delta_bs]]*data[[#This Row],[D_S]])*data[[#This Row],[sqrt_t]]*data[[#This Row],[asset_price]]</f>
        <v>2.2879102112491685</v>
      </c>
      <c r="S13" s="65">
        <f>data[[#This Row],[vega_bs]]*data[[#This Row],[D_S]]</f>
        <v>143.05835799745074</v>
      </c>
      <c r="T13" s="65">
        <f>data[[#This Row],[y_num]]/data[[#This Row],[y_den]]</f>
        <v>1.5992845460241746E-2</v>
      </c>
      <c r="U13" s="65">
        <f t="shared" si="2"/>
        <v>-4.3904110000000003</v>
      </c>
      <c r="V13" s="65">
        <f t="shared" si="0"/>
        <v>13.107970999999999</v>
      </c>
      <c r="W13" s="65">
        <f t="shared" si="1"/>
        <v>-9.5703019999999999</v>
      </c>
      <c r="X1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0.27585650973310949</v>
      </c>
      <c r="Y13" s="65">
        <f>data[[#This Row],[call]]-data[[#This Row],[delta_bs]]*data[[#This Row],[asset_price]]</f>
        <v>-127.63062663434826</v>
      </c>
      <c r="Z13" s="65">
        <f>(data[[#This Row],[delta_bs]]-P12)*data[[#This Row],[asset_price]]</f>
        <v>7.4673804011008453</v>
      </c>
      <c r="AA13" s="65">
        <f>data[[#This Row],[cash_delta_bs]]+AA12*EXP(I12*(data[[#This Row],[ref_date]]-A12)/360)</f>
        <v>126.94022926115439</v>
      </c>
      <c r="AB13" s="65">
        <f>data[[#This Row],[portfolio_bs]]+data[[#This Row],[cash_acc_bs]]</f>
        <v>-0.69039737319387484</v>
      </c>
      <c r="AC13" s="65">
        <f>data[[#This Row],[call]]-data[[#This Row],[delta_mv]]*data[[#This Row],[asset_price]]</f>
        <v>-73.920042315774197</v>
      </c>
      <c r="AD13" s="65">
        <f>(data[[#This Row],[delta_mv]]-X12)*data[[#This Row],[asset_price]]</f>
        <v>20.850762024875699</v>
      </c>
      <c r="AE13" s="65">
        <f>data[[#This Row],[cash_delta_mv]]+AE12*EXP(I12*(data[[#This Row],[ref_date]]-A12)/360)</f>
        <v>75.126067812610387</v>
      </c>
      <c r="AF13" s="65">
        <f>data[[#This Row],[portfolio_mv]]+data[[#This Row],[cash_acc_bs2]]</f>
        <v>1.2060254968361903</v>
      </c>
    </row>
    <row r="14" spans="1:32">
      <c r="A14" s="64">
        <v>45063</v>
      </c>
      <c r="B14" s="65">
        <v>14</v>
      </c>
      <c r="C14" s="65">
        <v>23.117999999999999</v>
      </c>
      <c r="D14" s="65">
        <v>314</v>
      </c>
      <c r="E14" s="63" t="s">
        <v>125</v>
      </c>
      <c r="F14" s="63" t="s">
        <v>126</v>
      </c>
      <c r="G14">
        <v>320</v>
      </c>
      <c r="H14" s="64">
        <v>45156</v>
      </c>
      <c r="I14" s="66">
        <v>0.02</v>
      </c>
      <c r="J14" s="65">
        <v>0.258333333</v>
      </c>
      <c r="K14" s="65" cm="1">
        <f t="array" ref="K14">CallOption(data[[#This Row],[asset_price]],data[[#This Row],[sigma_impl]]/100,0,data[[#This Row],[r]],data[[#This Row],[K]],data[[#This Row],[t]])</f>
        <v>12.738384236431614</v>
      </c>
      <c r="L14" s="65">
        <f>data[[#This Row],[call]]-K13</f>
        <v>0.85047304897381082</v>
      </c>
      <c r="M14" s="65">
        <f>data[[#This Row],[sigma_impl]]-C13</f>
        <v>-0.66800000000000281</v>
      </c>
      <c r="N14" s="65">
        <f>SQRT(data[[#This Row],[t]])</f>
        <v>0.50826502240465066</v>
      </c>
      <c r="O14" s="65">
        <f>data[[#This Row],[asset_price]]-D13</f>
        <v>2.9399000000000228</v>
      </c>
      <c r="P14" s="65" cm="1">
        <f t="array" ref="P14">CallDelta(data[[#This Row],[asset_price]],data[[#This Row],[sigma_impl]]/100,0,data[[#This Row],[r]],data[[#This Row],[K]],data[[#This Row],[t]])</f>
        <v>0.4767281811898274</v>
      </c>
      <c r="Q14" s="65" cm="1">
        <f t="array" ref="Q14">CallVega(data[[#This Row],[asset_price]],data[[#This Row],[sigma_impl]]/100,0,data[[#This Row],[r]],data[[#This Row],[K]],data[[#This Row],[t]])</f>
        <v>63.5609223077903</v>
      </c>
      <c r="R14" s="65">
        <f>(data[[#This Row],[D_call]]-data[[#This Row],[delta_bs]]*data[[#This Row],[D_S]])*data[[#This Row],[sqrt_t]]*data[[#This Row],[asset_price]]</f>
        <v>-87.946561191339512</v>
      </c>
      <c r="S14" s="65">
        <f>data[[#This Row],[vega_bs]]*data[[#This Row],[D_S]]</f>
        <v>186.86275549267415</v>
      </c>
      <c r="T14" s="65">
        <f>data[[#This Row],[y_num]]/data[[#This Row],[y_den]]</f>
        <v>-0.47064788785471701</v>
      </c>
      <c r="U14" s="65">
        <f t="shared" si="2"/>
        <v>-4.3904110000000003</v>
      </c>
      <c r="V14" s="65">
        <f t="shared" si="0"/>
        <v>13.107970999999999</v>
      </c>
      <c r="W14" s="65">
        <f t="shared" si="1"/>
        <v>-9.5703019999999999</v>
      </c>
      <c r="X1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0.35067303765488067</v>
      </c>
      <c r="Y14" s="65">
        <f>data[[#This Row],[call]]-data[[#This Row],[delta_bs]]*data[[#This Row],[asset_price]]</f>
        <v>-136.95426465717418</v>
      </c>
      <c r="Z14" s="65">
        <f>(data[[#This Row],[delta_bs]]-P13)*data[[#This Row],[asset_price]]</f>
        <v>8.8554895277883645</v>
      </c>
      <c r="AA14" s="65">
        <f>data[[#This Row],[cash_delta_bs]]+AA13*EXP(I13*(data[[#This Row],[ref_date]]-A13)/360)</f>
        <v>135.80277121980072</v>
      </c>
      <c r="AB14" s="65">
        <f>data[[#This Row],[portfolio_bs]]+data[[#This Row],[cash_acc_bs]]</f>
        <v>-1.1514934373734604</v>
      </c>
      <c r="AC14" s="65">
        <f>data[[#This Row],[call]]-data[[#This Row],[delta_mv]]*data[[#This Row],[asset_price]]</f>
        <v>-97.372949587200921</v>
      </c>
      <c r="AD14" s="65">
        <f>(data[[#This Row],[delta_mv]]-X13)*data[[#This Row],[asset_price]]</f>
        <v>23.492389767436151</v>
      </c>
      <c r="AE14" s="65">
        <f>data[[#This Row],[cash_delta_mv]]+AE13*EXP(I13*(data[[#This Row],[ref_date]]-A13)/360)</f>
        <v>98.622631366418005</v>
      </c>
      <c r="AF14" s="65">
        <f>data[[#This Row],[portfolio_mv]]+data[[#This Row],[cash_acc_bs2]]</f>
        <v>1.2496817792170845</v>
      </c>
    </row>
    <row r="15" spans="1:32">
      <c r="A15" s="64">
        <v>45064</v>
      </c>
      <c r="B15" s="65">
        <v>16.149999999999999</v>
      </c>
      <c r="C15" s="65">
        <v>23.254999999999999</v>
      </c>
      <c r="D15" s="65">
        <v>318.52</v>
      </c>
      <c r="E15" s="63" t="s">
        <v>125</v>
      </c>
      <c r="F15" s="63" t="s">
        <v>126</v>
      </c>
      <c r="G15">
        <v>320</v>
      </c>
      <c r="H15" s="64">
        <v>45156</v>
      </c>
      <c r="I15" s="66">
        <v>0.02</v>
      </c>
      <c r="J15" s="65">
        <v>0.25555555600000002</v>
      </c>
      <c r="K15" s="65" cm="1">
        <f t="array" ref="K15">CallOption(data[[#This Row],[asset_price]],data[[#This Row],[sigma_impl]]/100,0,data[[#This Row],[r]],data[[#This Row],[K]],data[[#This Row],[t]])</f>
        <v>15.002168221270921</v>
      </c>
      <c r="L15" s="65">
        <f>data[[#This Row],[call]]-K14</f>
        <v>2.2637839848393071</v>
      </c>
      <c r="M15" s="65">
        <f>data[[#This Row],[sigma_impl]]-C14</f>
        <v>0.13700000000000045</v>
      </c>
      <c r="N15" s="65">
        <f>SQRT(data[[#This Row],[t]])</f>
        <v>0.50552503004302374</v>
      </c>
      <c r="O15" s="65">
        <f>data[[#This Row],[asset_price]]-D14</f>
        <v>4.5199999999999818</v>
      </c>
      <c r="P15" s="65" cm="1">
        <f t="array" ref="P15">CallDelta(data[[#This Row],[asset_price]],data[[#This Row],[sigma_impl]]/100,0,data[[#This Row],[r]],data[[#This Row],[K]],data[[#This Row],[t]])</f>
        <v>0.52504660969038264</v>
      </c>
      <c r="Q15" s="65" cm="1">
        <f t="array" ref="Q15">CallVega(data[[#This Row],[asset_price]],data[[#This Row],[sigma_impl]]/100,0,data[[#This Row],[r]],data[[#This Row],[K]],data[[#This Row],[t]])</f>
        <v>64.110977774675362</v>
      </c>
      <c r="R15" s="65">
        <f>(data[[#This Row],[D_call]]-data[[#This Row],[delta_bs]]*data[[#This Row],[D_S]])*data[[#This Row],[sqrt_t]]*data[[#This Row],[asset_price]]</f>
        <v>-17.619867457187432</v>
      </c>
      <c r="S15" s="65">
        <f>data[[#This Row],[vega_bs]]*data[[#This Row],[D_S]]</f>
        <v>289.78161954153148</v>
      </c>
      <c r="T15" s="65">
        <f>data[[#This Row],[y_num]]/data[[#This Row],[y_den]]</f>
        <v>-6.0803951213552226E-2</v>
      </c>
      <c r="U15" s="65">
        <f t="shared" si="2"/>
        <v>-4.3904110000000003</v>
      </c>
      <c r="V15" s="65">
        <f t="shared" si="0"/>
        <v>13.107970999999999</v>
      </c>
      <c r="W15" s="65">
        <f t="shared" si="1"/>
        <v>-9.5703019999999999</v>
      </c>
      <c r="X1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0.46675734007833525</v>
      </c>
      <c r="Y15" s="65">
        <f>data[[#This Row],[call]]-data[[#This Row],[delta_bs]]*data[[#This Row],[asset_price]]</f>
        <v>-152.23567789730976</v>
      </c>
      <c r="Z15" s="65">
        <f>(data[[#This Row],[delta_bs]]-P14)*data[[#This Row],[asset_price]]</f>
        <v>15.390385845996851</v>
      </c>
      <c r="AA15" s="65">
        <f>data[[#This Row],[cash_delta_bs]]+AA14*EXP(I14*(data[[#This Row],[ref_date]]-A14)/360)</f>
        <v>151.20070187377473</v>
      </c>
      <c r="AB15" s="65">
        <f>data[[#This Row],[portfolio_bs]]+data[[#This Row],[cash_acc_bs]]</f>
        <v>-1.0349760235350232</v>
      </c>
      <c r="AC15" s="65">
        <f>data[[#This Row],[call]]-data[[#This Row],[delta_mv]]*data[[#This Row],[asset_price]]</f>
        <v>-133.66937974048042</v>
      </c>
      <c r="AD15" s="65">
        <f>(data[[#This Row],[delta_mv]]-X14)*data[[#This Row],[asset_price]]</f>
        <v>36.975172007918751</v>
      </c>
      <c r="AE15" s="65">
        <f>data[[#This Row],[cash_delta_mv]]+AE14*EXP(I14*(data[[#This Row],[ref_date]]-A14)/360)</f>
        <v>135.60328256161088</v>
      </c>
      <c r="AF15" s="65">
        <f>data[[#This Row],[portfolio_mv]]+data[[#This Row],[cash_acc_bs2]]</f>
        <v>1.9339028211304594</v>
      </c>
    </row>
    <row r="16" spans="1:32">
      <c r="A16" s="64">
        <v>45065</v>
      </c>
      <c r="B16" s="65">
        <v>16.05</v>
      </c>
      <c r="C16" s="65">
        <v>23.126999999999999</v>
      </c>
      <c r="D16" s="65">
        <v>318.33999999999997</v>
      </c>
      <c r="E16" s="63" t="s">
        <v>125</v>
      </c>
      <c r="F16" s="63" t="s">
        <v>126</v>
      </c>
      <c r="G16">
        <v>320</v>
      </c>
      <c r="H16" s="64">
        <v>45156</v>
      </c>
      <c r="I16" s="66">
        <v>0.02</v>
      </c>
      <c r="J16" s="65">
        <v>0.25277777800000001</v>
      </c>
      <c r="K16" s="65" cm="1">
        <f t="array" ref="K16">CallOption(data[[#This Row],[asset_price]],data[[#This Row],[sigma_impl]]/100,0,data[[#This Row],[r]],data[[#This Row],[K]],data[[#This Row],[t]])</f>
        <v>14.736583742726879</v>
      </c>
      <c r="L16" s="65">
        <f>data[[#This Row],[call]]-K15</f>
        <v>-0.26558447854404221</v>
      </c>
      <c r="M16" s="65">
        <f>data[[#This Row],[sigma_impl]]-C15</f>
        <v>-0.12800000000000011</v>
      </c>
      <c r="N16" s="65">
        <f>SQRT(data[[#This Row],[t]])</f>
        <v>0.50277010452094306</v>
      </c>
      <c r="O16" s="65">
        <f>data[[#This Row],[asset_price]]-D15</f>
        <v>-0.18000000000000682</v>
      </c>
      <c r="P16" s="65" cm="1">
        <f t="array" ref="P16">CallDelta(data[[#This Row],[asset_price]],data[[#This Row],[sigma_impl]]/100,0,data[[#This Row],[r]],data[[#This Row],[K]],data[[#This Row],[t]])</f>
        <v>0.5226824398159956</v>
      </c>
      <c r="Q16" s="65" cm="1">
        <f t="array" ref="Q16">CallVega(data[[#This Row],[asset_price]],data[[#This Row],[sigma_impl]]/100,0,data[[#This Row],[r]],data[[#This Row],[K]],data[[#This Row],[t]])</f>
        <v>63.748212533430866</v>
      </c>
      <c r="R16" s="65">
        <f>(data[[#This Row],[D_call]]-data[[#This Row],[delta_bs]]*data[[#This Row],[D_S]])*data[[#This Row],[sqrt_t]]*data[[#This Row],[asset_price]]</f>
        <v>-27.449152100376033</v>
      </c>
      <c r="S16" s="65">
        <f>data[[#This Row],[vega_bs]]*data[[#This Row],[D_S]]</f>
        <v>-11.474678256017992</v>
      </c>
      <c r="T16" s="65">
        <f>data[[#This Row],[y_num]]/data[[#This Row],[y_den]]</f>
        <v>2.3921500444668324</v>
      </c>
      <c r="U16" s="65">
        <f t="shared" si="2"/>
        <v>-4.3904110000000003</v>
      </c>
      <c r="V16" s="65">
        <f t="shared" si="0"/>
        <v>13.107970999999999</v>
      </c>
      <c r="W16" s="65">
        <f t="shared" si="1"/>
        <v>-9.5703019999999999</v>
      </c>
      <c r="X1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0.46147135918390014</v>
      </c>
      <c r="Y16" s="65">
        <f>data[[#This Row],[call]]-data[[#This Row],[delta_bs]]*data[[#This Row],[asset_price]]</f>
        <v>-151.65414414829715</v>
      </c>
      <c r="Z16" s="65">
        <f>(data[[#This Row],[delta_bs]]-P15)*data[[#This Row],[asset_price]]</f>
        <v>-0.75260983781236845</v>
      </c>
      <c r="AA16" s="65">
        <f>data[[#This Row],[cash_delta_bs]]+AA15*EXP(I15*(data[[#This Row],[ref_date]]-A15)/360)</f>
        <v>150.45649230829406</v>
      </c>
      <c r="AB16" s="65">
        <f>data[[#This Row],[portfolio_bs]]+data[[#This Row],[cash_acc_bs]]</f>
        <v>-1.1976518400030898</v>
      </c>
      <c r="AC16" s="65">
        <f>data[[#This Row],[call]]-data[[#This Row],[delta_mv]]*data[[#This Row],[asset_price]]</f>
        <v>-132.16820873987589</v>
      </c>
      <c r="AD16" s="65">
        <f>(data[[#This Row],[delta_mv]]-X15)*data[[#This Row],[asset_price]]</f>
        <v>-1.6827391579344713</v>
      </c>
      <c r="AE16" s="65">
        <f>data[[#This Row],[cash_delta_mv]]+AE15*EXP(I15*(data[[#This Row],[ref_date]]-A15)/360)</f>
        <v>133.92807712864249</v>
      </c>
      <c r="AF16" s="65">
        <f>data[[#This Row],[portfolio_mv]]+data[[#This Row],[cash_acc_bs2]]</f>
        <v>1.7598683887665914</v>
      </c>
    </row>
    <row r="17" spans="1:32">
      <c r="A17" s="64">
        <v>45068</v>
      </c>
      <c r="B17" s="65">
        <v>17.649999999999999</v>
      </c>
      <c r="C17" s="65">
        <v>23.811</v>
      </c>
      <c r="D17" s="65">
        <v>321.18</v>
      </c>
      <c r="E17" s="63" t="s">
        <v>125</v>
      </c>
      <c r="F17" s="63" t="s">
        <v>126</v>
      </c>
      <c r="G17">
        <v>320</v>
      </c>
      <c r="H17" s="64">
        <v>45156</v>
      </c>
      <c r="I17" s="66">
        <v>0.02</v>
      </c>
      <c r="J17" s="65">
        <v>0.24444444400000001</v>
      </c>
      <c r="K17" s="65" cm="1">
        <f t="array" ref="K17">CallOption(data[[#This Row],[asset_price]],data[[#This Row],[sigma_impl]]/100,0,data[[#This Row],[r]],data[[#This Row],[K]],data[[#This Row],[t]])</f>
        <v>16.421335586524862</v>
      </c>
      <c r="L17" s="65">
        <f>data[[#This Row],[call]]-K16</f>
        <v>1.6847518437979829</v>
      </c>
      <c r="M17" s="65">
        <f>data[[#This Row],[sigma_impl]]-C16</f>
        <v>0.68400000000000105</v>
      </c>
      <c r="N17" s="65">
        <f>SQRT(data[[#This Row],[t]])</f>
        <v>0.49441323202357762</v>
      </c>
      <c r="O17" s="65">
        <f>data[[#This Row],[asset_price]]-D16</f>
        <v>2.8400000000000318</v>
      </c>
      <c r="P17" s="65" cm="1">
        <f t="array" ref="P17">CallDelta(data[[#This Row],[asset_price]],data[[#This Row],[sigma_impl]]/100,0,data[[#This Row],[r]],data[[#This Row],[K]],data[[#This Row],[t]])</f>
        <v>0.55237182231673532</v>
      </c>
      <c r="Q17" s="65" cm="1">
        <f t="array" ref="Q17">CallVega(data[[#This Row],[asset_price]],data[[#This Row],[sigma_impl]]/100,0,data[[#This Row],[r]],data[[#This Row],[K]],data[[#This Row],[t]])</f>
        <v>62.803633701161147</v>
      </c>
      <c r="R17" s="65">
        <f>(data[[#This Row],[D_call]]-data[[#This Row],[delta_bs]]*data[[#This Row],[D_S]])*data[[#This Row],[sqrt_t]]*data[[#This Row],[asset_price]]</f>
        <v>18.42281429160564</v>
      </c>
      <c r="S17" s="65">
        <f>data[[#This Row],[vega_bs]]*data[[#This Row],[D_S]]</f>
        <v>178.36231971129965</v>
      </c>
      <c r="T17" s="65">
        <f>data[[#This Row],[y_num]]/data[[#This Row],[y_den]]</f>
        <v>0.10328871210816908</v>
      </c>
      <c r="U17" s="65">
        <f t="shared" si="2"/>
        <v>-4.3904110000000003</v>
      </c>
      <c r="V17" s="65">
        <f t="shared" si="0"/>
        <v>13.107970999999999</v>
      </c>
      <c r="W17" s="65">
        <f t="shared" si="1"/>
        <v>-9.5703019999999999</v>
      </c>
      <c r="X1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0.52469620401041173</v>
      </c>
      <c r="Y17" s="65">
        <f>data[[#This Row],[call]]-data[[#This Row],[delta_bs]]*data[[#This Row],[asset_price]]</f>
        <v>-160.98944630516419</v>
      </c>
      <c r="Z17" s="65">
        <f>(data[[#This Row],[delta_bs]]-P16)*data[[#This Row],[asset_price]]</f>
        <v>9.5356358715875817</v>
      </c>
      <c r="AA17" s="65">
        <f>data[[#This Row],[cash_delta_bs]]+AA16*EXP(I16*(data[[#This Row],[ref_date]]-A16)/360)</f>
        <v>160.01720635172262</v>
      </c>
      <c r="AB17" s="65">
        <f>data[[#This Row],[portfolio_bs]]+data[[#This Row],[cash_acc_bs]]</f>
        <v>-0.97223995344157288</v>
      </c>
      <c r="AC17" s="65">
        <f>data[[#This Row],[call]]-data[[#This Row],[delta_mv]]*data[[#This Row],[asset_price]]</f>
        <v>-152.10059121753918</v>
      </c>
      <c r="AD17" s="65">
        <f>(data[[#This Row],[delta_mv]]-X16)*data[[#This Row],[asset_price]]</f>
        <v>20.30655566137899</v>
      </c>
      <c r="AE17" s="65">
        <f>data[[#This Row],[cash_delta_mv]]+AE16*EXP(I16*(data[[#This Row],[ref_date]]-A16)/360)</f>
        <v>154.25695599642509</v>
      </c>
      <c r="AF17" s="65">
        <f>data[[#This Row],[portfolio_mv]]+data[[#This Row],[cash_acc_bs2]]</f>
        <v>2.1563647788859157</v>
      </c>
    </row>
    <row r="18" spans="1:32">
      <c r="A18" s="64">
        <v>45069</v>
      </c>
      <c r="B18" s="65">
        <v>14.7</v>
      </c>
      <c r="C18" s="65">
        <v>24.190999999999999</v>
      </c>
      <c r="D18" s="65">
        <v>315.26</v>
      </c>
      <c r="E18" s="63" t="s">
        <v>125</v>
      </c>
      <c r="F18" s="63" t="s">
        <v>126</v>
      </c>
      <c r="G18">
        <v>320</v>
      </c>
      <c r="H18" s="64">
        <v>45156</v>
      </c>
      <c r="I18" s="66">
        <v>0.02</v>
      </c>
      <c r="J18" s="65">
        <v>0.241666667</v>
      </c>
      <c r="K18" s="65" cm="1">
        <f t="array" ref="K18">CallOption(data[[#This Row],[asset_price]],data[[#This Row],[sigma_impl]]/100,0,data[[#This Row],[r]],data[[#This Row],[K]],data[[#This Row],[t]])</f>
        <v>13.479309744575488</v>
      </c>
      <c r="L18" s="65">
        <f>data[[#This Row],[call]]-K17</f>
        <v>-2.9420258419493734</v>
      </c>
      <c r="M18" s="65">
        <f>data[[#This Row],[sigma_impl]]-C17</f>
        <v>0.37999999999999901</v>
      </c>
      <c r="N18" s="65">
        <f>SQRT(data[[#This Row],[t]])</f>
        <v>0.49159604046411925</v>
      </c>
      <c r="O18" s="65">
        <f>data[[#This Row],[asset_price]]-D17</f>
        <v>-5.9200000000000159</v>
      </c>
      <c r="P18" s="65" cm="1">
        <f t="array" ref="P18">CallDelta(data[[#This Row],[asset_price]],data[[#This Row],[sigma_impl]]/100,0,data[[#This Row],[r]],data[[#This Row],[K]],data[[#This Row],[t]])</f>
        <v>0.48987419032534008</v>
      </c>
      <c r="Q18" s="65" cm="1">
        <f t="array" ref="Q18">CallVega(data[[#This Row],[asset_price]],data[[#This Row],[sigma_impl]]/100,0,data[[#This Row],[r]],data[[#This Row],[K]],data[[#This Row],[t]])</f>
        <v>61.808384982640568</v>
      </c>
      <c r="R18" s="65">
        <f>(data[[#This Row],[D_call]]-data[[#This Row],[delta_bs]]*data[[#This Row],[D_S]])*data[[#This Row],[sqrt_t]]*data[[#This Row],[asset_price]]</f>
        <v>-6.5046328743464157</v>
      </c>
      <c r="S18" s="65">
        <f>data[[#This Row],[vega_bs]]*data[[#This Row],[D_S]]</f>
        <v>-365.90563909723312</v>
      </c>
      <c r="T18" s="65">
        <f>data[[#This Row],[y_num]]/data[[#This Row],[y_den]]</f>
        <v>1.7776804124677404E-2</v>
      </c>
      <c r="U18" s="65">
        <f t="shared" si="2"/>
        <v>-4.3904110000000003</v>
      </c>
      <c r="V18" s="65">
        <f t="shared" si="0"/>
        <v>13.107970999999999</v>
      </c>
      <c r="W18" s="65">
        <f t="shared" si="1"/>
        <v>-9.5703019999999999</v>
      </c>
      <c r="X1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0.38386788402696592</v>
      </c>
      <c r="Y18" s="65">
        <f>data[[#This Row],[call]]-data[[#This Row],[delta_bs]]*data[[#This Row],[asset_price]]</f>
        <v>-140.95842749739123</v>
      </c>
      <c r="Z18" s="65">
        <f>(data[[#This Row],[delta_bs]]-P17)*data[[#This Row],[asset_price]]</f>
        <v>-19.703003461607263</v>
      </c>
      <c r="AA18" s="65">
        <f>data[[#This Row],[cash_delta_bs]]+AA17*EXP(I17*(data[[#This Row],[ref_date]]-A17)/360)</f>
        <v>140.32309298185737</v>
      </c>
      <c r="AB18" s="65">
        <f>data[[#This Row],[portfolio_bs]]+data[[#This Row],[cash_acc_bs]]</f>
        <v>-0.63533451553385589</v>
      </c>
      <c r="AC18" s="65">
        <f>data[[#This Row],[call]]-data[[#This Row],[delta_mv]]*data[[#This Row],[asset_price]]</f>
        <v>-107.53887937376578</v>
      </c>
      <c r="AD18" s="65">
        <f>(data[[#This Row],[delta_mv]]-X17)*data[[#This Row],[asset_price]]</f>
        <v>-44.397536157981122</v>
      </c>
      <c r="AE18" s="65">
        <f>data[[#This Row],[cash_delta_mv]]+AE17*EXP(I17*(data[[#This Row],[ref_date]]-A17)/360)</f>
        <v>109.86798990738792</v>
      </c>
      <c r="AF18" s="65">
        <f>data[[#This Row],[portfolio_mv]]+data[[#This Row],[cash_acc_bs2]]</f>
        <v>2.329110533622142</v>
      </c>
    </row>
    <row r="19" spans="1:32">
      <c r="A19" s="64">
        <v>45070</v>
      </c>
      <c r="B19" s="65">
        <v>14.05</v>
      </c>
      <c r="C19" s="65">
        <v>24.841999999999999</v>
      </c>
      <c r="D19" s="65">
        <v>313.85000000000002</v>
      </c>
      <c r="E19" s="63" t="s">
        <v>125</v>
      </c>
      <c r="F19" s="63" t="s">
        <v>126</v>
      </c>
      <c r="G19">
        <v>320</v>
      </c>
      <c r="H19" s="64">
        <v>45156</v>
      </c>
      <c r="I19" s="66">
        <v>0.02</v>
      </c>
      <c r="J19" s="65">
        <v>0.23888888899999999</v>
      </c>
      <c r="K19" s="65" cm="1">
        <f t="array" ref="K19">CallOption(data[[#This Row],[asset_price]],data[[#This Row],[sigma_impl]]/100,0,data[[#This Row],[r]],data[[#This Row],[K]],data[[#This Row],[t]])</f>
        <v>13.103565289294238</v>
      </c>
      <c r="L19" s="65">
        <f>data[[#This Row],[call]]-K18</f>
        <v>-0.37574445528125011</v>
      </c>
      <c r="M19" s="65">
        <f>data[[#This Row],[sigma_impl]]-C18</f>
        <v>0.6509999999999998</v>
      </c>
      <c r="N19" s="65">
        <f>SQRT(data[[#This Row],[t]])</f>
        <v>0.48876261006750504</v>
      </c>
      <c r="O19" s="65">
        <f>data[[#This Row],[asset_price]]-D18</f>
        <v>-1.4099999999999682</v>
      </c>
      <c r="P19" s="65" cm="1">
        <f t="array" ref="P19">CallDelta(data[[#This Row],[asset_price]],data[[#This Row],[sigma_impl]]/100,0,data[[#This Row],[r]],data[[#This Row],[K]],data[[#This Row],[t]])</f>
        <v>0.47617045767075628</v>
      </c>
      <c r="Q19" s="65" cm="1">
        <f t="array" ref="Q19">CallVega(data[[#This Row],[asset_price]],data[[#This Row],[sigma_impl]]/100,0,data[[#This Row],[r]],data[[#This Row],[K]],data[[#This Row],[t]])</f>
        <v>61.087802442198573</v>
      </c>
      <c r="R19" s="65">
        <f>(data[[#This Row],[D_call]]-data[[#This Row],[delta_bs]]*data[[#This Row],[D_S]])*data[[#This Row],[sqrt_t]]*data[[#This Row],[asset_price]]</f>
        <v>45.353065139785258</v>
      </c>
      <c r="S19" s="65">
        <f>data[[#This Row],[vega_bs]]*data[[#This Row],[D_S]]</f>
        <v>-86.133801443498044</v>
      </c>
      <c r="T19" s="65">
        <f>data[[#This Row],[y_num]]/data[[#This Row],[y_den]]</f>
        <v>-0.52654201230786168</v>
      </c>
      <c r="U19" s="65">
        <f t="shared" si="2"/>
        <v>-4.3904110000000003</v>
      </c>
      <c r="V19" s="65">
        <f t="shared" si="0"/>
        <v>13.107970999999999</v>
      </c>
      <c r="W19" s="65">
        <f t="shared" si="1"/>
        <v>-9.5703019999999999</v>
      </c>
      <c r="X1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0.349239897975677</v>
      </c>
      <c r="Y19" s="65">
        <f>data[[#This Row],[call]]-data[[#This Row],[delta_bs]]*data[[#This Row],[asset_price]]</f>
        <v>-136.34253285067263</v>
      </c>
      <c r="Z19" s="65">
        <f>(data[[#This Row],[delta_bs]]-P18)*data[[#This Row],[asset_price]]</f>
        <v>-4.3009164936411262</v>
      </c>
      <c r="AA19" s="65">
        <f>data[[#This Row],[cash_delta_bs]]+AA18*EXP(I18*(data[[#This Row],[ref_date]]-A18)/360)</f>
        <v>136.02997243215611</v>
      </c>
      <c r="AB19" s="65">
        <f>data[[#This Row],[portfolio_bs]]+data[[#This Row],[cash_acc_bs]]</f>
        <v>-0.31256041851651162</v>
      </c>
      <c r="AC19" s="65">
        <f>data[[#This Row],[call]]-data[[#This Row],[delta_mv]]*data[[#This Row],[asset_price]]</f>
        <v>-96.505376690372003</v>
      </c>
      <c r="AD19" s="65">
        <f>(data[[#This Row],[delta_mv]]-X18)*data[[#This Row],[asset_price]]</f>
        <v>-10.867993422197028</v>
      </c>
      <c r="AE19" s="65">
        <f>data[[#This Row],[cash_delta_mv]]+AE18*EXP(I18*(data[[#This Row],[ref_date]]-A18)/360)</f>
        <v>99.006100431960462</v>
      </c>
      <c r="AF19" s="65">
        <f>data[[#This Row],[portfolio_mv]]+data[[#This Row],[cash_acc_bs2]]</f>
        <v>2.5007237415884589</v>
      </c>
    </row>
    <row r="20" spans="1:32">
      <c r="A20" s="64">
        <v>45071</v>
      </c>
      <c r="B20" s="65">
        <v>21.75</v>
      </c>
      <c r="C20" s="65">
        <v>26.414999999999999</v>
      </c>
      <c r="D20" s="65">
        <v>325.92</v>
      </c>
      <c r="E20" s="63" t="s">
        <v>125</v>
      </c>
      <c r="F20" s="63" t="s">
        <v>126</v>
      </c>
      <c r="G20">
        <v>320</v>
      </c>
      <c r="H20" s="64">
        <v>45156</v>
      </c>
      <c r="I20" s="66">
        <v>0.02</v>
      </c>
      <c r="J20" s="65">
        <v>0.23611111100000001</v>
      </c>
      <c r="K20" s="65" cm="1">
        <f t="array" ref="K20">CallOption(data[[#This Row],[asset_price]],data[[#This Row],[sigma_impl]]/100,0,data[[#This Row],[r]],data[[#This Row],[K]],data[[#This Row],[t]])</f>
        <v>20.466082037893955</v>
      </c>
      <c r="L20" s="65">
        <f>data[[#This Row],[call]]-K19</f>
        <v>7.3625167485997167</v>
      </c>
      <c r="M20" s="65">
        <f>data[[#This Row],[sigma_impl]]-C19</f>
        <v>1.5730000000000004</v>
      </c>
      <c r="N20" s="65">
        <f>SQRT(data[[#This Row],[t]])</f>
        <v>0.48591265778944265</v>
      </c>
      <c r="O20" s="65">
        <f>data[[#This Row],[asset_price]]-D19</f>
        <v>12.069999999999993</v>
      </c>
      <c r="P20" s="65" cm="1">
        <f t="array" ref="P20">CallDelta(data[[#This Row],[asset_price]],data[[#This Row],[sigma_impl]]/100,0,data[[#This Row],[r]],data[[#This Row],[K]],data[[#This Row],[t]])</f>
        <v>0.5963006558030558</v>
      </c>
      <c r="Q20" s="65" cm="1">
        <f t="array" ref="Q20">CallVega(data[[#This Row],[asset_price]],data[[#This Row],[sigma_impl]]/100,0,data[[#This Row],[r]],data[[#This Row],[K]],data[[#This Row],[t]])</f>
        <v>61.330168634196717</v>
      </c>
      <c r="R20" s="65">
        <f>(data[[#This Row],[D_call]]-data[[#This Row],[delta_bs]]*data[[#This Row],[D_S]])*data[[#This Row],[sqrt_t]]*data[[#This Row],[asset_price]]</f>
        <v>26.157407310623093</v>
      </c>
      <c r="S20" s="65">
        <f>data[[#This Row],[vega_bs]]*data[[#This Row],[D_S]]</f>
        <v>740.25513541475391</v>
      </c>
      <c r="T20" s="65">
        <f>data[[#This Row],[y_num]]/data[[#This Row],[y_den]]</f>
        <v>3.5335664771805317E-2</v>
      </c>
      <c r="U20" s="65">
        <f t="shared" si="2"/>
        <v>-4.3904110000000003</v>
      </c>
      <c r="V20" s="65">
        <f t="shared" si="0"/>
        <v>13.107970999999999</v>
      </c>
      <c r="W20" s="65">
        <f t="shared" si="1"/>
        <v>-9.5703019999999999</v>
      </c>
      <c r="X2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0.60517887904992207</v>
      </c>
      <c r="Y20" s="65">
        <f>data[[#This Row],[call]]-data[[#This Row],[delta_bs]]*data[[#This Row],[asset_price]]</f>
        <v>-173.880227701438</v>
      </c>
      <c r="Z20" s="65">
        <f>(data[[#This Row],[delta_bs]]-P19)*data[[#This Row],[asset_price]]</f>
        <v>39.152834175279061</v>
      </c>
      <c r="AA20" s="65">
        <f>data[[#This Row],[cash_delta_bs]]+AA19*EXP(I19*(data[[#This Row],[ref_date]]-A19)/360)</f>
        <v>175.19036403805251</v>
      </c>
      <c r="AB20" s="65">
        <f>data[[#This Row],[portfolio_bs]]+data[[#This Row],[cash_acc_bs]]</f>
        <v>1.3101363366145051</v>
      </c>
      <c r="AC20" s="65">
        <f>data[[#This Row],[call]]-data[[#This Row],[delta_mv]]*data[[#This Row],[asset_price]]</f>
        <v>-176.77381822205666</v>
      </c>
      <c r="AD20" s="65">
        <f>(data[[#This Row],[delta_mv]]-X19)*data[[#This Row],[asset_price]]</f>
        <v>83.415632711717961</v>
      </c>
      <c r="AE20" s="65">
        <f>data[[#This Row],[cash_delta_mv]]+AE19*EXP(I19*(data[[#This Row],[ref_date]]-A19)/360)</f>
        <v>182.42723363538133</v>
      </c>
      <c r="AF20" s="65">
        <f>data[[#This Row],[portfolio_mv]]+data[[#This Row],[cash_acc_bs2]]</f>
        <v>5.6534154133246659</v>
      </c>
    </row>
    <row r="21" spans="1:32">
      <c r="A21" s="64">
        <v>45072</v>
      </c>
      <c r="B21" s="65">
        <v>26.71</v>
      </c>
      <c r="C21" s="65">
        <v>27.035</v>
      </c>
      <c r="D21" s="65">
        <v>332.89</v>
      </c>
      <c r="E21" s="63" t="s">
        <v>125</v>
      </c>
      <c r="F21" s="63" t="s">
        <v>126</v>
      </c>
      <c r="G21">
        <v>320</v>
      </c>
      <c r="H21" s="64">
        <v>45156</v>
      </c>
      <c r="I21" s="66">
        <v>0.02</v>
      </c>
      <c r="J21" s="65">
        <v>0.233333333</v>
      </c>
      <c r="K21" s="65" cm="1">
        <f t="array" ref="K21">CallOption(data[[#This Row],[asset_price]],data[[#This Row],[sigma_impl]]/100,0,data[[#This Row],[r]],data[[#This Row],[K]],data[[#This Row],[t]])</f>
        <v>25.105030746650158</v>
      </c>
      <c r="L21" s="65">
        <f>data[[#This Row],[call]]-K20</f>
        <v>4.6389487087562031</v>
      </c>
      <c r="M21" s="65">
        <f>data[[#This Row],[sigma_impl]]-C20</f>
        <v>0.62000000000000099</v>
      </c>
      <c r="N21" s="65">
        <f>SQRT(data[[#This Row],[t]])</f>
        <v>0.48304589119461516</v>
      </c>
      <c r="O21" s="65">
        <f>data[[#This Row],[asset_price]]-D20</f>
        <v>6.9699999999999704</v>
      </c>
      <c r="P21" s="65" cm="1">
        <f t="array" ref="P21">CallDelta(data[[#This Row],[asset_price]],data[[#This Row],[sigma_impl]]/100,0,data[[#This Row],[r]],data[[#This Row],[K]],data[[#This Row],[t]])</f>
        <v>0.65668491966625275</v>
      </c>
      <c r="Q21" s="65" cm="1">
        <f t="array" ref="Q21">CallVega(data[[#This Row],[asset_price]],data[[#This Row],[sigma_impl]]/100,0,data[[#This Row],[r]],data[[#This Row],[K]],data[[#This Row],[t]])</f>
        <v>59.136661676324103</v>
      </c>
      <c r="R21" s="65">
        <f>(data[[#This Row],[D_call]]-data[[#This Row],[delta_bs]]*data[[#This Row],[D_S]])*data[[#This Row],[sqrt_t]]*data[[#This Row],[asset_price]]</f>
        <v>9.9463257742803428</v>
      </c>
      <c r="S21" s="65">
        <f>data[[#This Row],[vega_bs]]*data[[#This Row],[D_S]]</f>
        <v>412.18253188397722</v>
      </c>
      <c r="T21" s="65">
        <f>data[[#This Row],[y_num]]/data[[#This Row],[y_den]]</f>
        <v>2.4130876504684276E-2</v>
      </c>
      <c r="U21" s="65">
        <f t="shared" si="2"/>
        <v>-4.3904110000000003</v>
      </c>
      <c r="V21" s="65">
        <f t="shared" si="0"/>
        <v>13.107970999999999</v>
      </c>
      <c r="W21" s="65">
        <f t="shared" si="1"/>
        <v>-9.5703019999999999</v>
      </c>
      <c r="X2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0.68991077016127467</v>
      </c>
      <c r="Y21" s="65">
        <f>data[[#This Row],[call]]-data[[#This Row],[delta_bs]]*data[[#This Row],[asset_price]]</f>
        <v>-193.4988121610487</v>
      </c>
      <c r="Z21" s="65">
        <f>(data[[#This Row],[delta_bs]]-P20)*data[[#This Row],[asset_price]]</f>
        <v>20.101317597419634</v>
      </c>
      <c r="AA21" s="65">
        <f>data[[#This Row],[cash_delta_bs]]+AA20*EXP(I20*(data[[#This Row],[ref_date]]-A20)/360)</f>
        <v>195.30141470383475</v>
      </c>
      <c r="AB21" s="65">
        <f>data[[#This Row],[portfolio_bs]]+data[[#This Row],[cash_acc_bs]]</f>
        <v>1.8026025427860475</v>
      </c>
      <c r="AC21" s="65">
        <f>data[[#This Row],[call]]-data[[#This Row],[delta_mv]]*data[[#This Row],[asset_price]]</f>
        <v>-204.55936553233656</v>
      </c>
      <c r="AD21" s="65">
        <f>(data[[#This Row],[delta_mv]]-X20)*data[[#This Row],[asset_price]]</f>
        <v>28.206399232058164</v>
      </c>
      <c r="AE21" s="65">
        <f>data[[#This Row],[cash_delta_mv]]+AE20*EXP(I20*(data[[#This Row],[ref_date]]-A20)/360)</f>
        <v>210.64376799528128</v>
      </c>
      <c r="AF21" s="65">
        <f>data[[#This Row],[portfolio_mv]]+data[[#This Row],[cash_acc_bs2]]</f>
        <v>6.0844024629447233</v>
      </c>
    </row>
    <row r="22" spans="1:32">
      <c r="A22" s="64">
        <v>45076</v>
      </c>
      <c r="B22" s="65">
        <v>24.3</v>
      </c>
      <c r="C22" s="65">
        <v>26.888999999999999</v>
      </c>
      <c r="D22" s="65">
        <v>331.21</v>
      </c>
      <c r="E22" s="63" t="s">
        <v>125</v>
      </c>
      <c r="F22" s="63" t="s">
        <v>126</v>
      </c>
      <c r="G22">
        <v>320</v>
      </c>
      <c r="H22" s="64">
        <v>45156</v>
      </c>
      <c r="I22" s="66">
        <v>0.02</v>
      </c>
      <c r="J22" s="65">
        <v>0.222222222</v>
      </c>
      <c r="K22" s="65" cm="1">
        <f t="array" ref="K22">CallOption(data[[#This Row],[asset_price]],data[[#This Row],[sigma_impl]]/100,0,data[[#This Row],[r]],data[[#This Row],[K]],data[[#This Row],[t]])</f>
        <v>23.498010240227785</v>
      </c>
      <c r="L22" s="65">
        <f>data[[#This Row],[call]]-K21</f>
        <v>-1.6070205064223728</v>
      </c>
      <c r="M22" s="65">
        <f>data[[#This Row],[sigma_impl]]-C21</f>
        <v>-0.1460000000000008</v>
      </c>
      <c r="N22" s="65">
        <f>SQRT(data[[#This Row],[t]])</f>
        <v>0.47140452055532944</v>
      </c>
      <c r="O22" s="65">
        <f>data[[#This Row],[asset_price]]-D21</f>
        <v>-1.6800000000000068</v>
      </c>
      <c r="P22" s="65" cm="1">
        <f t="array" ref="P22">CallDelta(data[[#This Row],[asset_price]],data[[#This Row],[sigma_impl]]/100,0,data[[#This Row],[r]],data[[#This Row],[K]],data[[#This Row],[t]])</f>
        <v>0.64433777842348083</v>
      </c>
      <c r="Q22" s="65" cm="1">
        <f t="array" ref="Q22">CallVega(data[[#This Row],[asset_price]],data[[#This Row],[sigma_impl]]/100,0,data[[#This Row],[r]],data[[#This Row],[K]],data[[#This Row],[t]])</f>
        <v>58.165739036016888</v>
      </c>
      <c r="R22" s="65">
        <f>(data[[#This Row],[D_call]]-data[[#This Row],[delta_bs]]*data[[#This Row],[D_S]])*data[[#This Row],[sqrt_t]]*data[[#This Row],[asset_price]]</f>
        <v>-81.897384418519692</v>
      </c>
      <c r="S22" s="65">
        <f>data[[#This Row],[vega_bs]]*data[[#This Row],[D_S]]</f>
        <v>-97.718441580508767</v>
      </c>
      <c r="T22" s="65">
        <f>data[[#This Row],[y_num]]/data[[#This Row],[y_den]]</f>
        <v>0.83809548222323682</v>
      </c>
      <c r="U22" s="65">
        <f t="shared" si="2"/>
        <v>-4.3904110000000003</v>
      </c>
      <c r="V22" s="65">
        <f t="shared" si="0"/>
        <v>13.107970999999999</v>
      </c>
      <c r="W22" s="65">
        <f t="shared" si="1"/>
        <v>-9.5703019999999999</v>
      </c>
      <c r="X2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0.6749739297730627</v>
      </c>
      <c r="Y22" s="65">
        <f>data[[#This Row],[call]]-data[[#This Row],[delta_bs]]*data[[#This Row],[asset_price]]</f>
        <v>-189.91310535141329</v>
      </c>
      <c r="Z22" s="65">
        <f>(data[[#This Row],[delta_bs]]-P21)*data[[#This Row],[asset_price]]</f>
        <v>-4.0894966510184876</v>
      </c>
      <c r="AA22" s="65">
        <f>data[[#This Row],[cash_delta_bs]]+AA21*EXP(I21*(data[[#This Row],[ref_date]]-A21)/360)</f>
        <v>191.25532318980927</v>
      </c>
      <c r="AB22" s="65">
        <f>data[[#This Row],[portfolio_bs]]+data[[#This Row],[cash_acc_bs]]</f>
        <v>1.3422178383959817</v>
      </c>
      <c r="AC22" s="65">
        <f>data[[#This Row],[call]]-data[[#This Row],[delta_mv]]*data[[#This Row],[asset_price]]</f>
        <v>-200.06010503990831</v>
      </c>
      <c r="AD22" s="65">
        <f>(data[[#This Row],[delta_mv]]-X21)*data[[#This Row],[asset_price]]</f>
        <v>-4.9472309049796861</v>
      </c>
      <c r="AE22" s="65">
        <f>data[[#This Row],[cash_delta_mv]]+AE21*EXP(I21*(data[[#This Row],[ref_date]]-A21)/360)</f>
        <v>205.74335201798877</v>
      </c>
      <c r="AF22" s="65">
        <f>data[[#This Row],[portfolio_mv]]+data[[#This Row],[cash_acc_bs2]]</f>
        <v>5.6832469780804615</v>
      </c>
    </row>
    <row r="23" spans="1:32">
      <c r="A23" s="64">
        <v>45077</v>
      </c>
      <c r="B23" s="65">
        <v>23.86</v>
      </c>
      <c r="C23" s="65">
        <v>26.123000000000001</v>
      </c>
      <c r="D23" s="65">
        <v>328.39</v>
      </c>
      <c r="E23" s="63" t="s">
        <v>125</v>
      </c>
      <c r="F23" s="63" t="s">
        <v>126</v>
      </c>
      <c r="G23">
        <v>320</v>
      </c>
      <c r="H23" s="64">
        <v>45156</v>
      </c>
      <c r="I23" s="66">
        <v>0.02</v>
      </c>
      <c r="J23" s="65">
        <v>0.21944444399999999</v>
      </c>
      <c r="K23" s="65" cm="1">
        <f t="array" ref="K23">CallOption(data[[#This Row],[asset_price]],data[[#This Row],[sigma_impl]]/100,0,data[[#This Row],[r]],data[[#This Row],[K]],data[[#This Row],[t]])</f>
        <v>21.158479465576704</v>
      </c>
      <c r="L23" s="65">
        <f>data[[#This Row],[call]]-K22</f>
        <v>-2.3395307746510809</v>
      </c>
      <c r="M23" s="65">
        <f>data[[#This Row],[sigma_impl]]-C22</f>
        <v>-0.76599999999999824</v>
      </c>
      <c r="N23" s="65">
        <f>SQRT(data[[#This Row],[t]])</f>
        <v>0.46844897694412779</v>
      </c>
      <c r="O23" s="65">
        <f>data[[#This Row],[asset_price]]-D22</f>
        <v>-2.8199999999999932</v>
      </c>
      <c r="P23" s="65" cm="1">
        <f t="array" ref="P23">CallDelta(data[[#This Row],[asset_price]],data[[#This Row],[sigma_impl]]/100,0,data[[#This Row],[r]],data[[#This Row],[K]],data[[#This Row],[t]])</f>
        <v>0.62116557633198544</v>
      </c>
      <c r="Q23" s="65" cm="1">
        <f t="array" ref="Q23">CallVega(data[[#This Row],[asset_price]],data[[#This Row],[sigma_impl]]/100,0,data[[#This Row],[r]],data[[#This Row],[K]],data[[#This Row],[t]])</f>
        <v>58.518077728177154</v>
      </c>
      <c r="R23" s="65">
        <f>(data[[#This Row],[D_call]]-data[[#This Row],[delta_bs]]*data[[#This Row],[D_S]])*data[[#This Row],[sqrt_t]]*data[[#This Row],[asset_price]]</f>
        <v>-90.430346942876099</v>
      </c>
      <c r="S23" s="65">
        <f>data[[#This Row],[vega_bs]]*data[[#This Row],[D_S]]</f>
        <v>-165.02097919345917</v>
      </c>
      <c r="T23" s="65">
        <f>data[[#This Row],[y_num]]/data[[#This Row],[y_den]]</f>
        <v>0.54799303327888893</v>
      </c>
      <c r="U23" s="65">
        <f t="shared" si="2"/>
        <v>-4.3904110000000003</v>
      </c>
      <c r="V23" s="65">
        <f t="shared" si="0"/>
        <v>13.107970999999999</v>
      </c>
      <c r="W23" s="65">
        <f t="shared" si="1"/>
        <v>-9.5703019999999999</v>
      </c>
      <c r="X2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0.64366235930979498</v>
      </c>
      <c r="Y23" s="65">
        <f>data[[#This Row],[call]]-data[[#This Row],[delta_bs]]*data[[#This Row],[asset_price]]</f>
        <v>-182.82608414608399</v>
      </c>
      <c r="Z23" s="65">
        <f>(data[[#This Row],[delta_bs]]-P22)*data[[#This Row],[asset_price]]</f>
        <v>-7.6095194448261729</v>
      </c>
      <c r="AA23" s="65">
        <f>data[[#This Row],[cash_delta_bs]]+AA22*EXP(I22*(data[[#This Row],[ref_date]]-A22)/360)</f>
        <v>183.65642933586844</v>
      </c>
      <c r="AB23" s="65">
        <f>data[[#This Row],[portfolio_bs]]+data[[#This Row],[cash_acc_bs]]</f>
        <v>0.83034518978445249</v>
      </c>
      <c r="AC23" s="65">
        <f>data[[#This Row],[call]]-data[[#This Row],[delta_mv]]*data[[#This Row],[asset_price]]</f>
        <v>-190.21380270816687</v>
      </c>
      <c r="AD23" s="65">
        <f>(data[[#This Row],[delta_mv]]-X22)*data[[#This Row],[asset_price]]</f>
        <v>-10.282406624432484</v>
      </c>
      <c r="AE23" s="65">
        <f>data[[#This Row],[cash_delta_mv]]+AE22*EXP(I22*(data[[#This Row],[ref_date]]-A22)/360)</f>
        <v>195.47237589729053</v>
      </c>
      <c r="AF23" s="65">
        <f>data[[#This Row],[portfolio_mv]]+data[[#This Row],[cash_acc_bs2]]</f>
        <v>5.2585731891236662</v>
      </c>
    </row>
    <row r="24" spans="1:32">
      <c r="A24" s="64">
        <v>45078</v>
      </c>
      <c r="B24" s="65">
        <v>24.8</v>
      </c>
      <c r="C24" s="65">
        <v>26.030999999999999</v>
      </c>
      <c r="D24" s="65">
        <v>332.58</v>
      </c>
      <c r="E24" s="63" t="s">
        <v>125</v>
      </c>
      <c r="F24" s="63" t="s">
        <v>126</v>
      </c>
      <c r="G24">
        <v>320</v>
      </c>
      <c r="H24" s="64">
        <v>45156</v>
      </c>
      <c r="I24" s="66">
        <v>0.02</v>
      </c>
      <c r="J24" s="65">
        <v>0.21666666700000001</v>
      </c>
      <c r="K24" s="65" cm="1">
        <f t="array" ref="K24">CallOption(data[[#This Row],[asset_price]],data[[#This Row],[sigma_impl]]/100,0,data[[#This Row],[r]],data[[#This Row],[K]],data[[#This Row],[t]])</f>
        <v>23.685287143020389</v>
      </c>
      <c r="L24" s="65">
        <f>data[[#This Row],[call]]-K23</f>
        <v>2.526807677443685</v>
      </c>
      <c r="M24" s="65">
        <f>data[[#This Row],[sigma_impl]]-C23</f>
        <v>-9.2000000000002302E-2</v>
      </c>
      <c r="N24" s="65">
        <f>SQRT(data[[#This Row],[t]])</f>
        <v>0.46547466848368879</v>
      </c>
      <c r="O24" s="65">
        <f>data[[#This Row],[asset_price]]-D23</f>
        <v>4.1899999999999977</v>
      </c>
      <c r="P24" s="65" cm="1">
        <f t="array" ref="P24">CallDelta(data[[#This Row],[asset_price]],data[[#This Row],[sigma_impl]]/100,0,data[[#This Row],[r]],data[[#This Row],[K]],data[[#This Row],[t]])</f>
        <v>0.66077486337327573</v>
      </c>
      <c r="Q24" s="65" cm="1">
        <f t="array" ref="Q24">CallVega(data[[#This Row],[asset_price]],data[[#This Row],[sigma_impl]]/100,0,data[[#This Row],[r]],data[[#This Row],[K]],data[[#This Row],[t]])</f>
        <v>56.673485351954788</v>
      </c>
      <c r="R24" s="65">
        <f>(data[[#This Row],[D_call]]-data[[#This Row],[delta_bs]]*data[[#This Row],[D_S]])*data[[#This Row],[sqrt_t]]*data[[#This Row],[asset_price]]</f>
        <v>-37.438506785102682</v>
      </c>
      <c r="S24" s="65">
        <f>data[[#This Row],[vega_bs]]*data[[#This Row],[D_S]]</f>
        <v>237.46190362469042</v>
      </c>
      <c r="T24" s="65">
        <f>data[[#This Row],[y_num]]/data[[#This Row],[y_den]]</f>
        <v>-0.15766110779720863</v>
      </c>
      <c r="U24" s="65">
        <f t="shared" si="2"/>
        <v>-4.3904110000000003</v>
      </c>
      <c r="V24" s="65">
        <f t="shared" si="0"/>
        <v>13.107970999999999</v>
      </c>
      <c r="W24" s="65">
        <f t="shared" si="1"/>
        <v>-9.5703019999999999</v>
      </c>
      <c r="X2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0.69459745350197932</v>
      </c>
      <c r="Y24" s="65">
        <f>data[[#This Row],[call]]-data[[#This Row],[delta_bs]]*data[[#This Row],[asset_price]]</f>
        <v>-196.07521691766365</v>
      </c>
      <c r="Z24" s="65">
        <f>(data[[#This Row],[delta_bs]]-P23)*data[[#This Row],[asset_price]]</f>
        <v>13.173256684192326</v>
      </c>
      <c r="AA24" s="65">
        <f>data[[#This Row],[cash_delta_bs]]+AA23*EXP(I23*(data[[#This Row],[ref_date]]-A23)/360)</f>
        <v>196.83988943844952</v>
      </c>
      <c r="AB24" s="65">
        <f>data[[#This Row],[portfolio_bs]]+data[[#This Row],[cash_acc_bs]]</f>
        <v>0.76467252078586512</v>
      </c>
      <c r="AC24" s="65">
        <f>data[[#This Row],[call]]-data[[#This Row],[delta_mv]]*data[[#This Row],[asset_price]]</f>
        <v>-207.32393394266788</v>
      </c>
      <c r="AD24" s="65">
        <f>(data[[#This Row],[delta_mv]]-X23)*data[[#This Row],[asset_price]]</f>
        <v>16.939993626436667</v>
      </c>
      <c r="AE24" s="65">
        <f>data[[#This Row],[cash_delta_mv]]+AE23*EXP(I23*(data[[#This Row],[ref_date]]-A23)/360)</f>
        <v>212.4232294018264</v>
      </c>
      <c r="AF24" s="65">
        <f>data[[#This Row],[portfolio_mv]]+data[[#This Row],[cash_acc_bs2]]</f>
        <v>5.099295459158526</v>
      </c>
    </row>
    <row r="25" spans="1:32">
      <c r="A25" s="64">
        <v>45079</v>
      </c>
      <c r="B25" s="65">
        <v>26.8</v>
      </c>
      <c r="C25" s="65">
        <v>25.06</v>
      </c>
      <c r="D25" s="65">
        <v>335.4</v>
      </c>
      <c r="E25" s="63" t="s">
        <v>125</v>
      </c>
      <c r="F25" s="63" t="s">
        <v>126</v>
      </c>
      <c r="G25">
        <v>320</v>
      </c>
      <c r="H25" s="64">
        <v>45156</v>
      </c>
      <c r="I25" s="66">
        <v>0.02</v>
      </c>
      <c r="J25" s="65">
        <v>0.213888889</v>
      </c>
      <c r="K25" s="65" cm="1">
        <f t="array" ref="K25">CallOption(data[[#This Row],[asset_price]],data[[#This Row],[sigma_impl]]/100,0,data[[#This Row],[r]],data[[#This Row],[K]],data[[#This Row],[t]])</f>
        <v>24.948221703981744</v>
      </c>
      <c r="L25" s="65">
        <f>data[[#This Row],[call]]-K24</f>
        <v>1.2629345609613551</v>
      </c>
      <c r="M25" s="65">
        <f>data[[#This Row],[sigma_impl]]-C24</f>
        <v>-0.97100000000000009</v>
      </c>
      <c r="N25" s="65">
        <f>SQRT(data[[#This Row],[t]])</f>
        <v>0.46248123097051191</v>
      </c>
      <c r="O25" s="65">
        <f>data[[#This Row],[asset_price]]-D24</f>
        <v>2.8199999999999932</v>
      </c>
      <c r="P25" s="65" cm="1">
        <f t="array" ref="P25">CallDelta(data[[#This Row],[asset_price]],data[[#This Row],[sigma_impl]]/100,0,data[[#This Row],[r]],data[[#This Row],[K]],data[[#This Row],[t]])</f>
        <v>0.69160790485100143</v>
      </c>
      <c r="Q25" s="65" cm="1">
        <f t="array" ref="Q25">CallVega(data[[#This Row],[asset_price]],data[[#This Row],[sigma_impl]]/100,0,data[[#This Row],[r]],data[[#This Row],[K]],data[[#This Row],[t]])</f>
        <v>54.59975314926011</v>
      </c>
      <c r="R25" s="65">
        <f>(data[[#This Row],[D_call]]-data[[#This Row],[delta_bs]]*data[[#This Row],[D_S]])*data[[#This Row],[sqrt_t]]*data[[#This Row],[asset_price]]</f>
        <v>-106.6268374559963</v>
      </c>
      <c r="S25" s="65">
        <f>data[[#This Row],[vega_bs]]*data[[#This Row],[D_S]]</f>
        <v>153.97130388091313</v>
      </c>
      <c r="T25" s="65">
        <f>data[[#This Row],[y_num]]/data[[#This Row],[y_den]]</f>
        <v>-0.692511102838132</v>
      </c>
      <c r="U25" s="65">
        <f t="shared" si="2"/>
        <v>-4.3904110000000003</v>
      </c>
      <c r="V25" s="65">
        <f t="shared" si="0"/>
        <v>13.107970999999999</v>
      </c>
      <c r="W25" s="65">
        <f t="shared" si="1"/>
        <v>-9.5703019999999999</v>
      </c>
      <c r="X2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0.72592162307975194</v>
      </c>
      <c r="Y25" s="65">
        <f>data[[#This Row],[call]]-data[[#This Row],[delta_bs]]*data[[#This Row],[asset_price]]</f>
        <v>-207.01706958304413</v>
      </c>
      <c r="Z25" s="65">
        <f>(data[[#This Row],[delta_bs]]-P24)*data[[#This Row],[asset_price]]</f>
        <v>10.341402111629199</v>
      </c>
      <c r="AA25" s="65">
        <f>data[[#This Row],[cash_delta_bs]]+AA24*EXP(I24*(data[[#This Row],[ref_date]]-A24)/360)</f>
        <v>207.19222740326285</v>
      </c>
      <c r="AB25" s="65">
        <f>data[[#This Row],[portfolio_bs]]+data[[#This Row],[cash_acc_bs]]</f>
        <v>0.17515782021871473</v>
      </c>
      <c r="AC25" s="65">
        <f>data[[#This Row],[call]]-data[[#This Row],[delta_mv]]*data[[#This Row],[asset_price]]</f>
        <v>-218.52589067696704</v>
      </c>
      <c r="AD25" s="65">
        <f>(data[[#This Row],[delta_mv]]-X24)*data[[#This Row],[asset_price]]</f>
        <v>10.506126476384937</v>
      </c>
      <c r="AE25" s="65">
        <f>data[[#This Row],[cash_delta_mv]]+AE24*EXP(I24*(data[[#This Row],[ref_date]]-A24)/360)</f>
        <v>222.94115749655333</v>
      </c>
      <c r="AF25" s="65">
        <f>data[[#This Row],[portfolio_mv]]+data[[#This Row],[cash_acc_bs2]]</f>
        <v>4.415266819586293</v>
      </c>
    </row>
    <row r="26" spans="1:32">
      <c r="A26" s="64">
        <v>45082</v>
      </c>
      <c r="B26" s="65">
        <v>27.6</v>
      </c>
      <c r="C26" s="65">
        <v>24.934000000000001</v>
      </c>
      <c r="D26" s="65">
        <v>335.94</v>
      </c>
      <c r="E26" s="63" t="s">
        <v>125</v>
      </c>
      <c r="F26" s="63" t="s">
        <v>126</v>
      </c>
      <c r="G26">
        <v>320</v>
      </c>
      <c r="H26" s="64">
        <v>45156</v>
      </c>
      <c r="I26" s="66">
        <v>0.02</v>
      </c>
      <c r="J26" s="65">
        <v>0.205555556</v>
      </c>
      <c r="K26" s="65" cm="1">
        <f t="array" ref="K26">CallOption(data[[#This Row],[asset_price]],data[[#This Row],[sigma_impl]]/100,0,data[[#This Row],[r]],data[[#This Row],[K]],data[[#This Row],[t]])</f>
        <v>24.954042843190905</v>
      </c>
      <c r="L26" s="65">
        <f>data[[#This Row],[call]]-K25</f>
        <v>5.8211392091607195E-3</v>
      </c>
      <c r="M26" s="65">
        <f>data[[#This Row],[sigma_impl]]-C25</f>
        <v>-0.12599999999999767</v>
      </c>
      <c r="N26" s="65">
        <f>SQRT(data[[#This Row],[t]])</f>
        <v>0.45338235078132455</v>
      </c>
      <c r="O26" s="65">
        <f>data[[#This Row],[asset_price]]-D25</f>
        <v>0.54000000000002046</v>
      </c>
      <c r="P26" s="65" cm="1">
        <f t="array" ref="P26">CallDelta(data[[#This Row],[asset_price]],data[[#This Row],[sigma_impl]]/100,0,data[[#This Row],[r]],data[[#This Row],[K]],data[[#This Row],[t]])</f>
        <v>0.6994795956830232</v>
      </c>
      <c r="Q26" s="65" cm="1">
        <f t="array" ref="Q26">CallVega(data[[#This Row],[asset_price]],data[[#This Row],[sigma_impl]]/100,0,data[[#This Row],[r]],data[[#This Row],[K]],data[[#This Row],[t]])</f>
        <v>52.99831485751406</v>
      </c>
      <c r="R26" s="65">
        <f>(data[[#This Row],[D_call]]-data[[#This Row],[delta_bs]]*data[[#This Row],[D_S]])*data[[#This Row],[sqrt_t]]*data[[#This Row],[asset_price]]</f>
        <v>-56.643487754714172</v>
      </c>
      <c r="S26" s="65">
        <f>data[[#This Row],[vega_bs]]*data[[#This Row],[D_S]]</f>
        <v>28.619090023058678</v>
      </c>
      <c r="T26" s="65">
        <f>data[[#This Row],[y_num]]/data[[#This Row],[y_den]]</f>
        <v>-1.9792204332519296</v>
      </c>
      <c r="U26" s="65">
        <f t="shared" si="2"/>
        <v>-4.3904110000000003</v>
      </c>
      <c r="V26" s="65">
        <f t="shared" si="0"/>
        <v>13.107970999999999</v>
      </c>
      <c r="W26" s="65">
        <f t="shared" si="1"/>
        <v>-9.5703019999999999</v>
      </c>
      <c r="X2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0.73283876297246264</v>
      </c>
      <c r="Y26" s="65">
        <f>data[[#This Row],[call]]-data[[#This Row],[delta_bs]]*data[[#This Row],[asset_price]]</f>
        <v>-210.02913253056391</v>
      </c>
      <c r="Z26" s="65">
        <f>(data[[#This Row],[delta_bs]]-P25)*data[[#This Row],[asset_price]]</f>
        <v>2.644415818109394</v>
      </c>
      <c r="AA26" s="65">
        <f>data[[#This Row],[cash_delta_bs]]+AA25*EXP(I25*(data[[#This Row],[ref_date]]-A25)/360)</f>
        <v>209.87117813710248</v>
      </c>
      <c r="AB26" s="65">
        <f>data[[#This Row],[portfolio_bs]]+data[[#This Row],[cash_acc_bs]]</f>
        <v>-0.1579543934614378</v>
      </c>
      <c r="AC26" s="65">
        <f>data[[#This Row],[call]]-data[[#This Row],[delta_mv]]*data[[#This Row],[asset_price]]</f>
        <v>-221.23581118977819</v>
      </c>
      <c r="AD26" s="65">
        <f>(data[[#This Row],[delta_mv]]-X25)*data[[#This Row],[asset_price]]</f>
        <v>2.3237439755572327</v>
      </c>
      <c r="AE26" s="65">
        <f>data[[#This Row],[cash_delta_mv]]+AE25*EXP(I25*(data[[#This Row],[ref_date]]-A25)/360)</f>
        <v>225.30206142827029</v>
      </c>
      <c r="AF26" s="65">
        <f>data[[#This Row],[portfolio_mv]]+data[[#This Row],[cash_acc_bs2]]</f>
        <v>4.0662502384921027</v>
      </c>
    </row>
    <row r="27" spans="1:32">
      <c r="A27" s="64">
        <v>45083</v>
      </c>
      <c r="B27" s="65">
        <v>24.65</v>
      </c>
      <c r="C27" s="65">
        <v>24.302</v>
      </c>
      <c r="D27" s="65">
        <v>333.68</v>
      </c>
      <c r="E27" s="63" t="s">
        <v>125</v>
      </c>
      <c r="F27" s="63" t="s">
        <v>126</v>
      </c>
      <c r="G27">
        <v>320</v>
      </c>
      <c r="H27" s="64">
        <v>45156</v>
      </c>
      <c r="I27" s="66">
        <v>0.02</v>
      </c>
      <c r="J27" s="65">
        <v>0.20277777799999999</v>
      </c>
      <c r="K27" s="65" cm="1">
        <f t="array" ref="K27">CallOption(data[[#This Row],[asset_price]],data[[#This Row],[sigma_impl]]/100,0,data[[#This Row],[r]],data[[#This Row],[K]],data[[#This Row],[t]])</f>
        <v>22.954725041939327</v>
      </c>
      <c r="L27" s="65">
        <f>data[[#This Row],[call]]-K26</f>
        <v>-1.9993178012515784</v>
      </c>
      <c r="M27" s="65">
        <f>data[[#This Row],[sigma_impl]]-C26</f>
        <v>-0.63200000000000145</v>
      </c>
      <c r="N27" s="65">
        <f>SQRT(data[[#This Row],[t]])</f>
        <v>0.45030853645028762</v>
      </c>
      <c r="O27" s="65">
        <f>data[[#This Row],[asset_price]]-D26</f>
        <v>-2.2599999999999909</v>
      </c>
      <c r="P27" s="65" cm="1">
        <f t="array" ref="P27">CallDelta(data[[#This Row],[asset_price]],data[[#This Row],[sigma_impl]]/100,0,data[[#This Row],[r]],data[[#This Row],[K]],data[[#This Row],[t]])</f>
        <v>0.68235820182770368</v>
      </c>
      <c r="Q27" s="65" cm="1">
        <f t="array" ref="Q27">CallVega(data[[#This Row],[asset_price]],data[[#This Row],[sigma_impl]]/100,0,data[[#This Row],[r]],data[[#This Row],[K]],data[[#This Row],[t]])</f>
        <v>53.567352040915956</v>
      </c>
      <c r="R27" s="65">
        <f>(data[[#This Row],[D_call]]-data[[#This Row],[delta_bs]]*data[[#This Row],[D_S]])*data[[#This Row],[sqrt_t]]*data[[#This Row],[asset_price]]</f>
        <v>-68.6966297861876</v>
      </c>
      <c r="S27" s="65">
        <f>data[[#This Row],[vega_bs]]*data[[#This Row],[D_S]]</f>
        <v>-121.06221561246957</v>
      </c>
      <c r="T27" s="65">
        <f>data[[#This Row],[y_num]]/data[[#This Row],[y_den]]</f>
        <v>0.56744897190789356</v>
      </c>
      <c r="U27" s="65">
        <f t="shared" si="2"/>
        <v>-4.3904110000000003</v>
      </c>
      <c r="V27" s="65">
        <f t="shared" si="0"/>
        <v>13.107970999999999</v>
      </c>
      <c r="W27" s="65">
        <f t="shared" si="1"/>
        <v>-9.5703019999999999</v>
      </c>
      <c r="X2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0.71724753160010701</v>
      </c>
      <c r="Y27" s="65">
        <f>data[[#This Row],[call]]-data[[#This Row],[delta_bs]]*data[[#This Row],[asset_price]]</f>
        <v>-204.73455974392886</v>
      </c>
      <c r="Z27" s="65">
        <f>(data[[#This Row],[delta_bs]]-P26)*data[[#This Row],[asset_price]]</f>
        <v>-5.7130667016430179</v>
      </c>
      <c r="AA27" s="65">
        <f>data[[#This Row],[cash_delta_bs]]+AA26*EXP(I26*(data[[#This Row],[ref_date]]-A26)/360)</f>
        <v>204.1697712692372</v>
      </c>
      <c r="AB27" s="65">
        <f>data[[#This Row],[portfolio_bs]]+data[[#This Row],[cash_acc_bs]]</f>
        <v>-0.56478847469165316</v>
      </c>
      <c r="AC27" s="65">
        <f>data[[#This Row],[call]]-data[[#This Row],[delta_mv]]*data[[#This Row],[asset_price]]</f>
        <v>-216.37643130238439</v>
      </c>
      <c r="AD27" s="65">
        <f>(data[[#This Row],[delta_mv]]-X26)*data[[#This Row],[asset_price]]</f>
        <v>-5.2024820843276265</v>
      </c>
      <c r="AE27" s="65">
        <f>data[[#This Row],[cash_delta_mv]]+AE26*EXP(I26*(data[[#This Row],[ref_date]]-A26)/360)</f>
        <v>220.11209647282791</v>
      </c>
      <c r="AF27" s="65">
        <f>data[[#This Row],[portfolio_mv]]+data[[#This Row],[cash_acc_bs2]]</f>
        <v>3.7356651704435251</v>
      </c>
    </row>
    <row r="28" spans="1:32">
      <c r="A28" s="64">
        <v>45084</v>
      </c>
      <c r="B28" s="65">
        <v>17.420000000000002</v>
      </c>
      <c r="C28" s="65">
        <v>24.119</v>
      </c>
      <c r="D28" s="65">
        <v>323.38</v>
      </c>
      <c r="E28" s="63" t="s">
        <v>125</v>
      </c>
      <c r="F28" s="63" t="s">
        <v>126</v>
      </c>
      <c r="G28">
        <v>320</v>
      </c>
      <c r="H28" s="64">
        <v>45156</v>
      </c>
      <c r="I28" s="66">
        <v>0.02</v>
      </c>
      <c r="J28" s="65">
        <v>0.2</v>
      </c>
      <c r="K28" s="65" cm="1">
        <f t="array" ref="K28">CallOption(data[[#This Row],[asset_price]],data[[#This Row],[sigma_impl]]/100,0,data[[#This Row],[r]],data[[#This Row],[K]],data[[#This Row],[t]])</f>
        <v>16.261831668617617</v>
      </c>
      <c r="L28" s="65">
        <f>data[[#This Row],[call]]-K27</f>
        <v>-6.6928933733217093</v>
      </c>
      <c r="M28" s="65">
        <f>data[[#This Row],[sigma_impl]]-C27</f>
        <v>-0.18299999999999983</v>
      </c>
      <c r="N28" s="65">
        <f>SQRT(data[[#This Row],[t]])</f>
        <v>0.44721359549995793</v>
      </c>
      <c r="O28" s="65">
        <f>data[[#This Row],[asset_price]]-D27</f>
        <v>-10.300000000000011</v>
      </c>
      <c r="P28" s="65" cm="1">
        <f t="array" ref="P28">CallDelta(data[[#This Row],[asset_price]],data[[#This Row],[sigma_impl]]/100,0,data[[#This Row],[r]],data[[#This Row],[K]],data[[#This Row],[t]])</f>
        <v>0.57472895166266769</v>
      </c>
      <c r="Q28" s="65" cm="1">
        <f t="array" ref="Q28">CallVega(data[[#This Row],[asset_price]],data[[#This Row],[sigma_impl]]/100,0,data[[#This Row],[r]],data[[#This Row],[K]],data[[#This Row],[t]])</f>
        <v>56.679822603777481</v>
      </c>
      <c r="R28" s="65">
        <f>(data[[#This Row],[D_call]]-data[[#This Row],[delta_bs]]*data[[#This Row],[D_S]])*data[[#This Row],[sqrt_t]]*data[[#This Row],[asset_price]]</f>
        <v>-111.81798727827766</v>
      </c>
      <c r="S28" s="65">
        <f>data[[#This Row],[vega_bs]]*data[[#This Row],[D_S]]</f>
        <v>-583.80217281890873</v>
      </c>
      <c r="T28" s="65">
        <f>data[[#This Row],[y_num]]/data[[#This Row],[y_den]]</f>
        <v>0.19153403752911827</v>
      </c>
      <c r="U28" s="65">
        <f t="shared" si="2"/>
        <v>-4.3904110000000003</v>
      </c>
      <c r="V28" s="65">
        <f t="shared" si="0"/>
        <v>13.107970999999999</v>
      </c>
      <c r="W28" s="65">
        <f t="shared" si="1"/>
        <v>-9.5703019999999999</v>
      </c>
      <c r="X2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0.56764328310377543</v>
      </c>
      <c r="Y28" s="65">
        <f>data[[#This Row],[call]]-data[[#This Row],[delta_bs]]*data[[#This Row],[asset_price]]</f>
        <v>-169.59401672005586</v>
      </c>
      <c r="Z28" s="65">
        <f>(data[[#This Row],[delta_bs]]-P27)*data[[#This Row],[asset_price]]</f>
        <v>-34.805146918369338</v>
      </c>
      <c r="AA28" s="65">
        <f>data[[#This Row],[cash_delta_bs]]+AA27*EXP(I27*(data[[#This Row],[ref_date]]-A27)/360)</f>
        <v>169.375967431021</v>
      </c>
      <c r="AB28" s="65">
        <f>data[[#This Row],[portfolio_bs]]+data[[#This Row],[cash_acc_bs]]</f>
        <v>-0.21804928903486598</v>
      </c>
      <c r="AC28" s="65">
        <f>data[[#This Row],[call]]-data[[#This Row],[delta_mv]]*data[[#This Row],[asset_price]]</f>
        <v>-167.30265322148128</v>
      </c>
      <c r="AD28" s="65">
        <f>(data[[#This Row],[delta_mv]]-X27)*data[[#This Row],[asset_price]]</f>
        <v>-48.379021878743707</v>
      </c>
      <c r="AE28" s="65">
        <f>data[[#This Row],[cash_delta_mv]]+AE27*EXP(I27*(data[[#This Row],[ref_date]]-A27)/360)</f>
        <v>171.74530338357368</v>
      </c>
      <c r="AF28" s="65">
        <f>data[[#This Row],[portfolio_mv]]+data[[#This Row],[cash_acc_bs2]]</f>
        <v>4.4426501620924057</v>
      </c>
    </row>
    <row r="29" spans="1:32">
      <c r="A29" s="64">
        <v>45085</v>
      </c>
      <c r="B29" s="65">
        <v>18.25</v>
      </c>
      <c r="C29" s="65">
        <v>23.681000000000001</v>
      </c>
      <c r="D29" s="65">
        <v>325.26</v>
      </c>
      <c r="E29" s="63" t="s">
        <v>125</v>
      </c>
      <c r="F29" s="63" t="s">
        <v>126</v>
      </c>
      <c r="G29">
        <v>320</v>
      </c>
      <c r="H29" s="64">
        <v>45156</v>
      </c>
      <c r="I29" s="66">
        <v>0.02</v>
      </c>
      <c r="J29" s="65">
        <v>0.197222222</v>
      </c>
      <c r="K29" s="65" cm="1">
        <f t="array" ref="K29">CallOption(data[[#This Row],[asset_price]],data[[#This Row],[sigma_impl]]/100,0,data[[#This Row],[r]],data[[#This Row],[K]],data[[#This Row],[t]])</f>
        <v>17.012543954040325</v>
      </c>
      <c r="L29" s="65">
        <f>data[[#This Row],[call]]-K28</f>
        <v>0.75071228542270774</v>
      </c>
      <c r="M29" s="65">
        <f>data[[#This Row],[sigma_impl]]-C28</f>
        <v>-0.43799999999999883</v>
      </c>
      <c r="N29" s="65">
        <f>SQRT(data[[#This Row],[t]])</f>
        <v>0.44409708623227873</v>
      </c>
      <c r="O29" s="65">
        <f>data[[#This Row],[asset_price]]-D28</f>
        <v>1.8799999999999955</v>
      </c>
      <c r="P29" s="65" cm="1">
        <f t="array" ref="P29">CallDelta(data[[#This Row],[asset_price]],data[[#This Row],[sigma_impl]]/100,0,data[[#This Row],[r]],data[[#This Row],[K]],data[[#This Row],[t]])</f>
        <v>0.5968177347783209</v>
      </c>
      <c r="Q29" s="65" cm="1">
        <f t="array" ref="Q29">CallVega(data[[#This Row],[asset_price]],data[[#This Row],[sigma_impl]]/100,0,data[[#This Row],[r]],data[[#This Row],[K]],data[[#This Row],[t]])</f>
        <v>55.920589530034711</v>
      </c>
      <c r="R29" s="65">
        <f>(data[[#This Row],[D_call]]-data[[#This Row],[delta_bs]]*data[[#This Row],[D_S]])*data[[#This Row],[sqrt_t]]*data[[#This Row],[asset_price]]</f>
        <v>-53.633908201298802</v>
      </c>
      <c r="S29" s="65">
        <f>data[[#This Row],[vega_bs]]*data[[#This Row],[D_S]]</f>
        <v>105.130708316465</v>
      </c>
      <c r="T29" s="65">
        <f>data[[#This Row],[y_num]]/data[[#This Row],[y_den]]</f>
        <v>-0.51016405254162023</v>
      </c>
      <c r="U29" s="65">
        <f t="shared" si="2"/>
        <v>-4.3904110000000003</v>
      </c>
      <c r="V29" s="65">
        <f t="shared" si="0"/>
        <v>13.107970999999999</v>
      </c>
      <c r="W29" s="65">
        <f t="shared" si="1"/>
        <v>-9.5703019999999999</v>
      </c>
      <c r="X2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0.60603125734885044</v>
      </c>
      <c r="Y29" s="65">
        <f>data[[#This Row],[call]]-data[[#This Row],[delta_bs]]*data[[#This Row],[asset_price]]</f>
        <v>-177.10839245995632</v>
      </c>
      <c r="Z29" s="65">
        <f>(data[[#This Row],[delta_bs]]-P28)*data[[#This Row],[asset_price]]</f>
        <v>7.1845975961973627</v>
      </c>
      <c r="AA29" s="65">
        <f>data[[#This Row],[cash_delta_bs]]+AA28*EXP(I28*(data[[#This Row],[ref_date]]-A28)/360)</f>
        <v>176.56997506457424</v>
      </c>
      <c r="AB29" s="65">
        <f>data[[#This Row],[portfolio_bs]]+data[[#This Row],[cash_acc_bs]]</f>
        <v>-0.53841739538208344</v>
      </c>
      <c r="AC29" s="65">
        <f>data[[#This Row],[call]]-data[[#This Row],[delta_mv]]*data[[#This Row],[asset_price]]</f>
        <v>-180.10518281124675</v>
      </c>
      <c r="AD29" s="65">
        <f>(data[[#This Row],[delta_mv]]-X28)*data[[#This Row],[asset_price]]</f>
        <v>12.486072502953096</v>
      </c>
      <c r="AE29" s="65">
        <f>data[[#This Row],[cash_delta_mv]]+AE28*EXP(I28*(data[[#This Row],[ref_date]]-A28)/360)</f>
        <v>184.24091755731425</v>
      </c>
      <c r="AF29" s="65">
        <f>data[[#This Row],[portfolio_mv]]+data[[#This Row],[cash_acc_bs2]]</f>
        <v>4.1357347460674987</v>
      </c>
    </row>
    <row r="30" spans="1:32">
      <c r="A30" s="64">
        <v>45086</v>
      </c>
      <c r="B30" s="65">
        <v>19.100000000000001</v>
      </c>
      <c r="C30" s="65">
        <v>24.501999999999999</v>
      </c>
      <c r="D30" s="65">
        <v>326.79000000000002</v>
      </c>
      <c r="E30" s="63" t="s">
        <v>125</v>
      </c>
      <c r="F30" s="63" t="s">
        <v>126</v>
      </c>
      <c r="G30">
        <v>320</v>
      </c>
      <c r="H30" s="64">
        <v>45156</v>
      </c>
      <c r="I30" s="66">
        <v>0.02</v>
      </c>
      <c r="J30" s="65">
        <v>0.19444444399999999</v>
      </c>
      <c r="K30" s="65" cm="1">
        <f t="array" ref="K30">CallOption(data[[#This Row],[asset_price]],data[[#This Row],[sigma_impl]]/100,0,data[[#This Row],[r]],data[[#This Row],[K]],data[[#This Row],[t]])</f>
        <v>18.28867883789033</v>
      </c>
      <c r="L30" s="65">
        <f>data[[#This Row],[call]]-K29</f>
        <v>1.2761348838500055</v>
      </c>
      <c r="M30" s="65">
        <f>data[[#This Row],[sigma_impl]]-C29</f>
        <v>0.82099999999999795</v>
      </c>
      <c r="N30" s="65">
        <f>SQRT(data[[#This Row],[t]])</f>
        <v>0.44095855134014578</v>
      </c>
      <c r="O30" s="65">
        <f>data[[#This Row],[asset_price]]-D29</f>
        <v>1.5300000000000296</v>
      </c>
      <c r="P30" s="65" cm="1">
        <f t="array" ref="P30">CallDelta(data[[#This Row],[asset_price]],data[[#This Row],[sigma_impl]]/100,0,data[[#This Row],[r]],data[[#This Row],[K]],data[[#This Row],[t]])</f>
        <v>0.6119294038938099</v>
      </c>
      <c r="Q30" s="65" cm="1">
        <f t="array" ref="Q30">CallVega(data[[#This Row],[asset_price]],data[[#This Row],[sigma_impl]]/100,0,data[[#This Row],[r]],data[[#This Row],[K]],data[[#This Row],[t]])</f>
        <v>55.210158592344705</v>
      </c>
      <c r="R30" s="65">
        <f>(data[[#This Row],[D_call]]-data[[#This Row],[delta_bs]]*data[[#This Row],[D_S]])*data[[#This Row],[sqrt_t]]*data[[#This Row],[asset_price]]</f>
        <v>48.977412496582872</v>
      </c>
      <c r="S30" s="65">
        <f>data[[#This Row],[vega_bs]]*data[[#This Row],[D_S]]</f>
        <v>84.471542646289024</v>
      </c>
      <c r="T30" s="65">
        <f>data[[#This Row],[y_num]]/data[[#This Row],[y_den]]</f>
        <v>0.57980961353657168</v>
      </c>
      <c r="U30" s="65">
        <f t="shared" si="2"/>
        <v>-4.3904110000000003</v>
      </c>
      <c r="V30" s="65">
        <f t="shared" si="0"/>
        <v>13.107970999999999</v>
      </c>
      <c r="W30" s="65">
        <f t="shared" si="1"/>
        <v>-9.5703019999999999</v>
      </c>
      <c r="X3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0.62996344418802852</v>
      </c>
      <c r="Y30" s="65">
        <f>data[[#This Row],[call]]-data[[#This Row],[delta_bs]]*data[[#This Row],[asset_price]]</f>
        <v>-181.68373106056782</v>
      </c>
      <c r="Z30" s="65">
        <f>(data[[#This Row],[delta_bs]]-P29)*data[[#This Row],[asset_price]]</f>
        <v>4.9383423502506512</v>
      </c>
      <c r="AA30" s="65">
        <f>data[[#This Row],[cash_delta_bs]]+AA29*EXP(I29*(data[[#This Row],[ref_date]]-A29)/360)</f>
        <v>181.51812713037359</v>
      </c>
      <c r="AB30" s="65">
        <f>data[[#This Row],[portfolio_bs]]+data[[#This Row],[cash_acc_bs]]</f>
        <v>-0.16560393019423714</v>
      </c>
      <c r="AC30" s="65">
        <f>data[[#This Row],[call]]-data[[#This Row],[delta_mv]]*data[[#This Row],[asset_price]]</f>
        <v>-187.57707508831552</v>
      </c>
      <c r="AD30" s="65">
        <f>(data[[#This Row],[delta_mv]]-X29)*data[[#This Row],[asset_price]]</f>
        <v>7.8207993371750062</v>
      </c>
      <c r="AE30" s="65">
        <f>data[[#This Row],[cash_delta_mv]]+AE29*EXP(I29*(data[[#This Row],[ref_date]]-A29)/360)</f>
        <v>192.07195278534786</v>
      </c>
      <c r="AF30" s="65">
        <f>data[[#This Row],[portfolio_mv]]+data[[#This Row],[cash_acc_bs2]]</f>
        <v>4.4948776970323365</v>
      </c>
    </row>
    <row r="31" spans="1:32">
      <c r="A31" s="64">
        <v>45089</v>
      </c>
      <c r="B31" s="65">
        <v>23.05</v>
      </c>
      <c r="C31" s="65">
        <v>24.766999999999999</v>
      </c>
      <c r="D31" s="65">
        <v>331.85</v>
      </c>
      <c r="E31" s="63" t="s">
        <v>125</v>
      </c>
      <c r="F31" s="63" t="s">
        <v>126</v>
      </c>
      <c r="G31">
        <v>320</v>
      </c>
      <c r="H31" s="64">
        <v>45156</v>
      </c>
      <c r="I31" s="66">
        <v>0.02</v>
      </c>
      <c r="J31" s="65">
        <v>0.186111111</v>
      </c>
      <c r="K31" s="65" cm="1">
        <f t="array" ref="K31">CallOption(data[[#This Row],[asset_price]],data[[#This Row],[sigma_impl]]/100,0,data[[#This Row],[r]],data[[#This Row],[K]],data[[#This Row],[t]])</f>
        <v>21.343297721687776</v>
      </c>
      <c r="L31" s="65">
        <f>data[[#This Row],[call]]-K30</f>
        <v>3.0546188837974455</v>
      </c>
      <c r="M31" s="65">
        <f>data[[#This Row],[sigma_impl]]-C30</f>
        <v>0.26500000000000057</v>
      </c>
      <c r="N31" s="65">
        <f>SQRT(data[[#This Row],[t]])</f>
        <v>0.43140597005604825</v>
      </c>
      <c r="O31" s="65">
        <f>data[[#This Row],[asset_price]]-D30</f>
        <v>5.0600000000000023</v>
      </c>
      <c r="P31" s="65" cm="1">
        <f t="array" ref="P31">CallDelta(data[[#This Row],[asset_price]],data[[#This Row],[sigma_impl]]/100,0,data[[#This Row],[r]],data[[#This Row],[K]],data[[#This Row],[t]])</f>
        <v>0.66588605699088965</v>
      </c>
      <c r="Q31" s="65" cm="1">
        <f t="array" ref="Q31">CallVega(data[[#This Row],[asset_price]],data[[#This Row],[sigma_impl]]/100,0,data[[#This Row],[r]],data[[#This Row],[K]],data[[#This Row],[t]])</f>
        <v>52.101710601858912</v>
      </c>
      <c r="R31" s="65">
        <f>(data[[#This Row],[D_call]]-data[[#This Row],[delta_bs]]*data[[#This Row],[D_S]])*data[[#This Row],[sqrt_t]]*data[[#This Row],[asset_price]]</f>
        <v>-45.062346993516925</v>
      </c>
      <c r="S31" s="65">
        <f>data[[#This Row],[vega_bs]]*data[[#This Row],[D_S]]</f>
        <v>263.63465564540621</v>
      </c>
      <c r="T31" s="65">
        <f>data[[#This Row],[y_num]]/data[[#This Row],[y_den]]</f>
        <v>-0.17092725113547541</v>
      </c>
      <c r="U31" s="65">
        <f t="shared" si="2"/>
        <v>-4.3904110000000003</v>
      </c>
      <c r="V31" s="65">
        <f t="shared" si="0"/>
        <v>13.107970999999999</v>
      </c>
      <c r="W31" s="65">
        <f t="shared" si="1"/>
        <v>-9.5703019999999999</v>
      </c>
      <c r="X3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0.70027488335569044</v>
      </c>
      <c r="Y31" s="65">
        <f>data[[#This Row],[call]]-data[[#This Row],[delta_bs]]*data[[#This Row],[asset_price]]</f>
        <v>-199.63099029073896</v>
      </c>
      <c r="Z31" s="65">
        <f>(data[[#This Row],[delta_bs]]-P30)*data[[#This Row],[asset_price]]</f>
        <v>17.905515330265917</v>
      </c>
      <c r="AA31" s="65">
        <f>data[[#This Row],[cash_delta_bs]]+AA30*EXP(I30*(data[[#This Row],[ref_date]]-A30)/360)</f>
        <v>199.45389800305307</v>
      </c>
      <c r="AB31" s="65">
        <f>data[[#This Row],[portfolio_bs]]+data[[#This Row],[cash_acc_bs]]</f>
        <v>-0.17709228768589469</v>
      </c>
      <c r="AC31" s="65">
        <f>data[[#This Row],[call]]-data[[#This Row],[delta_mv]]*data[[#This Row],[asset_price]]</f>
        <v>-211.04292231989811</v>
      </c>
      <c r="AD31" s="65">
        <f>(data[[#This Row],[delta_mv]]-X30)*data[[#This Row],[asset_price]]</f>
        <v>23.332851087788608</v>
      </c>
      <c r="AE31" s="65">
        <f>data[[#This Row],[cash_delta_mv]]+AE30*EXP(I30*(data[[#This Row],[ref_date]]-A30)/360)</f>
        <v>215.43681853308158</v>
      </c>
      <c r="AF31" s="65">
        <f>data[[#This Row],[portfolio_mv]]+data[[#This Row],[cash_acc_bs2]]</f>
        <v>4.3938962131834671</v>
      </c>
    </row>
    <row r="32" spans="1:32">
      <c r="A32" s="64">
        <v>45090</v>
      </c>
      <c r="B32" s="65">
        <v>23.6</v>
      </c>
      <c r="C32" s="65">
        <v>24.773</v>
      </c>
      <c r="D32" s="65">
        <v>334.29</v>
      </c>
      <c r="E32" s="63" t="s">
        <v>125</v>
      </c>
      <c r="F32" s="63" t="s">
        <v>126</v>
      </c>
      <c r="G32">
        <v>320</v>
      </c>
      <c r="H32" s="64">
        <v>45156</v>
      </c>
      <c r="I32" s="66">
        <v>0.02</v>
      </c>
      <c r="J32" s="65">
        <v>0.18333333299999999</v>
      </c>
      <c r="K32" s="65" cm="1">
        <f t="array" ref="K32">CallOption(data[[#This Row],[asset_price]],data[[#This Row],[sigma_impl]]/100,0,data[[#This Row],[r]],data[[#This Row],[K]],data[[#This Row],[t]])</f>
        <v>22.895433263261566</v>
      </c>
      <c r="L32" s="65">
        <f>data[[#This Row],[call]]-K31</f>
        <v>1.5521355415737901</v>
      </c>
      <c r="M32" s="65">
        <f>data[[#This Row],[sigma_impl]]-C31</f>
        <v>6.0000000000002274E-3</v>
      </c>
      <c r="N32" s="65">
        <f>SQRT(data[[#This Row],[t]])</f>
        <v>0.42817441889958813</v>
      </c>
      <c r="O32" s="65">
        <f>data[[#This Row],[asset_price]]-D31</f>
        <v>2.4399999999999977</v>
      </c>
      <c r="P32" s="65" cm="1">
        <f t="array" ref="P32">CallDelta(data[[#This Row],[asset_price]],data[[#This Row],[sigma_impl]]/100,0,data[[#This Row],[r]],data[[#This Row],[K]],data[[#This Row],[t]])</f>
        <v>0.69127764334224517</v>
      </c>
      <c r="Q32" s="65" cm="1">
        <f t="array" ref="Q32">CallVega(data[[#This Row],[asset_price]],data[[#This Row],[sigma_impl]]/100,0,data[[#This Row],[r]],data[[#This Row],[K]],data[[#This Row],[t]])</f>
        <v>50.405889283321805</v>
      </c>
      <c r="R32" s="65">
        <f>(data[[#This Row],[D_call]]-data[[#This Row],[delta_bs]]*data[[#This Row],[D_S]])*data[[#This Row],[sqrt_t]]*data[[#This Row],[asset_price]]</f>
        <v>-19.263304243989008</v>
      </c>
      <c r="S32" s="65">
        <f>data[[#This Row],[vega_bs]]*data[[#This Row],[D_S]]</f>
        <v>122.99036985130509</v>
      </c>
      <c r="T32" s="65">
        <f>data[[#This Row],[y_num]]/data[[#This Row],[y_den]]</f>
        <v>-0.15662449236698997</v>
      </c>
      <c r="U32" s="65">
        <f t="shared" si="2"/>
        <v>-4.3904110000000003</v>
      </c>
      <c r="V32" s="65">
        <f t="shared" si="0"/>
        <v>13.107970999999999</v>
      </c>
      <c r="W32" s="65">
        <f t="shared" si="1"/>
        <v>-9.5703019999999999</v>
      </c>
      <c r="X3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0.725622188622848</v>
      </c>
      <c r="Y32" s="65">
        <f>data[[#This Row],[call]]-data[[#This Row],[delta_bs]]*data[[#This Row],[asset_price]]</f>
        <v>-208.19177012961759</v>
      </c>
      <c r="Z32" s="65">
        <f>(data[[#This Row],[delta_bs]]-P31)*data[[#This Row],[asset_price]]</f>
        <v>8.4881534013946371</v>
      </c>
      <c r="AA32" s="65">
        <f>data[[#This Row],[cash_delta_bs]]+AA31*EXP(I31*(data[[#This Row],[ref_date]]-A31)/360)</f>
        <v>207.95313248436389</v>
      </c>
      <c r="AB32" s="65">
        <f>data[[#This Row],[portfolio_bs]]+data[[#This Row],[cash_acc_bs]]</f>
        <v>-0.23863764525370357</v>
      </c>
      <c r="AC32" s="65">
        <f>data[[#This Row],[call]]-data[[#This Row],[delta_mv]]*data[[#This Row],[asset_price]]</f>
        <v>-219.67280817147031</v>
      </c>
      <c r="AD32" s="65">
        <f>(data[[#This Row],[delta_mv]]-X31)*data[[#This Row],[asset_price]]</f>
        <v>8.473350677758102</v>
      </c>
      <c r="AE32" s="65">
        <f>data[[#This Row],[cash_delta_mv]]+AE31*EXP(I31*(data[[#This Row],[ref_date]]-A31)/360)</f>
        <v>223.92213825545076</v>
      </c>
      <c r="AF32" s="65">
        <f>data[[#This Row],[portfolio_mv]]+data[[#This Row],[cash_acc_bs2]]</f>
        <v>4.2493300839804533</v>
      </c>
    </row>
    <row r="33" spans="1:32">
      <c r="A33" s="64">
        <v>45091</v>
      </c>
      <c r="B33" s="65">
        <v>26.76</v>
      </c>
      <c r="C33" s="65">
        <v>25.895</v>
      </c>
      <c r="D33" s="65">
        <v>337.34</v>
      </c>
      <c r="E33" s="63" t="s">
        <v>125</v>
      </c>
      <c r="F33" s="63" t="s">
        <v>126</v>
      </c>
      <c r="G33">
        <v>320</v>
      </c>
      <c r="H33" s="64">
        <v>45156</v>
      </c>
      <c r="I33" s="66">
        <v>0.02</v>
      </c>
      <c r="J33" s="65">
        <v>0.18055555600000001</v>
      </c>
      <c r="K33" s="65" cm="1">
        <f t="array" ref="K33">CallOption(data[[#This Row],[asset_price]],data[[#This Row],[sigma_impl]]/100,0,data[[#This Row],[r]],data[[#This Row],[K]],data[[#This Row],[t]])</f>
        <v>25.488697532651457</v>
      </c>
      <c r="L33" s="65">
        <f>data[[#This Row],[call]]-K32</f>
        <v>2.5932642693898913</v>
      </c>
      <c r="M33" s="65">
        <f>data[[#This Row],[sigma_impl]]-C32</f>
        <v>1.1219999999999999</v>
      </c>
      <c r="N33" s="65">
        <f>SQRT(data[[#This Row],[t]])</f>
        <v>0.42491829332237513</v>
      </c>
      <c r="O33" s="65">
        <f>data[[#This Row],[asset_price]]-D32</f>
        <v>3.0499999999999545</v>
      </c>
      <c r="P33" s="65" cm="1">
        <f t="array" ref="P33">CallDelta(data[[#This Row],[asset_price]],data[[#This Row],[sigma_impl]]/100,0,data[[#This Row],[r]],data[[#This Row],[K]],data[[#This Row],[t]])</f>
        <v>0.71478662822113159</v>
      </c>
      <c r="Q33" s="65" cm="1">
        <f t="array" ref="Q33">CallVega(data[[#This Row],[asset_price]],data[[#This Row],[sigma_impl]]/100,0,data[[#This Row],[r]],data[[#This Row],[K]],data[[#This Row],[t]])</f>
        <v>48.682030687605049</v>
      </c>
      <c r="R33" s="65">
        <f>(data[[#This Row],[D_call]]-data[[#This Row],[delta_bs]]*data[[#This Row],[D_S]])*data[[#This Row],[sqrt_t]]*data[[#This Row],[asset_price]]</f>
        <v>59.223879071609332</v>
      </c>
      <c r="S33" s="65">
        <f>data[[#This Row],[vega_bs]]*data[[#This Row],[D_S]]</f>
        <v>148.48019359719319</v>
      </c>
      <c r="T33" s="65">
        <f>data[[#This Row],[y_num]]/data[[#This Row],[y_den]]</f>
        <v>0.39886719997332276</v>
      </c>
      <c r="U33" s="65">
        <f t="shared" si="2"/>
        <v>-4.3904110000000003</v>
      </c>
      <c r="V33" s="65">
        <f t="shared" si="0"/>
        <v>13.107970999999999</v>
      </c>
      <c r="W33" s="65">
        <f t="shared" si="1"/>
        <v>-9.5703019999999999</v>
      </c>
      <c r="X3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0.74512619669019797</v>
      </c>
      <c r="Y33" s="65">
        <f>data[[#This Row],[call]]-data[[#This Row],[delta_bs]]*data[[#This Row],[asset_price]]</f>
        <v>-215.63742363146505</v>
      </c>
      <c r="Z33" s="65">
        <f>(data[[#This Row],[delta_bs]]-P32)*data[[#This Row],[asset_price]]</f>
        <v>7.9305209590435437</v>
      </c>
      <c r="AA33" s="65">
        <f>data[[#This Row],[cash_delta_bs]]+AA32*EXP(I32*(data[[#This Row],[ref_date]]-A32)/360)</f>
        <v>215.89520671613337</v>
      </c>
      <c r="AB33" s="65">
        <f>data[[#This Row],[portfolio_bs]]+data[[#This Row],[cash_acc_bs]]</f>
        <v>0.25778308466831845</v>
      </c>
      <c r="AC33" s="65">
        <f>data[[#This Row],[call]]-data[[#This Row],[delta_mv]]*data[[#This Row],[asset_price]]</f>
        <v>-225.87217365881992</v>
      </c>
      <c r="AD33" s="65">
        <f>(data[[#This Row],[delta_mv]]-X32)*data[[#This Row],[asset_price]]</f>
        <v>6.5794820814398403</v>
      </c>
      <c r="AE33" s="65">
        <f>data[[#This Row],[cash_delta_mv]]+AE32*EXP(I32*(data[[#This Row],[ref_date]]-A32)/360)</f>
        <v>230.51406080124781</v>
      </c>
      <c r="AF33" s="65">
        <f>data[[#This Row],[portfolio_mv]]+data[[#This Row],[cash_acc_bs2]]</f>
        <v>4.6418871424278905</v>
      </c>
    </row>
    <row r="34" spans="1:32">
      <c r="A34" s="64">
        <v>45092</v>
      </c>
      <c r="B34" s="65">
        <v>35.119999999999997</v>
      </c>
      <c r="C34" s="65">
        <v>27.263000000000002</v>
      </c>
      <c r="D34" s="65">
        <v>348.1</v>
      </c>
      <c r="E34" s="63" t="s">
        <v>125</v>
      </c>
      <c r="F34" s="63" t="s">
        <v>126</v>
      </c>
      <c r="G34">
        <v>320</v>
      </c>
      <c r="H34" s="64">
        <v>45156</v>
      </c>
      <c r="I34" s="66">
        <v>0.02</v>
      </c>
      <c r="J34" s="65">
        <v>0.177777778</v>
      </c>
      <c r="K34" s="65" cm="1">
        <f t="array" ref="K34">CallOption(data[[#This Row],[asset_price]],data[[#This Row],[sigma_impl]]/100,0,data[[#This Row],[r]],data[[#This Row],[K]],data[[#This Row],[t]])</f>
        <v>34.141267911605013</v>
      </c>
      <c r="L34" s="65">
        <f>data[[#This Row],[call]]-K33</f>
        <v>8.6525703789535555</v>
      </c>
      <c r="M34" s="65">
        <f>data[[#This Row],[sigma_impl]]-C33</f>
        <v>1.3680000000000021</v>
      </c>
      <c r="N34" s="65">
        <f>SQRT(data[[#This Row],[t]])</f>
        <v>0.42163702161930705</v>
      </c>
      <c r="O34" s="65">
        <f>data[[#This Row],[asset_price]]-D33</f>
        <v>10.760000000000048</v>
      </c>
      <c r="P34" s="65" cm="1">
        <f t="array" ref="P34">CallDelta(data[[#This Row],[asset_price]],data[[#This Row],[sigma_impl]]/100,0,data[[#This Row],[r]],data[[#This Row],[K]],data[[#This Row],[t]])</f>
        <v>0.79406918002998639</v>
      </c>
      <c r="Q34" s="65" cm="1">
        <f t="array" ref="Q34">CallVega(data[[#This Row],[asset_price]],data[[#This Row],[sigma_impl]]/100,0,data[[#This Row],[r]],data[[#This Row],[K]],data[[#This Row],[t]])</f>
        <v>41.813981550368929</v>
      </c>
      <c r="R34" s="65">
        <f>(data[[#This Row],[D_call]]-data[[#This Row],[delta_bs]]*data[[#This Row],[D_S]])*data[[#This Row],[sqrt_t]]*data[[#This Row],[asset_price]]</f>
        <v>15.908013702121897</v>
      </c>
      <c r="S34" s="65">
        <f>data[[#This Row],[vega_bs]]*data[[#This Row],[D_S]]</f>
        <v>449.91844148197168</v>
      </c>
      <c r="T34" s="65">
        <f>data[[#This Row],[y_num]]/data[[#This Row],[y_den]]</f>
        <v>3.5357549803299929E-2</v>
      </c>
      <c r="U34" s="65">
        <f t="shared" si="2"/>
        <v>-4.3904110000000003</v>
      </c>
      <c r="V34" s="65">
        <f t="shared" si="0"/>
        <v>13.107970999999999</v>
      </c>
      <c r="W34" s="65">
        <f t="shared" si="1"/>
        <v>-9.5703019999999999</v>
      </c>
      <c r="X3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0.78942843439237476</v>
      </c>
      <c r="Y34" s="65">
        <f>data[[#This Row],[call]]-data[[#This Row],[delta_bs]]*data[[#This Row],[asset_price]]</f>
        <v>-242.27421365683327</v>
      </c>
      <c r="Z34" s="65">
        <f>(data[[#This Row],[delta_bs]]-P33)*data[[#This Row],[asset_price]]</f>
        <v>27.598256284662355</v>
      </c>
      <c r="AA34" s="65">
        <f>data[[#This Row],[cash_delta_bs]]+AA33*EXP(I33*(data[[#This Row],[ref_date]]-A33)/360)</f>
        <v>243.50545751212439</v>
      </c>
      <c r="AB34" s="65">
        <f>data[[#This Row],[portfolio_bs]]+data[[#This Row],[cash_acc_bs]]</f>
        <v>1.231243855291126</v>
      </c>
      <c r="AC34" s="65">
        <f>data[[#This Row],[call]]-data[[#This Row],[delta_mv]]*data[[#This Row],[asset_price]]</f>
        <v>-240.65877010038068</v>
      </c>
      <c r="AD34" s="65">
        <f>(data[[#This Row],[delta_mv]]-X33)*data[[#This Row],[asset_price]]</f>
        <v>15.421608944127739</v>
      </c>
      <c r="AE34" s="65">
        <f>data[[#This Row],[cash_delta_mv]]+AE33*EXP(I33*(data[[#This Row],[ref_date]]-A33)/360)</f>
        <v>245.94847643782487</v>
      </c>
      <c r="AF34" s="65">
        <f>data[[#This Row],[portfolio_mv]]+data[[#This Row],[cash_acc_bs2]]</f>
        <v>5.2897063374441871</v>
      </c>
    </row>
    <row r="35" spans="1:32">
      <c r="A35" s="64">
        <v>45093</v>
      </c>
      <c r="B35" s="65">
        <v>30.75</v>
      </c>
      <c r="C35" s="65">
        <v>26.581</v>
      </c>
      <c r="D35" s="65">
        <v>342.33</v>
      </c>
      <c r="E35" s="63" t="s">
        <v>125</v>
      </c>
      <c r="F35" s="63" t="s">
        <v>126</v>
      </c>
      <c r="G35">
        <v>320</v>
      </c>
      <c r="H35" s="64">
        <v>45156</v>
      </c>
      <c r="I35" s="66">
        <v>0.02</v>
      </c>
      <c r="J35" s="65">
        <v>0.17499999999999999</v>
      </c>
      <c r="K35" s="65" cm="1">
        <f t="array" ref="K35">CallOption(data[[#This Row],[asset_price]],data[[#This Row],[sigma_impl]]/100,0,data[[#This Row],[r]],data[[#This Row],[K]],data[[#This Row],[t]])</f>
        <v>29.264934623897631</v>
      </c>
      <c r="L35" s="65">
        <f>data[[#This Row],[call]]-K34</f>
        <v>-4.8763332877073822</v>
      </c>
      <c r="M35" s="65">
        <f>data[[#This Row],[sigma_impl]]-C34</f>
        <v>-0.68200000000000216</v>
      </c>
      <c r="N35" s="65">
        <f>SQRT(data[[#This Row],[t]])</f>
        <v>0.41833001326703778</v>
      </c>
      <c r="O35" s="65">
        <f>data[[#This Row],[asset_price]]-D34</f>
        <v>-5.7700000000000387</v>
      </c>
      <c r="P35" s="65" cm="1">
        <f t="array" ref="P35">CallDelta(data[[#This Row],[asset_price]],data[[#This Row],[sigma_impl]]/100,0,data[[#This Row],[r]],data[[#This Row],[K]],data[[#This Row],[t]])</f>
        <v>0.75606382551969897</v>
      </c>
      <c r="Q35" s="65" cm="1">
        <f t="array" ref="Q35">CallVega(data[[#This Row],[asset_price]],data[[#This Row],[sigma_impl]]/100,0,data[[#This Row],[r]],data[[#This Row],[K]],data[[#This Row],[t]])</f>
        <v>44.913773771789785</v>
      </c>
      <c r="R35" s="65">
        <f>(data[[#This Row],[D_call]]-data[[#This Row],[delta_bs]]*data[[#This Row],[D_S]])*data[[#This Row],[sqrt_t]]*data[[#This Row],[asset_price]]</f>
        <v>-73.586158508037315</v>
      </c>
      <c r="S35" s="65">
        <f>data[[#This Row],[vega_bs]]*data[[#This Row],[D_S]]</f>
        <v>-259.15247466322882</v>
      </c>
      <c r="T35" s="65">
        <f>data[[#This Row],[y_num]]/data[[#This Row],[y_den]]</f>
        <v>0.28394927968047862</v>
      </c>
      <c r="U35" s="65">
        <f t="shared" si="2"/>
        <v>-4.3904110000000003</v>
      </c>
      <c r="V35" s="65">
        <f t="shared" si="0"/>
        <v>13.107970999999999</v>
      </c>
      <c r="W35" s="65">
        <f t="shared" si="1"/>
        <v>-9.5703019999999999</v>
      </c>
      <c r="X3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0.77154326333666967</v>
      </c>
      <c r="Y35" s="65">
        <f>data[[#This Row],[call]]-data[[#This Row],[delta_bs]]*data[[#This Row],[asset_price]]</f>
        <v>-229.55839476626093</v>
      </c>
      <c r="Z35" s="65">
        <f>(data[[#This Row],[delta_bs]]-P34)*data[[#This Row],[asset_price]]</f>
        <v>-13.01037300950669</v>
      </c>
      <c r="AA35" s="65">
        <f>data[[#This Row],[cash_delta_bs]]+AA34*EXP(I34*(data[[#This Row],[ref_date]]-A34)/360)</f>
        <v>230.50861295937756</v>
      </c>
      <c r="AB35" s="65">
        <f>data[[#This Row],[portfolio_bs]]+data[[#This Row],[cash_acc_bs]]</f>
        <v>0.95021819311662625</v>
      </c>
      <c r="AC35" s="65">
        <f>data[[#This Row],[call]]-data[[#This Row],[delta_mv]]*data[[#This Row],[asset_price]]</f>
        <v>-234.85747071414451</v>
      </c>
      <c r="AD35" s="65">
        <f>(data[[#This Row],[delta_mv]]-X34)*data[[#This Row],[asset_price]]</f>
        <v>-6.1226306074995209</v>
      </c>
      <c r="AE35" s="65">
        <f>data[[#This Row],[cash_delta_mv]]+AE34*EXP(I34*(data[[#This Row],[ref_date]]-A34)/360)</f>
        <v>239.83951001412899</v>
      </c>
      <c r="AF35" s="65">
        <f>data[[#This Row],[portfolio_mv]]+data[[#This Row],[cash_acc_bs2]]</f>
        <v>4.9820392999844785</v>
      </c>
    </row>
    <row r="36" spans="1:32">
      <c r="A36" s="64">
        <v>45097</v>
      </c>
      <c r="B36" s="65">
        <v>27.03</v>
      </c>
      <c r="C36" s="65">
        <v>26.84</v>
      </c>
      <c r="D36" s="65">
        <v>338.05</v>
      </c>
      <c r="E36" s="63" t="s">
        <v>125</v>
      </c>
      <c r="F36" s="63" t="s">
        <v>126</v>
      </c>
      <c r="G36">
        <v>320</v>
      </c>
      <c r="H36" s="64">
        <v>45156</v>
      </c>
      <c r="I36" s="66">
        <v>0.02</v>
      </c>
      <c r="J36" s="65">
        <v>0.16388888900000001</v>
      </c>
      <c r="K36" s="65" cm="1">
        <f t="array" ref="K36">CallOption(data[[#This Row],[asset_price]],data[[#This Row],[sigma_impl]]/100,0,data[[#This Row],[r]],data[[#This Row],[K]],data[[#This Row],[t]])</f>
        <v>25.769715726754441</v>
      </c>
      <c r="L36" s="65">
        <f>data[[#This Row],[call]]-K35</f>
        <v>-3.4952188971431895</v>
      </c>
      <c r="M36" s="65">
        <f>data[[#This Row],[sigma_impl]]-C35</f>
        <v>0.25900000000000034</v>
      </c>
      <c r="N36" s="65">
        <f>SQRT(data[[#This Row],[t]])</f>
        <v>0.40483192685360181</v>
      </c>
      <c r="O36" s="65">
        <f>data[[#This Row],[asset_price]]-D35</f>
        <v>-4.2799999999999727</v>
      </c>
      <c r="P36" s="65" cm="1">
        <f t="array" ref="P36">CallDelta(data[[#This Row],[asset_price]],data[[#This Row],[sigma_impl]]/100,0,data[[#This Row],[r]],data[[#This Row],[K]],data[[#This Row],[t]])</f>
        <v>0.72223869288357312</v>
      </c>
      <c r="Q36" s="65" cm="1">
        <f t="array" ref="Q36">CallVega(data[[#This Row],[asset_price]],data[[#This Row],[sigma_impl]]/100,0,data[[#This Row],[r]],data[[#This Row],[K]],data[[#This Row],[t]])</f>
        <v>45.888477647399405</v>
      </c>
      <c r="R36" s="65">
        <f>(data[[#This Row],[D_call]]-data[[#This Row],[delta_bs]]*data[[#This Row],[D_S]])*data[[#This Row],[sqrt_t]]*data[[#This Row],[asset_price]]</f>
        <v>-55.293890364320276</v>
      </c>
      <c r="S36" s="65">
        <f>data[[#This Row],[vega_bs]]*data[[#This Row],[D_S]]</f>
        <v>-196.4026843308682</v>
      </c>
      <c r="T36" s="65">
        <f>data[[#This Row],[y_num]]/data[[#This Row],[y_den]]</f>
        <v>0.28153327207671902</v>
      </c>
      <c r="U36" s="65">
        <f t="shared" si="2"/>
        <v>-4.3904110000000003</v>
      </c>
      <c r="V36" s="65">
        <f t="shared" si="0"/>
        <v>13.107970999999999</v>
      </c>
      <c r="W36" s="65">
        <f t="shared" si="1"/>
        <v>-9.5703019999999999</v>
      </c>
      <c r="X3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0.75058199457720576</v>
      </c>
      <c r="Y36" s="65">
        <f>data[[#This Row],[call]]-data[[#This Row],[delta_bs]]*data[[#This Row],[asset_price]]</f>
        <v>-218.38307440253746</v>
      </c>
      <c r="Z36" s="65">
        <f>(data[[#This Row],[delta_bs]]-P35)*data[[#This Row],[asset_price]]</f>
        <v>-11.434586087642346</v>
      </c>
      <c r="AA36" s="65">
        <f>data[[#This Row],[cash_delta_bs]]+AA35*EXP(I35*(data[[#This Row],[ref_date]]-A35)/360)</f>
        <v>219.12525669994073</v>
      </c>
      <c r="AB36" s="65">
        <f>data[[#This Row],[portfolio_bs]]+data[[#This Row],[cash_acc_bs]]</f>
        <v>0.74218229740327502</v>
      </c>
      <c r="AC36" s="65">
        <f>data[[#This Row],[call]]-data[[#This Row],[delta_mv]]*data[[#This Row],[asset_price]]</f>
        <v>-227.96452754006998</v>
      </c>
      <c r="AD36" s="65">
        <f>(data[[#This Row],[delta_mv]]-X35)*data[[#This Row],[asset_price]]</f>
        <v>-7.0859569041367765</v>
      </c>
      <c r="AE36" s="65">
        <f>data[[#This Row],[cash_delta_mv]]+AE35*EXP(I35*(data[[#This Row],[ref_date]]-A35)/360)</f>
        <v>232.80685670128616</v>
      </c>
      <c r="AF36" s="65">
        <f>data[[#This Row],[portfolio_mv]]+data[[#This Row],[cash_acc_bs2]]</f>
        <v>4.8423291612161847</v>
      </c>
    </row>
    <row r="37" spans="1:32">
      <c r="A37" s="64">
        <v>45098</v>
      </c>
      <c r="B37" s="65">
        <v>23.26</v>
      </c>
      <c r="C37" s="65">
        <v>26.065999999999999</v>
      </c>
      <c r="D37" s="65">
        <v>333.56</v>
      </c>
      <c r="E37" s="63" t="s">
        <v>125</v>
      </c>
      <c r="F37" s="63" t="s">
        <v>126</v>
      </c>
      <c r="G37">
        <v>320</v>
      </c>
      <c r="H37" s="64">
        <v>45156</v>
      </c>
      <c r="I37" s="66">
        <v>0.02</v>
      </c>
      <c r="J37" s="65">
        <v>0.161111111</v>
      </c>
      <c r="K37" s="65" cm="1">
        <f t="array" ref="K37">CallOption(data[[#This Row],[asset_price]],data[[#This Row],[sigma_impl]]/100,0,data[[#This Row],[r]],data[[#This Row],[K]],data[[#This Row],[t]])</f>
        <v>22.130358326612992</v>
      </c>
      <c r="L37" s="65">
        <f>data[[#This Row],[call]]-K36</f>
        <v>-3.6393574001414493</v>
      </c>
      <c r="M37" s="65">
        <f>data[[#This Row],[sigma_impl]]-C36</f>
        <v>-0.77400000000000091</v>
      </c>
      <c r="N37" s="65">
        <f>SQRT(data[[#This Row],[t]])</f>
        <v>0.40138648582133407</v>
      </c>
      <c r="O37" s="65">
        <f>data[[#This Row],[asset_price]]-D36</f>
        <v>-4.4900000000000091</v>
      </c>
      <c r="P37" s="65" cm="1">
        <f t="array" ref="P37">CallDelta(data[[#This Row],[asset_price]],data[[#This Row],[sigma_impl]]/100,0,data[[#This Row],[r]],data[[#This Row],[K]],data[[#This Row],[t]])</f>
        <v>0.68430823773704064</v>
      </c>
      <c r="Q37" s="65" cm="1">
        <f t="array" ref="Q37">CallVega(data[[#This Row],[asset_price]],data[[#This Row],[sigma_impl]]/100,0,data[[#This Row],[r]],data[[#This Row],[K]],data[[#This Row],[t]])</f>
        <v>47.606013153714706</v>
      </c>
      <c r="R37" s="65">
        <f>(data[[#This Row],[D_call]]-data[[#This Row],[delta_bs]]*data[[#This Row],[D_S]])*data[[#This Row],[sqrt_t]]*data[[#This Row],[asset_price]]</f>
        <v>-75.888650495572506</v>
      </c>
      <c r="S37" s="65">
        <f>data[[#This Row],[vega_bs]]*data[[#This Row],[D_S]]</f>
        <v>-213.75099906017945</v>
      </c>
      <c r="T37" s="65">
        <f>data[[#This Row],[y_num]]/data[[#This Row],[y_den]]</f>
        <v>0.35503296278959995</v>
      </c>
      <c r="U37" s="65">
        <f t="shared" si="2"/>
        <v>-4.3904110000000003</v>
      </c>
      <c r="V37" s="65">
        <f t="shared" si="0"/>
        <v>13.107970999999999</v>
      </c>
      <c r="W37" s="65">
        <f t="shared" si="1"/>
        <v>-9.5703019999999999</v>
      </c>
      <c r="X3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0.71912633101042001</v>
      </c>
      <c r="Y37" s="65">
        <f>data[[#This Row],[call]]-data[[#This Row],[delta_bs]]*data[[#This Row],[asset_price]]</f>
        <v>-206.12749745295429</v>
      </c>
      <c r="Z37" s="65">
        <f>(data[[#This Row],[delta_bs]]-P36)*data[[#This Row],[asset_price]]</f>
        <v>-12.652082618677374</v>
      </c>
      <c r="AA37" s="65">
        <f>data[[#This Row],[cash_delta_bs]]+AA36*EXP(I36*(data[[#This Row],[ref_date]]-A36)/360)</f>
        <v>206.48534804479806</v>
      </c>
      <c r="AB37" s="65">
        <f>data[[#This Row],[portfolio_bs]]+data[[#This Row],[cash_acc_bs]]</f>
        <v>0.35785059184377133</v>
      </c>
      <c r="AC37" s="65">
        <f>data[[#This Row],[call]]-data[[#This Row],[delta_mv]]*data[[#This Row],[asset_price]]</f>
        <v>-217.74142064522272</v>
      </c>
      <c r="AD37" s="65">
        <f>(data[[#This Row],[delta_mv]]-X36)*data[[#This Row],[asset_price]]</f>
        <v>-10.492351139337055</v>
      </c>
      <c r="AE37" s="65">
        <f>data[[#This Row],[cash_delta_mv]]+AE36*EXP(I36*(data[[#This Row],[ref_date]]-A36)/360)</f>
        <v>222.32743963548677</v>
      </c>
      <c r="AF37" s="65">
        <f>data[[#This Row],[portfolio_mv]]+data[[#This Row],[cash_acc_bs2]]</f>
        <v>4.5860189902640514</v>
      </c>
    </row>
    <row r="38" spans="1:32">
      <c r="A38" s="64">
        <v>45099</v>
      </c>
      <c r="B38" s="65">
        <v>27.85</v>
      </c>
      <c r="C38" s="65">
        <v>26.471</v>
      </c>
      <c r="D38" s="65">
        <v>339.71</v>
      </c>
      <c r="E38" s="63" t="s">
        <v>125</v>
      </c>
      <c r="F38" s="63" t="s">
        <v>126</v>
      </c>
      <c r="G38">
        <v>320</v>
      </c>
      <c r="H38" s="64">
        <v>45156</v>
      </c>
      <c r="I38" s="66">
        <v>0.02</v>
      </c>
      <c r="J38" s="65">
        <v>0.15833333299999999</v>
      </c>
      <c r="K38" s="65" cm="1">
        <f t="array" ref="K38">CallOption(data[[#This Row],[asset_price]],data[[#This Row],[sigma_impl]]/100,0,data[[#This Row],[r]],data[[#This Row],[K]],data[[#This Row],[t]])</f>
        <v>26.589413202079584</v>
      </c>
      <c r="L38" s="65">
        <f>data[[#This Row],[call]]-K37</f>
        <v>4.4590548754665917</v>
      </c>
      <c r="M38" s="65">
        <f>data[[#This Row],[sigma_impl]]-C37</f>
        <v>0.40500000000000114</v>
      </c>
      <c r="N38" s="65">
        <f>SQRT(data[[#This Row],[t]])</f>
        <v>0.39791121245825684</v>
      </c>
      <c r="O38" s="65">
        <f>data[[#This Row],[asset_price]]-D37</f>
        <v>6.1499999999999773</v>
      </c>
      <c r="P38" s="65" cm="1">
        <f t="array" ref="P38">CallDelta(data[[#This Row],[asset_price]],data[[#This Row],[sigma_impl]]/100,0,data[[#This Row],[r]],data[[#This Row],[K]],data[[#This Row],[t]])</f>
        <v>0.74221558602412196</v>
      </c>
      <c r="Q38" s="65" cm="1">
        <f t="array" ref="Q38">CallVega(data[[#This Row],[asset_price]],data[[#This Row],[sigma_impl]]/100,0,data[[#This Row],[r]],data[[#This Row],[K]],data[[#This Row],[t]])</f>
        <v>43.652185167670339</v>
      </c>
      <c r="R38" s="65">
        <f>(data[[#This Row],[D_call]]-data[[#This Row],[delta_bs]]*data[[#This Row],[D_S]])*data[[#This Row],[sqrt_t]]*data[[#This Row],[asset_price]]</f>
        <v>-14.270495585808712</v>
      </c>
      <c r="S38" s="65">
        <f>data[[#This Row],[vega_bs]]*data[[#This Row],[D_S]]</f>
        <v>268.46093878117159</v>
      </c>
      <c r="T38" s="65">
        <f>data[[#This Row],[y_num]]/data[[#This Row],[y_den]]</f>
        <v>-5.3156692554967584E-2</v>
      </c>
      <c r="U38" s="65">
        <f t="shared" si="2"/>
        <v>-4.3904110000000003</v>
      </c>
      <c r="V38" s="65">
        <f t="shared" si="0"/>
        <v>13.107970999999999</v>
      </c>
      <c r="W38" s="65">
        <f t="shared" si="1"/>
        <v>-9.5703019999999999</v>
      </c>
      <c r="X3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0.76365937513401594</v>
      </c>
      <c r="Y38" s="65">
        <f>data[[#This Row],[call]]-data[[#This Row],[delta_bs]]*data[[#This Row],[asset_price]]</f>
        <v>-225.54864352617489</v>
      </c>
      <c r="Z38" s="65">
        <f>(data[[#This Row],[delta_bs]]-P37)*data[[#This Row],[asset_price]]</f>
        <v>19.671705286604396</v>
      </c>
      <c r="AA38" s="65">
        <f>data[[#This Row],[cash_delta_bs]]+AA37*EXP(I37*(data[[#This Row],[ref_date]]-A37)/360)</f>
        <v>226.16852505828328</v>
      </c>
      <c r="AB38" s="65">
        <f>data[[#This Row],[portfolio_bs]]+data[[#This Row],[cash_acc_bs]]</f>
        <v>0.61988153210839414</v>
      </c>
      <c r="AC38" s="65">
        <f>data[[#This Row],[call]]-data[[#This Row],[delta_mv]]*data[[#This Row],[asset_price]]</f>
        <v>-232.83331312469693</v>
      </c>
      <c r="AD38" s="65">
        <f>(data[[#This Row],[delta_mv]]-X37)*data[[#This Row],[asset_price]]</f>
        <v>15.128320419226773</v>
      </c>
      <c r="AE38" s="65">
        <f>data[[#This Row],[cash_delta_mv]]+AE37*EXP(I37*(data[[#This Row],[ref_date]]-A37)/360)</f>
        <v>237.46811192224197</v>
      </c>
      <c r="AF38" s="65">
        <f>data[[#This Row],[portfolio_mv]]+data[[#This Row],[cash_acc_bs2]]</f>
        <v>4.6347987975450451</v>
      </c>
    </row>
    <row r="39" spans="1:32">
      <c r="A39" s="64">
        <v>45100</v>
      </c>
      <c r="B39" s="65">
        <v>23.89</v>
      </c>
      <c r="C39" s="65">
        <v>26.251000000000001</v>
      </c>
      <c r="D39" s="65">
        <v>335.02</v>
      </c>
      <c r="E39" s="63" t="s">
        <v>125</v>
      </c>
      <c r="F39" s="63" t="s">
        <v>126</v>
      </c>
      <c r="G39">
        <v>320</v>
      </c>
      <c r="H39" s="64">
        <v>45156</v>
      </c>
      <c r="I39" s="66">
        <v>0.02</v>
      </c>
      <c r="J39" s="65">
        <v>0.15555555600000001</v>
      </c>
      <c r="K39" s="65" cm="1">
        <f t="array" ref="K39">CallOption(data[[#This Row],[asset_price]],data[[#This Row],[sigma_impl]]/100,0,data[[#This Row],[r]],data[[#This Row],[K]],data[[#This Row],[t]])</f>
        <v>22.989685563433852</v>
      </c>
      <c r="L39" s="65">
        <f>data[[#This Row],[call]]-K38</f>
        <v>-3.5997276386457315</v>
      </c>
      <c r="M39" s="65">
        <f>data[[#This Row],[sigma_impl]]-C38</f>
        <v>-0.21999999999999886</v>
      </c>
      <c r="N39" s="65">
        <f>SQRT(data[[#This Row],[t]])</f>
        <v>0.3944053194367439</v>
      </c>
      <c r="O39" s="65">
        <f>data[[#This Row],[asset_price]]-D38</f>
        <v>-4.6899999999999977</v>
      </c>
      <c r="P39" s="65" cm="1">
        <f t="array" ref="P39">CallDelta(data[[#This Row],[asset_price]],data[[#This Row],[sigma_impl]]/100,0,data[[#This Row],[r]],data[[#This Row],[K]],data[[#This Row],[t]])</f>
        <v>0.70015496197485405</v>
      </c>
      <c r="Q39" s="65" cm="1">
        <f t="array" ref="Q39">CallVega(data[[#This Row],[asset_price]],data[[#This Row],[sigma_impl]]/100,0,data[[#This Row],[r]],data[[#This Row],[K]],data[[#This Row],[t]])</f>
        <v>45.931160736760908</v>
      </c>
      <c r="R39" s="65">
        <f>(data[[#This Row],[D_call]]-data[[#This Row],[delta_bs]]*data[[#This Row],[D_S]])*data[[#This Row],[sqrt_t]]*data[[#This Row],[asset_price]]</f>
        <v>-41.754354314926502</v>
      </c>
      <c r="S39" s="65">
        <f>data[[#This Row],[vega_bs]]*data[[#This Row],[D_S]]</f>
        <v>-215.41714385540857</v>
      </c>
      <c r="T39" s="65">
        <f>data[[#This Row],[y_num]]/data[[#This Row],[y_den]]</f>
        <v>0.19383022895778756</v>
      </c>
      <c r="U39" s="65">
        <f t="shared" si="2"/>
        <v>-4.3904110000000003</v>
      </c>
      <c r="V39" s="65">
        <f t="shared" si="0"/>
        <v>13.107970999999999</v>
      </c>
      <c r="W39" s="65">
        <f t="shared" si="1"/>
        <v>-9.5703019999999999</v>
      </c>
      <c r="X3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0.73341284319264521</v>
      </c>
      <c r="Y39" s="65">
        <f>data[[#This Row],[call]]-data[[#This Row],[delta_bs]]*data[[#This Row],[asset_price]]</f>
        <v>-211.57622979738173</v>
      </c>
      <c r="Z39" s="65">
        <f>(data[[#This Row],[delta_bs]]-P38)*data[[#This Row],[asset_price]]</f>
        <v>-14.091150268985736</v>
      </c>
      <c r="AA39" s="65">
        <f>data[[#This Row],[cash_delta_bs]]+AA38*EXP(I38*(data[[#This Row],[ref_date]]-A38)/360)</f>
        <v>212.08994005638829</v>
      </c>
      <c r="AB39" s="65">
        <f>data[[#This Row],[portfolio_bs]]+data[[#This Row],[cash_acc_bs]]</f>
        <v>0.51371025900655809</v>
      </c>
      <c r="AC39" s="65">
        <f>data[[#This Row],[call]]-data[[#This Row],[delta_mv]]*data[[#This Row],[asset_price]]</f>
        <v>-222.71828516296614</v>
      </c>
      <c r="AD39" s="65">
        <f>(data[[#This Row],[delta_mv]]-X38)*data[[#This Row],[asset_price]]</f>
        <v>-10.13319313099802</v>
      </c>
      <c r="AE39" s="65">
        <f>data[[#This Row],[cash_delta_mv]]+AE38*EXP(I38*(data[[#This Row],[ref_date]]-A38)/360)</f>
        <v>227.34811183059841</v>
      </c>
      <c r="AF39" s="65">
        <f>data[[#This Row],[portfolio_mv]]+data[[#This Row],[cash_acc_bs2]]</f>
        <v>4.6298266676322726</v>
      </c>
    </row>
    <row r="40" spans="1:32">
      <c r="A40" s="64">
        <v>45103</v>
      </c>
      <c r="B40" s="65">
        <v>19.649999999999999</v>
      </c>
      <c r="C40" s="65">
        <v>26.53</v>
      </c>
      <c r="D40" s="65">
        <v>328.6</v>
      </c>
      <c r="E40" s="63" t="s">
        <v>125</v>
      </c>
      <c r="F40" s="63" t="s">
        <v>126</v>
      </c>
      <c r="G40">
        <v>320</v>
      </c>
      <c r="H40" s="64">
        <v>45156</v>
      </c>
      <c r="I40" s="66">
        <v>0.02</v>
      </c>
      <c r="J40" s="65">
        <v>0.14722222200000001</v>
      </c>
      <c r="K40" s="65" cm="1">
        <f t="array" ref="K40">CallOption(data[[#This Row],[asset_price]],data[[#This Row],[sigma_impl]]/100,0,data[[#This Row],[r]],data[[#This Row],[K]],data[[#This Row],[t]])</f>
        <v>18.461818008992736</v>
      </c>
      <c r="L40" s="65">
        <f>data[[#This Row],[call]]-K39</f>
        <v>-4.5278675544411158</v>
      </c>
      <c r="M40" s="65">
        <f>data[[#This Row],[sigma_impl]]-C39</f>
        <v>0.27899999999999991</v>
      </c>
      <c r="N40" s="65">
        <f>SQRT(data[[#This Row],[t]])</f>
        <v>0.38369548081779647</v>
      </c>
      <c r="O40" s="65">
        <f>data[[#This Row],[asset_price]]-D39</f>
        <v>-6.4199999999999591</v>
      </c>
      <c r="P40" s="65" cm="1">
        <f t="array" ref="P40">CallDelta(data[[#This Row],[asset_price]],data[[#This Row],[sigma_impl]]/100,0,data[[#This Row],[r]],data[[#This Row],[K]],data[[#This Row],[t]])</f>
        <v>0.63320336736131333</v>
      </c>
      <c r="Q40" s="65" cm="1">
        <f t="array" ref="Q40">CallVega(data[[#This Row],[asset_price]],data[[#This Row],[sigma_impl]]/100,0,data[[#This Row],[r]],data[[#This Row],[K]],data[[#This Row],[t]])</f>
        <v>47.469036493052776</v>
      </c>
      <c r="R40" s="65">
        <f>(data[[#This Row],[D_call]]-data[[#This Row],[delta_bs]]*data[[#This Row],[D_S]])*data[[#This Row],[sqrt_t]]*data[[#This Row],[asset_price]]</f>
        <v>-58.338540496055316</v>
      </c>
      <c r="S40" s="65">
        <f>data[[#This Row],[vega_bs]]*data[[#This Row],[D_S]]</f>
        <v>-304.75121428539688</v>
      </c>
      <c r="T40" s="65">
        <f>data[[#This Row],[y_num]]/data[[#This Row],[y_den]]</f>
        <v>0.19143005101013896</v>
      </c>
      <c r="U40" s="65">
        <f t="shared" si="2"/>
        <v>-4.3904110000000003</v>
      </c>
      <c r="V40" s="65">
        <f t="shared" si="0"/>
        <v>13.107970999999999</v>
      </c>
      <c r="W40" s="65">
        <f t="shared" si="1"/>
        <v>-9.5703019999999999</v>
      </c>
      <c r="X4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0.66046941247844171</v>
      </c>
      <c r="Y40" s="65">
        <f>data[[#This Row],[call]]-data[[#This Row],[delta_bs]]*data[[#This Row],[asset_price]]</f>
        <v>-189.60880850593483</v>
      </c>
      <c r="Z40" s="65">
        <f>(data[[#This Row],[delta_bs]]-P39)*data[[#This Row],[asset_price]]</f>
        <v>-22.000293990009482</v>
      </c>
      <c r="AA40" s="65">
        <f>data[[#This Row],[cash_delta_bs]]+AA39*EXP(I39*(data[[#This Row],[ref_date]]-A39)/360)</f>
        <v>190.1249973355788</v>
      </c>
      <c r="AB40" s="65">
        <f>data[[#This Row],[portfolio_bs]]+data[[#This Row],[cash_acc_bs]]</f>
        <v>0.51618882964396562</v>
      </c>
      <c r="AC40" s="65">
        <f>data[[#This Row],[call]]-data[[#This Row],[delta_mv]]*data[[#This Row],[asset_price]]</f>
        <v>-198.56843093142322</v>
      </c>
      <c r="AD40" s="65">
        <f>(data[[#This Row],[delta_mv]]-X39)*data[[#This Row],[asset_price]]</f>
        <v>-23.969211332687273</v>
      </c>
      <c r="AE40" s="65">
        <f>data[[#This Row],[cash_delta_mv]]+AE39*EXP(I39*(data[[#This Row],[ref_date]]-A39)/360)</f>
        <v>203.416795007671</v>
      </c>
      <c r="AF40" s="65">
        <f>data[[#This Row],[portfolio_mv]]+data[[#This Row],[cash_acc_bs2]]</f>
        <v>4.8483640762477762</v>
      </c>
    </row>
    <row r="41" spans="1:32">
      <c r="A41" s="64">
        <v>45104</v>
      </c>
      <c r="B41" s="65">
        <v>23.8</v>
      </c>
      <c r="C41" s="65">
        <v>26.765999999999998</v>
      </c>
      <c r="D41" s="65">
        <v>334.57</v>
      </c>
      <c r="E41" s="63" t="s">
        <v>125</v>
      </c>
      <c r="F41" s="63" t="s">
        <v>126</v>
      </c>
      <c r="G41">
        <v>320</v>
      </c>
      <c r="H41" s="64">
        <v>45156</v>
      </c>
      <c r="I41" s="66">
        <v>0.02</v>
      </c>
      <c r="J41" s="65">
        <v>0.14444444400000001</v>
      </c>
      <c r="K41" s="65" cm="1">
        <f t="array" ref="K41">CallOption(data[[#This Row],[asset_price]],data[[#This Row],[sigma_impl]]/100,0,data[[#This Row],[r]],data[[#This Row],[K]],data[[#This Row],[t]])</f>
        <v>22.4173382414466</v>
      </c>
      <c r="L41" s="65">
        <f>data[[#This Row],[call]]-K40</f>
        <v>3.9555202324538641</v>
      </c>
      <c r="M41" s="65">
        <f>data[[#This Row],[sigma_impl]]-C40</f>
        <v>0.2359999999999971</v>
      </c>
      <c r="N41" s="65">
        <f>SQRT(data[[#This Row],[t]])</f>
        <v>0.38005847444834068</v>
      </c>
      <c r="O41" s="65">
        <f>data[[#This Row],[asset_price]]-D40</f>
        <v>5.9699999999999704</v>
      </c>
      <c r="P41" s="65" cm="1">
        <f t="array" ref="P41">CallDelta(data[[#This Row],[asset_price]],data[[#This Row],[sigma_impl]]/100,0,data[[#This Row],[r]],data[[#This Row],[K]],data[[#This Row],[t]])</f>
        <v>0.69740676258558221</v>
      </c>
      <c r="Q41" s="65" cm="1">
        <f t="array" ref="Q41">CallVega(data[[#This Row],[asset_price]],data[[#This Row],[sigma_impl]]/100,0,data[[#This Row],[r]],data[[#This Row],[K]],data[[#This Row],[t]])</f>
        <v>44.382951170020227</v>
      </c>
      <c r="R41" s="65">
        <f>(data[[#This Row],[D_call]]-data[[#This Row],[delta_bs]]*data[[#This Row],[D_S]])*data[[#This Row],[sqrt_t]]*data[[#This Row],[asset_price]]</f>
        <v>-26.448245582288688</v>
      </c>
      <c r="S41" s="65">
        <f>data[[#This Row],[vega_bs]]*data[[#This Row],[D_S]]</f>
        <v>264.96621848501945</v>
      </c>
      <c r="T41" s="65">
        <f>data[[#This Row],[y_num]]/data[[#This Row],[y_den]]</f>
        <v>-9.981742477780807E-2</v>
      </c>
      <c r="U41" s="65">
        <f t="shared" si="2"/>
        <v>-4.3904110000000003</v>
      </c>
      <c r="V41" s="65">
        <f t="shared" si="0"/>
        <v>13.107970999999999</v>
      </c>
      <c r="W41" s="65">
        <f t="shared" si="1"/>
        <v>-9.5703019999999999</v>
      </c>
      <c r="X4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0.73105783516705658</v>
      </c>
      <c r="Y41" s="65">
        <f>data[[#This Row],[call]]-data[[#This Row],[delta_bs]]*data[[#This Row],[asset_price]]</f>
        <v>-210.91404231681165</v>
      </c>
      <c r="Z41" s="65">
        <f>(data[[#This Row],[delta_bs]]-P40)*data[[#This Row],[asset_price]]</f>
        <v>21.480529940183636</v>
      </c>
      <c r="AA41" s="65">
        <f>data[[#This Row],[cash_delta_bs]]+AA40*EXP(I40*(data[[#This Row],[ref_date]]-A40)/360)</f>
        <v>211.61609006902259</v>
      </c>
      <c r="AB41" s="65">
        <f>data[[#This Row],[portfolio_bs]]+data[[#This Row],[cash_acc_bs]]</f>
        <v>0.70204775221094451</v>
      </c>
      <c r="AC41" s="65">
        <f>data[[#This Row],[call]]-data[[#This Row],[delta_mv]]*data[[#This Row],[asset_price]]</f>
        <v>-222.17268167039552</v>
      </c>
      <c r="AD41" s="65">
        <f>(data[[#This Row],[delta_mv]]-X40)*data[[#This Row],[asset_price]]</f>
        <v>23.616768578929879</v>
      </c>
      <c r="AE41" s="65">
        <f>data[[#This Row],[cash_delta_mv]]+AE40*EXP(I40*(data[[#This Row],[ref_date]]-A40)/360)</f>
        <v>227.04486483357746</v>
      </c>
      <c r="AF41" s="65">
        <f>data[[#This Row],[portfolio_mv]]+data[[#This Row],[cash_acc_bs2]]</f>
        <v>4.8721831631819441</v>
      </c>
    </row>
    <row r="42" spans="1:32">
      <c r="A42" s="64">
        <v>45105</v>
      </c>
      <c r="B42" s="65">
        <v>23.2</v>
      </c>
      <c r="C42" s="65">
        <v>27.274999999999999</v>
      </c>
      <c r="D42" s="65">
        <v>335.85</v>
      </c>
      <c r="E42" s="63" t="s">
        <v>125</v>
      </c>
      <c r="F42" s="63" t="s">
        <v>126</v>
      </c>
      <c r="G42">
        <v>320</v>
      </c>
      <c r="H42" s="64">
        <v>45156</v>
      </c>
      <c r="I42" s="66">
        <v>0.02</v>
      </c>
      <c r="J42" s="65">
        <v>0.141666667</v>
      </c>
      <c r="K42" s="65" cm="1">
        <f t="array" ref="K42">CallOption(data[[#This Row],[asset_price]],data[[#This Row],[sigma_impl]]/100,0,data[[#This Row],[r]],data[[#This Row],[K]],data[[#This Row],[t]])</f>
        <v>23.413737154150454</v>
      </c>
      <c r="L42" s="65">
        <f>data[[#This Row],[call]]-K41</f>
        <v>0.99639891270385306</v>
      </c>
      <c r="M42" s="65">
        <f>data[[#This Row],[sigma_impl]]-C41</f>
        <v>0.50900000000000034</v>
      </c>
      <c r="N42" s="65">
        <f>SQRT(data[[#This Row],[t]])</f>
        <v>0.37638632679734796</v>
      </c>
      <c r="O42" s="65">
        <f>data[[#This Row],[asset_price]]-D41</f>
        <v>1.2800000000000296</v>
      </c>
      <c r="P42" s="65" cm="1">
        <f t="array" ref="P42">CallDelta(data[[#This Row],[asset_price]],data[[#This Row],[sigma_impl]]/100,0,data[[#This Row],[r]],data[[#This Row],[K]],data[[#This Row],[t]])</f>
        <v>0.70878618466248389</v>
      </c>
      <c r="Q42" s="65" cm="1">
        <f t="array" ref="Q42">CallVega(data[[#This Row],[asset_price]],data[[#This Row],[sigma_impl]]/100,0,data[[#This Row],[r]],data[[#This Row],[K]],data[[#This Row],[t]])</f>
        <v>43.355074246009231</v>
      </c>
      <c r="R42" s="65">
        <f>(data[[#This Row],[D_call]]-data[[#This Row],[delta_bs]]*data[[#This Row],[D_S]])*data[[#This Row],[sqrt_t]]*data[[#This Row],[asset_price]]</f>
        <v>11.269721562385337</v>
      </c>
      <c r="S42" s="65">
        <f>data[[#This Row],[vega_bs]]*data[[#This Row],[D_S]]</f>
        <v>55.494495034893099</v>
      </c>
      <c r="T42" s="65">
        <f>data[[#This Row],[y_num]]/data[[#This Row],[y_den]]</f>
        <v>0.20307818920235798</v>
      </c>
      <c r="U42" s="65">
        <f t="shared" si="2"/>
        <v>-4.3904110000000003</v>
      </c>
      <c r="V42" s="65">
        <f t="shared" si="0"/>
        <v>13.107970999999999</v>
      </c>
      <c r="W42" s="65">
        <f t="shared" si="1"/>
        <v>-9.5703019999999999</v>
      </c>
      <c r="X4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0.74048722381298893</v>
      </c>
      <c r="Y42" s="65">
        <f>data[[#This Row],[call]]-data[[#This Row],[delta_bs]]*data[[#This Row],[asset_price]]</f>
        <v>-214.63210296474477</v>
      </c>
      <c r="Z42" s="65">
        <f>(data[[#This Row],[delta_bs]]-P41)*data[[#This Row],[asset_price]]</f>
        <v>3.8217789045274295</v>
      </c>
      <c r="AA42" s="65">
        <f>data[[#This Row],[cash_delta_bs]]+AA41*EXP(I41*(data[[#This Row],[ref_date]]-A41)/360)</f>
        <v>215.44962574957236</v>
      </c>
      <c r="AB42" s="65">
        <f>data[[#This Row],[portfolio_bs]]+data[[#This Row],[cash_acc_bs]]</f>
        <v>0.81752278482758811</v>
      </c>
      <c r="AC42" s="65">
        <f>data[[#This Row],[call]]-data[[#This Row],[delta_mv]]*data[[#This Row],[asset_price]]</f>
        <v>-225.27889696344189</v>
      </c>
      <c r="AD42" s="65">
        <f>(data[[#This Row],[delta_mv]]-X41)*data[[#This Row],[asset_price]]</f>
        <v>3.1668601767363787</v>
      </c>
      <c r="AE42" s="65">
        <f>data[[#This Row],[cash_delta_mv]]+AE41*EXP(I41*(data[[#This Row],[ref_date]]-A41)/360)</f>
        <v>230.22433896430005</v>
      </c>
      <c r="AF42" s="65">
        <f>data[[#This Row],[portfolio_mv]]+data[[#This Row],[cash_acc_bs2]]</f>
        <v>4.9454420008581508</v>
      </c>
    </row>
    <row r="43" spans="1:32">
      <c r="A43" s="64">
        <v>45106</v>
      </c>
      <c r="B43" s="65">
        <v>22.75</v>
      </c>
      <c r="C43" s="65">
        <v>26.923999999999999</v>
      </c>
      <c r="D43" s="65">
        <v>335.05</v>
      </c>
      <c r="E43" s="63" t="s">
        <v>125</v>
      </c>
      <c r="F43" s="63" t="s">
        <v>126</v>
      </c>
      <c r="G43">
        <v>320</v>
      </c>
      <c r="H43" s="64">
        <v>45156</v>
      </c>
      <c r="I43" s="66">
        <v>0.02</v>
      </c>
      <c r="J43" s="65">
        <v>0.13888888899999999</v>
      </c>
      <c r="K43" s="65" cm="1">
        <f t="array" ref="K43">CallOption(data[[#This Row],[asset_price]],data[[#This Row],[sigma_impl]]/100,0,data[[#This Row],[r]],data[[#This Row],[K]],data[[#This Row],[t]])</f>
        <v>22.568850618755363</v>
      </c>
      <c r="L43" s="65">
        <f>data[[#This Row],[call]]-K42</f>
        <v>-0.84488653539509073</v>
      </c>
      <c r="M43" s="65">
        <f>data[[#This Row],[sigma_impl]]-C42</f>
        <v>-0.35099999999999909</v>
      </c>
      <c r="N43" s="65">
        <f>SQRT(data[[#This Row],[t]])</f>
        <v>0.37267799639903615</v>
      </c>
      <c r="O43" s="65">
        <f>data[[#This Row],[asset_price]]-D42</f>
        <v>-0.80000000000001137</v>
      </c>
      <c r="P43" s="65" cm="1">
        <f t="array" ref="P43">CallDelta(data[[#This Row],[asset_price]],data[[#This Row],[sigma_impl]]/100,0,data[[#This Row],[r]],data[[#This Row],[K]],data[[#This Row],[t]])</f>
        <v>0.70398097259543224</v>
      </c>
      <c r="Q43" s="65" cm="1">
        <f t="array" ref="Q43">CallVega(data[[#This Row],[asset_price]],data[[#This Row],[sigma_impl]]/100,0,data[[#This Row],[r]],data[[#This Row],[K]],data[[#This Row],[t]])</f>
        <v>43.151381082023377</v>
      </c>
      <c r="R43" s="65">
        <f>(data[[#This Row],[D_call]]-data[[#This Row],[delta_bs]]*data[[#This Row],[D_S]])*data[[#This Row],[sqrt_t]]*data[[#This Row],[asset_price]]</f>
        <v>-35.174904779702509</v>
      </c>
      <c r="S43" s="65">
        <f>data[[#This Row],[vega_bs]]*data[[#This Row],[D_S]]</f>
        <v>-34.521104865619193</v>
      </c>
      <c r="T43" s="65">
        <f>data[[#This Row],[y_num]]/data[[#This Row],[y_den]]</f>
        <v>1.0189391364102733</v>
      </c>
      <c r="U43" s="65">
        <f t="shared" si="2"/>
        <v>-4.3904110000000003</v>
      </c>
      <c r="V43" s="65">
        <f t="shared" si="0"/>
        <v>13.107970999999999</v>
      </c>
      <c r="W43" s="65">
        <f t="shared" si="1"/>
        <v>-9.5703019999999999</v>
      </c>
      <c r="X4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0.73660834166608324</v>
      </c>
      <c r="Y43" s="65">
        <f>data[[#This Row],[call]]-data[[#This Row],[delta_bs]]*data[[#This Row],[asset_price]]</f>
        <v>-213.29997424934422</v>
      </c>
      <c r="Z43" s="65">
        <f>(data[[#This Row],[delta_bs]]-P42)*data[[#This Row],[asset_price]]</f>
        <v>-1.6099863030656538</v>
      </c>
      <c r="AA43" s="65">
        <f>data[[#This Row],[cash_delta_bs]]+AA42*EXP(I42*(data[[#This Row],[ref_date]]-A42)/360)</f>
        <v>213.8516092026496</v>
      </c>
      <c r="AB43" s="65">
        <f>data[[#This Row],[portfolio_bs]]+data[[#This Row],[cash_acc_bs]]</f>
        <v>0.55163495330538126</v>
      </c>
      <c r="AC43" s="65">
        <f>data[[#This Row],[call]]-data[[#This Row],[delta_mv]]*data[[#This Row],[asset_price]]</f>
        <v>-224.23177425646583</v>
      </c>
      <c r="AD43" s="65">
        <f>(data[[#This Row],[delta_mv]]-X42)*data[[#This Row],[asset_price]]</f>
        <v>-1.299619463320749</v>
      </c>
      <c r="AE43" s="65">
        <f>data[[#This Row],[cash_delta_mv]]+AE42*EXP(I42*(data[[#This Row],[ref_date]]-A42)/360)</f>
        <v>228.93751009732389</v>
      </c>
      <c r="AF43" s="65">
        <f>data[[#This Row],[portfolio_mv]]+data[[#This Row],[cash_acc_bs2]]</f>
        <v>4.7057358408580683</v>
      </c>
    </row>
    <row r="44" spans="1:32">
      <c r="A44" s="64">
        <v>45107</v>
      </c>
      <c r="B44" s="65">
        <v>27.85</v>
      </c>
      <c r="C44" s="65">
        <v>26.86</v>
      </c>
      <c r="D44" s="65">
        <v>340.54</v>
      </c>
      <c r="E44" s="63" t="s">
        <v>125</v>
      </c>
      <c r="F44" s="63" t="s">
        <v>126</v>
      </c>
      <c r="G44">
        <v>320</v>
      </c>
      <c r="H44" s="64">
        <v>45156</v>
      </c>
      <c r="I44" s="66">
        <v>0.02</v>
      </c>
      <c r="J44" s="65">
        <v>0.13611111100000001</v>
      </c>
      <c r="K44" s="65" cm="1">
        <f t="array" ref="K44">CallOption(data[[#This Row],[asset_price]],data[[#This Row],[sigma_impl]]/100,0,data[[#This Row],[r]],data[[#This Row],[K]],data[[#This Row],[t]])</f>
        <v>26.437983929587034</v>
      </c>
      <c r="L44" s="65">
        <f>data[[#This Row],[call]]-K43</f>
        <v>3.8691333108316712</v>
      </c>
      <c r="M44" s="65">
        <f>data[[#This Row],[sigma_impl]]-C43</f>
        <v>-6.4000000000000057E-2</v>
      </c>
      <c r="N44" s="65">
        <f>SQRT(data[[#This Row],[t]])</f>
        <v>0.36893239353572627</v>
      </c>
      <c r="O44" s="65">
        <f>data[[#This Row],[asset_price]]-D43</f>
        <v>5.4900000000000091</v>
      </c>
      <c r="P44" s="65" cm="1">
        <f t="array" ref="P44">CallDelta(data[[#This Row],[asset_price]],data[[#This Row],[sigma_impl]]/100,0,data[[#This Row],[r]],data[[#This Row],[K]],data[[#This Row],[t]])</f>
        <v>0.75953719937999686</v>
      </c>
      <c r="Q44" s="65" cm="1">
        <f t="array" ref="Q44">CallVega(data[[#This Row],[asset_price]],data[[#This Row],[sigma_impl]]/100,0,data[[#This Row],[r]],data[[#This Row],[K]],data[[#This Row],[t]])</f>
        <v>39.097969383150996</v>
      </c>
      <c r="R44" s="65">
        <f>(data[[#This Row],[D_call]]-data[[#This Row],[delta_bs]]*data[[#This Row],[D_S]])*data[[#This Row],[sqrt_t]]*data[[#This Row],[asset_price]]</f>
        <v>-37.782072262371337</v>
      </c>
      <c r="S44" s="65">
        <f>data[[#This Row],[vega_bs]]*data[[#This Row],[D_S]]</f>
        <v>214.64785191349932</v>
      </c>
      <c r="T44" s="65">
        <f>data[[#This Row],[y_num]]/data[[#This Row],[y_den]]</f>
        <v>-0.17601886963023086</v>
      </c>
      <c r="U44" s="65">
        <f t="shared" si="2"/>
        <v>-4.3904110000000003</v>
      </c>
      <c r="V44" s="65">
        <f t="shared" si="0"/>
        <v>13.107970999999999</v>
      </c>
      <c r="W44" s="65">
        <f t="shared" si="1"/>
        <v>-9.5703019999999999</v>
      </c>
      <c r="X4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0.77338695676573888</v>
      </c>
      <c r="Y44" s="65">
        <f>data[[#This Row],[call]]-data[[#This Row],[delta_bs]]*data[[#This Row],[asset_price]]</f>
        <v>-232.21481394727712</v>
      </c>
      <c r="Z44" s="65">
        <f>(data[[#This Row],[delta_bs]]-P43)*data[[#This Row],[asset_price]]</f>
        <v>18.919117469215639</v>
      </c>
      <c r="AA44" s="65">
        <f>data[[#This Row],[cash_delta_bs]]+AA43*EXP(I43*(data[[#This Row],[ref_date]]-A43)/360)</f>
        <v>232.78260764684495</v>
      </c>
      <c r="AB44" s="65">
        <f>data[[#This Row],[portfolio_bs]]+data[[#This Row],[cash_acc_bs]]</f>
        <v>0.56779369956782944</v>
      </c>
      <c r="AC44" s="65">
        <f>data[[#This Row],[call]]-data[[#This Row],[delta_mv]]*data[[#This Row],[asset_price]]</f>
        <v>-236.93121032741769</v>
      </c>
      <c r="AD44" s="65">
        <f>(data[[#This Row],[delta_mv]]-X43)*data[[#This Row],[asset_price]]</f>
        <v>12.524589586036729</v>
      </c>
      <c r="AE44" s="65">
        <f>data[[#This Row],[cash_delta_mv]]+AE43*EXP(I43*(data[[#This Row],[ref_date]]-A43)/360)</f>
        <v>241.47481878722675</v>
      </c>
      <c r="AF44" s="65">
        <f>data[[#This Row],[portfolio_mv]]+data[[#This Row],[cash_acc_bs2]]</f>
        <v>4.5436084598090645</v>
      </c>
    </row>
    <row r="45" spans="1:32">
      <c r="A45" s="64">
        <v>45110</v>
      </c>
      <c r="B45" s="65">
        <v>25.3</v>
      </c>
      <c r="C45" s="65">
        <v>26.501999999999999</v>
      </c>
      <c r="D45" s="65">
        <v>337.99</v>
      </c>
      <c r="E45" s="63" t="s">
        <v>125</v>
      </c>
      <c r="F45" s="63" t="s">
        <v>126</v>
      </c>
      <c r="G45">
        <v>320</v>
      </c>
      <c r="H45" s="64">
        <v>45156</v>
      </c>
      <c r="I45" s="66">
        <v>0.02</v>
      </c>
      <c r="J45" s="65">
        <v>0.12777777800000001</v>
      </c>
      <c r="K45" s="65" cm="1">
        <f t="array" ref="K45">CallOption(data[[#This Row],[asset_price]],data[[#This Row],[sigma_impl]]/100,0,data[[#This Row],[r]],data[[#This Row],[K]],data[[#This Row],[t]])</f>
        <v>24.015073674721123</v>
      </c>
      <c r="L45" s="65">
        <f>data[[#This Row],[call]]-K44</f>
        <v>-2.4229102548659114</v>
      </c>
      <c r="M45" s="65">
        <f>data[[#This Row],[sigma_impl]]-C44</f>
        <v>-0.35800000000000054</v>
      </c>
      <c r="N45" s="65">
        <f>SQRT(data[[#This Row],[t]])</f>
        <v>0.35746017680295522</v>
      </c>
      <c r="O45" s="65">
        <f>data[[#This Row],[asset_price]]-D44</f>
        <v>-2.5500000000000114</v>
      </c>
      <c r="P45" s="65" cm="1">
        <f t="array" ref="P45">CallDelta(data[[#This Row],[asset_price]],data[[#This Row],[sigma_impl]]/100,0,data[[#This Row],[r]],data[[#This Row],[K]],data[[#This Row],[t]])</f>
        <v>0.74270247647334631</v>
      </c>
      <c r="Q45" s="65" cm="1">
        <f t="array" ref="Q45">CallVega(data[[#This Row],[asset_price]],data[[#This Row],[sigma_impl]]/100,0,data[[#This Row],[r]],data[[#This Row],[K]],data[[#This Row],[t]])</f>
        <v>38.977731007758777</v>
      </c>
      <c r="R45" s="65">
        <f>(data[[#This Row],[D_call]]-data[[#This Row],[delta_bs]]*data[[#This Row],[D_S]])*data[[#This Row],[sqrt_t]]*data[[#This Row],[asset_price]]</f>
        <v>-63.914991843595736</v>
      </c>
      <c r="S45" s="65">
        <f>data[[#This Row],[vega_bs]]*data[[#This Row],[D_S]]</f>
        <v>-99.39321406978533</v>
      </c>
      <c r="T45" s="65">
        <f>data[[#This Row],[y_num]]/data[[#This Row],[y_den]]</f>
        <v>0.64305186668699688</v>
      </c>
      <c r="U45" s="65">
        <f t="shared" si="2"/>
        <v>-4.3904110000000003</v>
      </c>
      <c r="V45" s="65">
        <f t="shared" si="0"/>
        <v>13.107970999999999</v>
      </c>
      <c r="W45" s="65">
        <f t="shared" si="1"/>
        <v>-9.5703019999999999</v>
      </c>
      <c r="X4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0.76395193987613741</v>
      </c>
      <c r="Y45" s="65">
        <f>data[[#This Row],[call]]-data[[#This Row],[delta_bs]]*data[[#This Row],[asset_price]]</f>
        <v>-227.0109363485052</v>
      </c>
      <c r="Z45" s="65">
        <f>(data[[#This Row],[delta_bs]]-P44)*data[[#This Row],[asset_price]]</f>
        <v>-5.6899679952188214</v>
      </c>
      <c r="AA45" s="65">
        <f>data[[#This Row],[cash_delta_bs]]+AA44*EXP(I44*(data[[#This Row],[ref_date]]-A44)/360)</f>
        <v>227.13143998617201</v>
      </c>
      <c r="AB45" s="65">
        <f>data[[#This Row],[portfolio_bs]]+data[[#This Row],[cash_acc_bs]]</f>
        <v>0.12050363766681471</v>
      </c>
      <c r="AC45" s="65">
        <f>data[[#This Row],[call]]-data[[#This Row],[delta_mv]]*data[[#This Row],[asset_price]]</f>
        <v>-234.19304248401454</v>
      </c>
      <c r="AD45" s="65">
        <f>(data[[#This Row],[delta_mv]]-X44)*data[[#This Row],[asset_price]]</f>
        <v>-3.1889413585163995</v>
      </c>
      <c r="AE45" s="65">
        <f>data[[#This Row],[cash_delta_mv]]+AE44*EXP(I44*(data[[#This Row],[ref_date]]-A44)/360)</f>
        <v>238.32612658584483</v>
      </c>
      <c r="AF45" s="65">
        <f>data[[#This Row],[portfolio_mv]]+data[[#This Row],[cash_acc_bs2]]</f>
        <v>4.133084101830292</v>
      </c>
    </row>
    <row r="46" spans="1:32">
      <c r="A46" s="64">
        <v>45112</v>
      </c>
      <c r="B46" s="65">
        <v>25.3</v>
      </c>
      <c r="C46" s="65">
        <v>26.844000000000001</v>
      </c>
      <c r="D46" s="65">
        <v>338.15</v>
      </c>
      <c r="E46" s="63" t="s">
        <v>125</v>
      </c>
      <c r="F46" s="63" t="s">
        <v>126</v>
      </c>
      <c r="G46">
        <v>320</v>
      </c>
      <c r="H46" s="64">
        <v>45156</v>
      </c>
      <c r="I46" s="66">
        <v>0.02</v>
      </c>
      <c r="J46" s="65">
        <v>0.12222222200000001</v>
      </c>
      <c r="K46" s="65" cm="1">
        <f t="array" ref="K46">CallOption(data[[#This Row],[asset_price]],data[[#This Row],[sigma_impl]]/100,0,data[[#This Row],[r]],data[[#This Row],[K]],data[[#This Row],[t]])</f>
        <v>24.012434527011607</v>
      </c>
      <c r="L46" s="65">
        <f>data[[#This Row],[call]]-K45</f>
        <v>-2.6391477095160099E-3</v>
      </c>
      <c r="M46" s="65">
        <f>data[[#This Row],[sigma_impl]]-C45</f>
        <v>0.3420000000000023</v>
      </c>
      <c r="N46" s="65">
        <f>SQRT(data[[#This Row],[t]])</f>
        <v>0.34960294907222966</v>
      </c>
      <c r="O46" s="65">
        <f>data[[#This Row],[asset_price]]-D45</f>
        <v>0.15999999999996817</v>
      </c>
      <c r="P46" s="65" cm="1">
        <f t="array" ref="P46">CallDelta(data[[#This Row],[asset_price]],data[[#This Row],[sigma_impl]]/100,0,data[[#This Row],[r]],data[[#This Row],[K]],data[[#This Row],[t]])</f>
        <v>0.74563773495719954</v>
      </c>
      <c r="Q46" s="65" cm="1">
        <f t="array" ref="Q46">CallVega(data[[#This Row],[asset_price]],data[[#This Row],[sigma_impl]]/100,0,data[[#This Row],[r]],data[[#This Row],[K]],data[[#This Row],[t]])</f>
        <v>37.911296923544683</v>
      </c>
      <c r="R46" s="65">
        <f>(data[[#This Row],[D_call]]-data[[#This Row],[delta_bs]]*data[[#This Row],[D_S]])*data[[#This Row],[sqrt_t]]*data[[#This Row],[asset_price]]</f>
        <v>-14.415671972065937</v>
      </c>
      <c r="S46" s="65">
        <f>data[[#This Row],[vega_bs]]*data[[#This Row],[D_S]]</f>
        <v>6.0658075077659426</v>
      </c>
      <c r="T46" s="65">
        <f>data[[#This Row],[y_num]]/data[[#This Row],[y_den]]</f>
        <v>-2.3765462312494776</v>
      </c>
      <c r="U46" s="65">
        <f t="shared" si="2"/>
        <v>-4.3904110000000003</v>
      </c>
      <c r="V46" s="65">
        <f t="shared" si="0"/>
        <v>13.107970999999999</v>
      </c>
      <c r="W46" s="65">
        <f t="shared" si="1"/>
        <v>-9.5703019999999999</v>
      </c>
      <c r="X4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0.7656910978892949</v>
      </c>
      <c r="Y46" s="65">
        <f>data[[#This Row],[call]]-data[[#This Row],[delta_bs]]*data[[#This Row],[asset_price]]</f>
        <v>-228.1249655487654</v>
      </c>
      <c r="Z46" s="65">
        <f>(data[[#This Row],[delta_bs]]-P45)*data[[#This Row],[asset_price]]</f>
        <v>0.99255765631497017</v>
      </c>
      <c r="AA46" s="65">
        <f>data[[#This Row],[cash_delta_bs]]+AA45*EXP(I45*(data[[#This Row],[ref_date]]-A45)/360)</f>
        <v>228.14923587124997</v>
      </c>
      <c r="AB46" s="65">
        <f>data[[#This Row],[portfolio_bs]]+data[[#This Row],[cash_acc_bs]]</f>
        <v>2.4270322484568396E-2</v>
      </c>
      <c r="AC46" s="65">
        <f>data[[#This Row],[call]]-data[[#This Row],[delta_mv]]*data[[#This Row],[asset_price]]</f>
        <v>-234.90601022425344</v>
      </c>
      <c r="AD46" s="65">
        <f>(data[[#This Row],[delta_mv]]-X45)*data[[#This Row],[asset_price]]</f>
        <v>0.5880962821492064</v>
      </c>
      <c r="AE46" s="65">
        <f>data[[#This Row],[cash_delta_mv]]+AE45*EXP(I45*(data[[#This Row],[ref_date]]-A45)/360)</f>
        <v>238.9407050199292</v>
      </c>
      <c r="AF46" s="65">
        <f>data[[#This Row],[portfolio_mv]]+data[[#This Row],[cash_acc_bs2]]</f>
        <v>4.0346947956757617</v>
      </c>
    </row>
    <row r="47" spans="1:32">
      <c r="A47" s="64">
        <v>45113</v>
      </c>
      <c r="B47" s="65">
        <v>27.48</v>
      </c>
      <c r="C47" s="65">
        <v>28.809000000000001</v>
      </c>
      <c r="D47" s="65">
        <v>341.27</v>
      </c>
      <c r="E47" s="63" t="s">
        <v>125</v>
      </c>
      <c r="F47" s="63" t="s">
        <v>126</v>
      </c>
      <c r="G47">
        <v>320</v>
      </c>
      <c r="H47" s="64">
        <v>45156</v>
      </c>
      <c r="I47" s="66">
        <v>0.02</v>
      </c>
      <c r="J47" s="65">
        <v>0.119444444</v>
      </c>
      <c r="K47" s="65" cm="1">
        <f t="array" ref="K47">CallOption(data[[#This Row],[asset_price]],data[[#This Row],[sigma_impl]]/100,0,data[[#This Row],[r]],data[[#This Row],[K]],data[[#This Row],[t]])</f>
        <v>26.966174088274528</v>
      </c>
      <c r="L47" s="65">
        <f>data[[#This Row],[call]]-K46</f>
        <v>2.9537395612629211</v>
      </c>
      <c r="M47" s="65">
        <f>data[[#This Row],[sigma_impl]]-C46</f>
        <v>1.9649999999999999</v>
      </c>
      <c r="N47" s="65">
        <f>SQRT(data[[#This Row],[t]])</f>
        <v>0.34560735524580494</v>
      </c>
      <c r="O47" s="65">
        <f>data[[#This Row],[asset_price]]-D46</f>
        <v>3.1200000000000045</v>
      </c>
      <c r="P47" s="65" cm="1">
        <f t="array" ref="P47">CallDelta(data[[#This Row],[asset_price]],data[[#This Row],[sigma_impl]]/100,0,data[[#This Row],[r]],data[[#This Row],[K]],data[[#This Row],[t]])</f>
        <v>0.76427160269340833</v>
      </c>
      <c r="Q47" s="65" cm="1">
        <f t="array" ref="Q47">CallVega(data[[#This Row],[asset_price]],data[[#This Row],[sigma_impl]]/100,0,data[[#This Row],[r]],data[[#This Row],[K]],data[[#This Row],[t]])</f>
        <v>36.306757275752467</v>
      </c>
      <c r="R47" s="65">
        <f>(data[[#This Row],[D_call]]-data[[#This Row],[delta_bs]]*data[[#This Row],[D_S]])*data[[#This Row],[sqrt_t]]*data[[#This Row],[asset_price]]</f>
        <v>67.135968591104856</v>
      </c>
      <c r="S47" s="65">
        <f>data[[#This Row],[vega_bs]]*data[[#This Row],[D_S]]</f>
        <v>113.27708270034786</v>
      </c>
      <c r="T47" s="65">
        <f>data[[#This Row],[y_num]]/data[[#This Row],[y_den]]</f>
        <v>0.5926703530024674</v>
      </c>
      <c r="U47" s="65">
        <f t="shared" si="2"/>
        <v>-4.3904110000000003</v>
      </c>
      <c r="V47" s="65">
        <f t="shared" si="0"/>
        <v>13.107970999999999</v>
      </c>
      <c r="W47" s="65">
        <f t="shared" si="1"/>
        <v>-9.5703019999999999</v>
      </c>
      <c r="X4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0.77582112159947214</v>
      </c>
      <c r="Y47" s="65">
        <f>data[[#This Row],[call]]-data[[#This Row],[delta_bs]]*data[[#This Row],[asset_price]]</f>
        <v>-233.85679576290491</v>
      </c>
      <c r="Z47" s="65">
        <f>(data[[#This Row],[delta_bs]]-P46)*data[[#This Row],[asset_price]]</f>
        <v>6.3591800423359723</v>
      </c>
      <c r="AA47" s="65">
        <f>data[[#This Row],[cash_delta_bs]]+AA46*EXP(I46*(data[[#This Row],[ref_date]]-A46)/360)</f>
        <v>234.52109122322298</v>
      </c>
      <c r="AB47" s="65">
        <f>data[[#This Row],[portfolio_bs]]+data[[#This Row],[cash_acc_bs]]</f>
        <v>0.66429546031807263</v>
      </c>
      <c r="AC47" s="65">
        <f>data[[#This Row],[call]]-data[[#This Row],[delta_mv]]*data[[#This Row],[asset_price]]</f>
        <v>-237.79830007997734</v>
      </c>
      <c r="AD47" s="65">
        <f>(data[[#This Row],[delta_mv]]-X46)*data[[#This Row],[asset_price]]</f>
        <v>3.457073191572186</v>
      </c>
      <c r="AE47" s="65">
        <f>data[[#This Row],[cash_delta_mv]]+AE46*EXP(I46*(data[[#This Row],[ref_date]]-A46)/360)</f>
        <v>242.41105306385606</v>
      </c>
      <c r="AF47" s="65">
        <f>data[[#This Row],[portfolio_mv]]+data[[#This Row],[cash_acc_bs2]]</f>
        <v>4.6127529838787211</v>
      </c>
    </row>
    <row r="48" spans="1:32">
      <c r="A48" s="64">
        <v>45114</v>
      </c>
      <c r="B48" s="65">
        <v>25</v>
      </c>
      <c r="C48" s="65">
        <v>28.137</v>
      </c>
      <c r="D48" s="65">
        <v>337.22</v>
      </c>
      <c r="E48" s="63" t="s">
        <v>125</v>
      </c>
      <c r="F48" s="63" t="s">
        <v>126</v>
      </c>
      <c r="G48">
        <v>320</v>
      </c>
      <c r="H48" s="64">
        <v>45156</v>
      </c>
      <c r="I48" s="66">
        <v>0.02</v>
      </c>
      <c r="J48" s="65">
        <v>0.116666667</v>
      </c>
      <c r="K48" s="65" cm="1">
        <f t="array" ref="K48">CallOption(data[[#This Row],[asset_price]],data[[#This Row],[sigma_impl]]/100,0,data[[#This Row],[r]],data[[#This Row],[K]],data[[#This Row],[t]])</f>
        <v>23.548532406310954</v>
      </c>
      <c r="L48" s="65">
        <f>data[[#This Row],[call]]-K47</f>
        <v>-3.4176416819635733</v>
      </c>
      <c r="M48" s="65">
        <f>data[[#This Row],[sigma_impl]]-C47</f>
        <v>-0.6720000000000006</v>
      </c>
      <c r="N48" s="65">
        <f>SQRT(data[[#This Row],[t]])</f>
        <v>0.34156502601993666</v>
      </c>
      <c r="O48" s="65">
        <f>data[[#This Row],[asset_price]]-D47</f>
        <v>-4.0499999999999545</v>
      </c>
      <c r="P48" s="65" cm="1">
        <f t="array" ref="P48">CallDelta(data[[#This Row],[asset_price]],data[[#This Row],[sigma_impl]]/100,0,data[[#This Row],[r]],data[[#This Row],[K]],data[[#This Row],[t]])</f>
        <v>0.7316179611352629</v>
      </c>
      <c r="Q48" s="65" cm="1">
        <f t="array" ref="Q48">CallVega(data[[#This Row],[asset_price]],data[[#This Row],[sigma_impl]]/100,0,data[[#This Row],[r]],data[[#This Row],[K]],data[[#This Row],[t]])</f>
        <v>37.969940365255368</v>
      </c>
      <c r="R48" s="65">
        <f>(data[[#This Row],[D_call]]-data[[#This Row],[delta_bs]]*data[[#This Row],[D_S]])*data[[#This Row],[sqrt_t]]*data[[#This Row],[asset_price]]</f>
        <v>-52.360716908499818</v>
      </c>
      <c r="S48" s="65">
        <f>data[[#This Row],[vega_bs]]*data[[#This Row],[D_S]]</f>
        <v>-153.77825847928253</v>
      </c>
      <c r="T48" s="65">
        <f>data[[#This Row],[y_num]]/data[[#This Row],[y_den]]</f>
        <v>0.34049492708719947</v>
      </c>
      <c r="U48" s="65">
        <f t="shared" si="2"/>
        <v>-4.3904110000000003</v>
      </c>
      <c r="V48" s="65">
        <f t="shared" si="0"/>
        <v>13.107970999999999</v>
      </c>
      <c r="W48" s="65">
        <f t="shared" si="1"/>
        <v>-9.5703019999999999</v>
      </c>
      <c r="X4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0.75699107522740561</v>
      </c>
      <c r="Y48" s="65">
        <f>data[[#This Row],[call]]-data[[#This Row],[delta_bs]]*data[[#This Row],[asset_price]]</f>
        <v>-223.16767644772241</v>
      </c>
      <c r="Z48" s="65">
        <f>(data[[#This Row],[delta_bs]]-P47)*data[[#This Row],[asset_price]]</f>
        <v>-11.011461006237802</v>
      </c>
      <c r="AA48" s="65">
        <f>data[[#This Row],[cash_delta_bs]]+AA47*EXP(I47*(data[[#This Row],[ref_date]]-A47)/360)</f>
        <v>223.52265952841952</v>
      </c>
      <c r="AB48" s="65">
        <f>data[[#This Row],[portfolio_bs]]+data[[#This Row],[cash_acc_bs]]</f>
        <v>0.35498308069711015</v>
      </c>
      <c r="AC48" s="65">
        <f>data[[#This Row],[call]]-data[[#This Row],[delta_mv]]*data[[#This Row],[asset_price]]</f>
        <v>-231.72399798187479</v>
      </c>
      <c r="AD48" s="65">
        <f>(data[[#This Row],[delta_mv]]-X47)*data[[#This Row],[asset_price]]</f>
        <v>-6.3498682375882769</v>
      </c>
      <c r="AE48" s="65">
        <f>data[[#This Row],[cash_delta_mv]]+AE47*EXP(I47*(data[[#This Row],[ref_date]]-A47)/360)</f>
        <v>236.07465248109159</v>
      </c>
      <c r="AF48" s="65">
        <f>data[[#This Row],[portfolio_mv]]+data[[#This Row],[cash_acc_bs2]]</f>
        <v>4.3506544992168017</v>
      </c>
    </row>
    <row r="49" spans="1:32">
      <c r="A49" s="64">
        <v>45117</v>
      </c>
      <c r="B49" s="65">
        <v>20.47</v>
      </c>
      <c r="C49" s="65">
        <v>28.629000000000001</v>
      </c>
      <c r="D49" s="65">
        <v>331.83</v>
      </c>
      <c r="E49" s="63" t="s">
        <v>125</v>
      </c>
      <c r="F49" s="63" t="s">
        <v>126</v>
      </c>
      <c r="G49">
        <v>320</v>
      </c>
      <c r="H49" s="64">
        <v>45156</v>
      </c>
      <c r="I49" s="66">
        <v>0.02</v>
      </c>
      <c r="J49" s="65">
        <v>0.108333333</v>
      </c>
      <c r="K49" s="65" cm="1">
        <f t="array" ref="K49">CallOption(data[[#This Row],[asset_price]],data[[#This Row],[sigma_impl]]/100,0,data[[#This Row],[r]],data[[#This Row],[K]],data[[#This Row],[t]])</f>
        <v>19.500277477917564</v>
      </c>
      <c r="L49" s="65">
        <f>data[[#This Row],[call]]-K48</f>
        <v>-4.0482549283933906</v>
      </c>
      <c r="M49" s="65">
        <f>data[[#This Row],[sigma_impl]]-C48</f>
        <v>0.49200000000000088</v>
      </c>
      <c r="N49" s="65">
        <f>SQRT(data[[#This Row],[t]])</f>
        <v>0.32914029379582199</v>
      </c>
      <c r="O49" s="65">
        <f>data[[#This Row],[asset_price]]-D48</f>
        <v>-5.3900000000000432</v>
      </c>
      <c r="P49" s="65" cm="1">
        <f t="array" ref="P49">CallDelta(data[[#This Row],[asset_price]],data[[#This Row],[sigma_impl]]/100,0,data[[#This Row],[r]],data[[#This Row],[K]],data[[#This Row],[t]])</f>
        <v>0.67557365390137714</v>
      </c>
      <c r="Q49" s="65" cm="1">
        <f t="array" ref="Q49">CallVega(data[[#This Row],[asset_price]],data[[#This Row],[sigma_impl]]/100,0,data[[#This Row],[r]],data[[#This Row],[K]],data[[#This Row],[t]])</f>
        <v>39.280892910229475</v>
      </c>
      <c r="R49" s="65">
        <f>(data[[#This Row],[D_call]]-data[[#This Row],[delta_bs]]*data[[#This Row],[D_S]])*data[[#This Row],[sqrt_t]]*data[[#This Row],[asset_price]]</f>
        <v>-44.442470598497508</v>
      </c>
      <c r="S49" s="65">
        <f>data[[#This Row],[vega_bs]]*data[[#This Row],[D_S]]</f>
        <v>-211.72401278613856</v>
      </c>
      <c r="T49" s="65">
        <f>data[[#This Row],[y_num]]/data[[#This Row],[y_den]]</f>
        <v>0.20990755849403175</v>
      </c>
      <c r="U49" s="65">
        <f t="shared" si="2"/>
        <v>-4.3904110000000003</v>
      </c>
      <c r="V49" s="65">
        <f t="shared" si="0"/>
        <v>13.107970999999999</v>
      </c>
      <c r="W49" s="65">
        <f t="shared" si="1"/>
        <v>-9.5703019999999999</v>
      </c>
      <c r="X4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0.71049794756718709</v>
      </c>
      <c r="Y49" s="65">
        <f>data[[#This Row],[call]]-data[[#This Row],[delta_bs]]*data[[#This Row],[asset_price]]</f>
        <v>-204.6753280961764</v>
      </c>
      <c r="Z49" s="65">
        <f>(data[[#This Row],[delta_bs]]-P48)*data[[#This Row],[asset_price]]</f>
        <v>-18.597182469420311</v>
      </c>
      <c r="AA49" s="65">
        <f>data[[#This Row],[cash_delta_bs]]+AA48*EXP(I48*(data[[#This Row],[ref_date]]-A48)/360)</f>
        <v>204.96273394024112</v>
      </c>
      <c r="AB49" s="65">
        <f>data[[#This Row],[portfolio_bs]]+data[[#This Row],[cash_acc_bs]]</f>
        <v>0.2874058440647218</v>
      </c>
      <c r="AC49" s="65">
        <f>data[[#This Row],[call]]-data[[#This Row],[delta_mv]]*data[[#This Row],[asset_price]]</f>
        <v>-216.26425646330213</v>
      </c>
      <c r="AD49" s="65">
        <f>(data[[#This Row],[delta_mv]]-X48)*data[[#This Row],[asset_price]]</f>
        <v>-15.427814551490309</v>
      </c>
      <c r="AE49" s="65">
        <f>data[[#This Row],[cash_delta_mv]]+AE48*EXP(I48*(data[[#This Row],[ref_date]]-A48)/360)</f>
        <v>220.68618698401156</v>
      </c>
      <c r="AF49" s="65">
        <f>data[[#This Row],[portfolio_mv]]+data[[#This Row],[cash_acc_bs2]]</f>
        <v>4.4219305207094237</v>
      </c>
    </row>
    <row r="50" spans="1:32">
      <c r="A50" s="64">
        <v>45118</v>
      </c>
      <c r="B50" s="65">
        <v>20.8</v>
      </c>
      <c r="C50" s="65">
        <v>28.47</v>
      </c>
      <c r="D50" s="65">
        <v>332.47</v>
      </c>
      <c r="E50" s="63" t="s">
        <v>125</v>
      </c>
      <c r="F50" s="63" t="s">
        <v>126</v>
      </c>
      <c r="G50">
        <v>320</v>
      </c>
      <c r="H50" s="64">
        <v>45156</v>
      </c>
      <c r="I50" s="66">
        <v>0.02</v>
      </c>
      <c r="J50" s="65">
        <v>0.10555555599999999</v>
      </c>
      <c r="K50" s="65" cm="1">
        <f t="array" ref="K50">CallOption(data[[#This Row],[asset_price]],data[[#This Row],[sigma_impl]]/100,0,data[[#This Row],[r]],data[[#This Row],[K]],data[[#This Row],[t]])</f>
        <v>19.718580353847273</v>
      </c>
      <c r="L50" s="65">
        <f>data[[#This Row],[call]]-K49</f>
        <v>0.21830287592970876</v>
      </c>
      <c r="M50" s="65">
        <f>data[[#This Row],[sigma_impl]]-C49</f>
        <v>-0.15900000000000247</v>
      </c>
      <c r="N50" s="65">
        <f>SQRT(data[[#This Row],[t]])</f>
        <v>0.324893145510951</v>
      </c>
      <c r="O50" s="65">
        <f>data[[#This Row],[asset_price]]-D49</f>
        <v>0.6400000000000432</v>
      </c>
      <c r="P50" s="65" cm="1">
        <f t="array" ref="P50">CallDelta(data[[#This Row],[asset_price]],data[[#This Row],[sigma_impl]]/100,0,data[[#This Row],[r]],data[[#This Row],[K]],data[[#This Row],[t]])</f>
        <v>0.68522760367543945</v>
      </c>
      <c r="Q50" s="65" cm="1">
        <f t="array" ref="Q50">CallVega(data[[#This Row],[asset_price]],data[[#This Row],[sigma_impl]]/100,0,data[[#This Row],[r]],data[[#This Row],[K]],data[[#This Row],[t]])</f>
        <v>38.359909312993629</v>
      </c>
      <c r="R50" s="65">
        <f>(data[[#This Row],[D_call]]-data[[#This Row],[delta_bs]]*data[[#This Row],[D_S]])*data[[#This Row],[sqrt_t]]*data[[#This Row],[asset_price]]</f>
        <v>-23.790014846850333</v>
      </c>
      <c r="S50" s="65">
        <f>data[[#This Row],[vega_bs]]*data[[#This Row],[D_S]]</f>
        <v>24.550341960317581</v>
      </c>
      <c r="T50" s="65">
        <f>data[[#This Row],[y_num]]/data[[#This Row],[y_den]]</f>
        <v>-0.96902987686704256</v>
      </c>
      <c r="U50" s="65">
        <f t="shared" si="2"/>
        <v>-4.3904110000000003</v>
      </c>
      <c r="V50" s="65">
        <f t="shared" si="0"/>
        <v>13.107970999999999</v>
      </c>
      <c r="W50" s="65">
        <f t="shared" si="1"/>
        <v>-9.5703019999999999</v>
      </c>
      <c r="X5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0.72000274677667908</v>
      </c>
      <c r="Y50" s="65">
        <f>data[[#This Row],[call]]-data[[#This Row],[delta_bs]]*data[[#This Row],[asset_price]]</f>
        <v>-208.09904104012611</v>
      </c>
      <c r="Z50" s="65">
        <f>(data[[#This Row],[delta_bs]]-P49)*data[[#This Row],[asset_price]]</f>
        <v>3.2096486813824963</v>
      </c>
      <c r="AA50" s="65">
        <f>data[[#This Row],[cash_delta_bs]]+AA49*EXP(I49*(data[[#This Row],[ref_date]]-A49)/360)</f>
        <v>208.18376975648221</v>
      </c>
      <c r="AB50" s="65">
        <f>data[[#This Row],[portfolio_bs]]+data[[#This Row],[cash_acc_bs]]</f>
        <v>8.4728716356096356E-2</v>
      </c>
      <c r="AC50" s="65">
        <f>data[[#This Row],[call]]-data[[#This Row],[delta_mv]]*data[[#This Row],[asset_price]]</f>
        <v>-219.66073286699523</v>
      </c>
      <c r="AD50" s="65">
        <f>(data[[#This Row],[delta_mv]]-X49)*data[[#This Row],[asset_price]]</f>
        <v>3.1600605931798014</v>
      </c>
      <c r="AE50" s="65">
        <f>data[[#This Row],[cash_delta_mv]]+AE49*EXP(I49*(data[[#This Row],[ref_date]]-A49)/360)</f>
        <v>223.85850826148408</v>
      </c>
      <c r="AF50" s="65">
        <f>data[[#This Row],[portfolio_mv]]+data[[#This Row],[cash_acc_bs2]]</f>
        <v>4.1977753944888434</v>
      </c>
    </row>
    <row r="51" spans="1:32">
      <c r="A51" s="64">
        <v>45119</v>
      </c>
      <c r="B51" s="65">
        <v>23.8</v>
      </c>
      <c r="C51" s="65">
        <v>28.861000000000001</v>
      </c>
      <c r="D51" s="65">
        <v>337.2</v>
      </c>
      <c r="E51" s="63" t="s">
        <v>125</v>
      </c>
      <c r="F51" s="63" t="s">
        <v>126</v>
      </c>
      <c r="G51">
        <v>320</v>
      </c>
      <c r="H51" s="64">
        <v>45156</v>
      </c>
      <c r="I51" s="66">
        <v>0.02</v>
      </c>
      <c r="J51" s="65">
        <v>0.102777778</v>
      </c>
      <c r="K51" s="65" cm="1">
        <f t="array" ref="K51">CallOption(data[[#This Row],[asset_price]],data[[#This Row],[sigma_impl]]/100,0,data[[#This Row],[r]],data[[#This Row],[K]],data[[#This Row],[t]])</f>
        <v>23.075521748446022</v>
      </c>
      <c r="L51" s="65">
        <f>data[[#This Row],[call]]-K50</f>
        <v>3.3569413945987492</v>
      </c>
      <c r="M51" s="65">
        <f>data[[#This Row],[sigma_impl]]-C50</f>
        <v>0.39100000000000179</v>
      </c>
      <c r="N51" s="65">
        <f>SQRT(data[[#This Row],[t]])</f>
        <v>0.32058973470777258</v>
      </c>
      <c r="O51" s="65">
        <f>data[[#This Row],[asset_price]]-D50</f>
        <v>4.7299999999999613</v>
      </c>
      <c r="P51" s="65" cm="1">
        <f t="array" ref="P51">CallDelta(data[[#This Row],[asset_price]],data[[#This Row],[sigma_impl]]/100,0,data[[#This Row],[r]],data[[#This Row],[K]],data[[#This Row],[t]])</f>
        <v>0.73706598749204921</v>
      </c>
      <c r="Q51" s="65" cm="1">
        <f t="array" ref="Q51">CallVega(data[[#This Row],[asset_price]],data[[#This Row],[sigma_impl]]/100,0,data[[#This Row],[r]],data[[#This Row],[K]],data[[#This Row],[t]])</f>
        <v>35.267433015350441</v>
      </c>
      <c r="R51" s="65">
        <f>(data[[#This Row],[D_call]]-data[[#This Row],[delta_bs]]*data[[#This Row],[D_S]])*data[[#This Row],[sqrt_t]]*data[[#This Row],[asset_price]]</f>
        <v>-13.98642634682327</v>
      </c>
      <c r="S51" s="65">
        <f>data[[#This Row],[vega_bs]]*data[[#This Row],[D_S]]</f>
        <v>166.81495816260622</v>
      </c>
      <c r="T51" s="65">
        <f>data[[#This Row],[y_num]]/data[[#This Row],[y_den]]</f>
        <v>-8.3843958005191122E-2</v>
      </c>
      <c r="U51" s="65">
        <f t="shared" si="2"/>
        <v>-4.3904110000000003</v>
      </c>
      <c r="V51" s="65">
        <f t="shared" si="0"/>
        <v>13.107970999999999</v>
      </c>
      <c r="W51" s="65">
        <f t="shared" si="1"/>
        <v>-9.5703019999999999</v>
      </c>
      <c r="X5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0.76049205226902761</v>
      </c>
      <c r="Y51" s="65">
        <f>data[[#This Row],[call]]-data[[#This Row],[delta_bs]]*data[[#This Row],[asset_price]]</f>
        <v>-225.46312923387296</v>
      </c>
      <c r="Z51" s="65">
        <f>(data[[#This Row],[delta_bs]]-P50)*data[[#This Row],[asset_price]]</f>
        <v>17.479903022960812</v>
      </c>
      <c r="AA51" s="65">
        <f>data[[#This Row],[cash_delta_bs]]+AA50*EXP(I50*(data[[#This Row],[ref_date]]-A50)/360)</f>
        <v>225.67523886570666</v>
      </c>
      <c r="AB51" s="65">
        <f>data[[#This Row],[portfolio_bs]]+data[[#This Row],[cash_acc_bs]]</f>
        <v>0.21210963183369813</v>
      </c>
      <c r="AC51" s="65">
        <f>data[[#This Row],[call]]-data[[#This Row],[delta_mv]]*data[[#This Row],[asset_price]]</f>
        <v>-233.36239827667009</v>
      </c>
      <c r="AD51" s="65">
        <f>(data[[#This Row],[delta_mv]]-X50)*data[[#This Row],[asset_price]]</f>
        <v>13.652993812019922</v>
      </c>
      <c r="AE51" s="65">
        <f>data[[#This Row],[cash_delta_mv]]+AE50*EXP(I50*(data[[#This Row],[ref_date]]-A50)/360)</f>
        <v>237.52393900276334</v>
      </c>
      <c r="AF51" s="65">
        <f>data[[#This Row],[portfolio_mv]]+data[[#This Row],[cash_acc_bs2]]</f>
        <v>4.16154072609325</v>
      </c>
    </row>
    <row r="52" spans="1:32">
      <c r="A52" s="64">
        <v>45120</v>
      </c>
      <c r="B52" s="65">
        <v>29</v>
      </c>
      <c r="C52" s="65">
        <v>29.699000000000002</v>
      </c>
      <c r="D52" s="65">
        <v>342.66</v>
      </c>
      <c r="E52" s="63" t="s">
        <v>125</v>
      </c>
      <c r="F52" s="63" t="s">
        <v>126</v>
      </c>
      <c r="G52">
        <v>320</v>
      </c>
      <c r="H52" s="64">
        <v>45156</v>
      </c>
      <c r="I52" s="66">
        <v>0.02</v>
      </c>
      <c r="J52" s="65">
        <v>0.1</v>
      </c>
      <c r="K52" s="65" cm="1">
        <f t="array" ref="K52">CallOption(data[[#This Row],[asset_price]],data[[#This Row],[sigma_impl]]/100,0,data[[#This Row],[r]],data[[#This Row],[K]],data[[#This Row],[t]])</f>
        <v>27.373340008143344</v>
      </c>
      <c r="L52" s="65">
        <f>data[[#This Row],[call]]-K51</f>
        <v>4.2978182596973227</v>
      </c>
      <c r="M52" s="65">
        <f>data[[#This Row],[sigma_impl]]-C51</f>
        <v>0.83800000000000097</v>
      </c>
      <c r="N52" s="65">
        <f>SQRT(data[[#This Row],[t]])</f>
        <v>0.31622776601683794</v>
      </c>
      <c r="O52" s="65">
        <f>data[[#This Row],[asset_price]]-D51</f>
        <v>5.4600000000000364</v>
      </c>
      <c r="P52" s="65" cm="1">
        <f t="array" ref="P52">CallDelta(data[[#This Row],[asset_price]],data[[#This Row],[sigma_impl]]/100,0,data[[#This Row],[r]],data[[#This Row],[K]],data[[#This Row],[t]])</f>
        <v>0.78720163602290794</v>
      </c>
      <c r="Q52" s="65" cm="1">
        <f t="array" ref="Q52">CallVega(data[[#This Row],[asset_price]],data[[#This Row],[sigma_impl]]/100,0,data[[#This Row],[r]],data[[#This Row],[K]],data[[#This Row],[t]])</f>
        <v>31.472155270526034</v>
      </c>
      <c r="R52" s="65">
        <f>(data[[#This Row],[D_call]]-data[[#This Row],[delta_bs]]*data[[#This Row],[D_S]])*data[[#This Row],[sqrt_t]]*data[[#This Row],[asset_price]]</f>
        <v>-3.2797223121863499E-2</v>
      </c>
      <c r="S52" s="65">
        <f>data[[#This Row],[vega_bs]]*data[[#This Row],[D_S]]</f>
        <v>171.83796777707329</v>
      </c>
      <c r="T52" s="65">
        <f>data[[#This Row],[y_num]]/data[[#This Row],[y_den]]</f>
        <v>-1.9086133027603996E-4</v>
      </c>
      <c r="U52" s="65">
        <f t="shared" si="2"/>
        <v>-4.3904110000000003</v>
      </c>
      <c r="V52" s="65">
        <f t="shared" si="0"/>
        <v>13.107970999999999</v>
      </c>
      <c r="W52" s="65">
        <f t="shared" si="1"/>
        <v>-9.5703019999999999</v>
      </c>
      <c r="X5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0.78651010872509564</v>
      </c>
      <c r="Y52" s="65">
        <f>data[[#This Row],[call]]-data[[#This Row],[delta_bs]]*data[[#This Row],[asset_price]]</f>
        <v>-242.36917259146631</v>
      </c>
      <c r="Z52" s="65">
        <f>(data[[#This Row],[delta_bs]]-P51)*data[[#This Row],[asset_price]]</f>
        <v>17.17948132558405</v>
      </c>
      <c r="AA52" s="65">
        <f>data[[#This Row],[cash_delta_bs]]+AA51*EXP(I51*(data[[#This Row],[ref_date]]-A51)/360)</f>
        <v>242.86725805283172</v>
      </c>
      <c r="AB52" s="65">
        <f>data[[#This Row],[portfolio_bs]]+data[[#This Row],[cash_acc_bs]]</f>
        <v>0.49808546136540599</v>
      </c>
      <c r="AC52" s="65">
        <f>data[[#This Row],[call]]-data[[#This Row],[delta_mv]]*data[[#This Row],[asset_price]]</f>
        <v>-242.13221384759797</v>
      </c>
      <c r="AD52" s="65">
        <f>(data[[#This Row],[delta_mv]]-X51)*data[[#This Row],[asset_price]]</f>
        <v>8.9153472252362711</v>
      </c>
      <c r="AE52" s="65">
        <f>data[[#This Row],[cash_delta_mv]]+AE51*EXP(I51*(data[[#This Row],[ref_date]]-A51)/360)</f>
        <v>246.45248236894471</v>
      </c>
      <c r="AF52" s="65">
        <f>data[[#This Row],[portfolio_mv]]+data[[#This Row],[cash_acc_bs2]]</f>
        <v>4.3202685213467475</v>
      </c>
    </row>
    <row r="53" spans="1:32">
      <c r="A53" s="64">
        <v>45121</v>
      </c>
      <c r="B53" s="65">
        <v>29.9</v>
      </c>
      <c r="C53" s="65">
        <v>28.038</v>
      </c>
      <c r="D53" s="65">
        <v>345.24</v>
      </c>
      <c r="E53" s="63" t="s">
        <v>125</v>
      </c>
      <c r="F53" s="63" t="s">
        <v>126</v>
      </c>
      <c r="G53">
        <v>320</v>
      </c>
      <c r="H53" s="64">
        <v>45156</v>
      </c>
      <c r="I53" s="66">
        <v>0.02</v>
      </c>
      <c r="J53" s="65">
        <v>9.7222221999999997E-2</v>
      </c>
      <c r="K53" s="65" cm="1">
        <f t="array" ref="K53">CallOption(data[[#This Row],[asset_price]],data[[#This Row],[sigma_impl]]/100,0,data[[#This Row],[r]],data[[#This Row],[K]],data[[#This Row],[t]])</f>
        <v>28.825711235420812</v>
      </c>
      <c r="L53" s="65">
        <f>data[[#This Row],[call]]-K52</f>
        <v>1.4523712272774674</v>
      </c>
      <c r="M53" s="65">
        <f>data[[#This Row],[sigma_impl]]-C52</f>
        <v>-1.6610000000000014</v>
      </c>
      <c r="N53" s="65">
        <f>SQRT(data[[#This Row],[t]])</f>
        <v>0.31180478187481347</v>
      </c>
      <c r="O53" s="65">
        <f>data[[#This Row],[asset_price]]-D52</f>
        <v>2.5799999999999841</v>
      </c>
      <c r="P53" s="65" cm="1">
        <f t="array" ref="P53">CallDelta(data[[#This Row],[asset_price]],data[[#This Row],[sigma_impl]]/100,0,data[[#This Row],[r]],data[[#This Row],[K]],data[[#This Row],[t]])</f>
        <v>0.82493917793302207</v>
      </c>
      <c r="Q53" s="65" cm="1">
        <f t="array" ref="Q53">CallVega(data[[#This Row],[asset_price]],data[[#This Row],[sigma_impl]]/100,0,data[[#This Row],[r]],data[[#This Row],[K]],data[[#This Row],[t]])</f>
        <v>27.754979850563128</v>
      </c>
      <c r="R53" s="65">
        <f>(data[[#This Row],[D_call]]-data[[#This Row],[delta_bs]]*data[[#This Row],[D_S]])*data[[#This Row],[sqrt_t]]*data[[#This Row],[asset_price]]</f>
        <v>-72.766668352670379</v>
      </c>
      <c r="S53" s="65">
        <f>data[[#This Row],[vega_bs]]*data[[#This Row],[D_S]]</f>
        <v>71.607848014452429</v>
      </c>
      <c r="T53" s="65">
        <f>data[[#This Row],[y_num]]/data[[#This Row],[y_den]]</f>
        <v>-1.0161828678049936</v>
      </c>
      <c r="U53" s="65">
        <f t="shared" si="2"/>
        <v>-4.3904110000000003</v>
      </c>
      <c r="V53" s="65">
        <f t="shared" si="0"/>
        <v>13.107970999999999</v>
      </c>
      <c r="W53" s="65">
        <f t="shared" si="1"/>
        <v>-9.5703019999999999</v>
      </c>
      <c r="X5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0.80174496769244497</v>
      </c>
      <c r="Y53" s="65">
        <f>data[[#This Row],[call]]-data[[#This Row],[delta_bs]]*data[[#This Row],[asset_price]]</f>
        <v>-255.97629055417573</v>
      </c>
      <c r="Z53" s="65">
        <f>(data[[#This Row],[delta_bs]]-P52)*data[[#This Row],[asset_price]]</f>
        <v>13.028508969047804</v>
      </c>
      <c r="AA53" s="65">
        <f>data[[#This Row],[cash_delta_bs]]+AA52*EXP(I52*(data[[#This Row],[ref_date]]-A52)/360)</f>
        <v>255.90926002212896</v>
      </c>
      <c r="AB53" s="65">
        <f>data[[#This Row],[portfolio_bs]]+data[[#This Row],[cash_acc_bs]]</f>
        <v>-6.7030532046771896E-2</v>
      </c>
      <c r="AC53" s="65">
        <f>data[[#This Row],[call]]-data[[#This Row],[delta_mv]]*data[[#This Row],[asset_price]]</f>
        <v>-247.96872141071887</v>
      </c>
      <c r="AD53" s="65">
        <f>(data[[#This Row],[delta_mv]]-X52)*data[[#This Row],[asset_price]]</f>
        <v>5.2596827098876826</v>
      </c>
      <c r="AE53" s="65">
        <f>data[[#This Row],[cash_delta_mv]]+AE52*EXP(I52*(data[[#This Row],[ref_date]]-A52)/360)</f>
        <v>251.72585726374336</v>
      </c>
      <c r="AF53" s="65">
        <f>data[[#This Row],[portfolio_mv]]+data[[#This Row],[cash_acc_bs2]]</f>
        <v>3.7571358530244936</v>
      </c>
    </row>
    <row r="54" spans="1:32">
      <c r="A54" s="64">
        <v>45124</v>
      </c>
      <c r="B54" s="65">
        <v>30.3</v>
      </c>
      <c r="C54" s="65">
        <v>30.481999999999999</v>
      </c>
      <c r="D54" s="65">
        <v>345.73</v>
      </c>
      <c r="E54" s="63" t="s">
        <v>125</v>
      </c>
      <c r="F54" s="63" t="s">
        <v>126</v>
      </c>
      <c r="G54">
        <v>320</v>
      </c>
      <c r="H54" s="64">
        <v>45156</v>
      </c>
      <c r="I54" s="66">
        <v>0.02</v>
      </c>
      <c r="J54" s="65">
        <v>8.8888888999999999E-2</v>
      </c>
      <c r="K54" s="65" cm="1">
        <f t="array" ref="K54">CallOption(data[[#This Row],[asset_price]],data[[#This Row],[sigma_impl]]/100,0,data[[#This Row],[r]],data[[#This Row],[K]],data[[#This Row],[t]])</f>
        <v>29.496769234307862</v>
      </c>
      <c r="L54" s="65">
        <f>data[[#This Row],[call]]-K53</f>
        <v>0.67105799888705064</v>
      </c>
      <c r="M54" s="65">
        <f>data[[#This Row],[sigma_impl]]-C53</f>
        <v>2.4439999999999991</v>
      </c>
      <c r="N54" s="65">
        <f>SQRT(data[[#This Row],[t]])</f>
        <v>0.29814239718631097</v>
      </c>
      <c r="O54" s="65">
        <f>data[[#This Row],[asset_price]]-D53</f>
        <v>0.49000000000000909</v>
      </c>
      <c r="P54" s="65" cm="1">
        <f t="array" ref="P54">CallDelta(data[[#This Row],[asset_price]],data[[#This Row],[sigma_impl]]/100,0,data[[#This Row],[r]],data[[#This Row],[K]],data[[#This Row],[t]])</f>
        <v>0.82016255691225359</v>
      </c>
      <c r="Q54" s="65" cm="1">
        <f t="array" ref="Q54">CallVega(data[[#This Row],[asset_price]],data[[#This Row],[sigma_impl]]/100,0,data[[#This Row],[r]],data[[#This Row],[K]],data[[#This Row],[t]])</f>
        <v>27.032006309128555</v>
      </c>
      <c r="R54" s="65">
        <f>(data[[#This Row],[D_call]]-data[[#This Row],[delta_bs]]*data[[#This Row],[D_S]])*data[[#This Row],[sqrt_t]]*data[[#This Row],[asset_price]]</f>
        <v>27.746034723212137</v>
      </c>
      <c r="S54" s="65">
        <f>data[[#This Row],[vega_bs]]*data[[#This Row],[D_S]]</f>
        <v>13.245683091473238</v>
      </c>
      <c r="T54" s="65">
        <f>data[[#This Row],[y_num]]/data[[#This Row],[y_den]]</f>
        <v>2.0947228264183173</v>
      </c>
      <c r="U54" s="65">
        <f t="shared" si="2"/>
        <v>-4.3904110000000003</v>
      </c>
      <c r="V54" s="65">
        <f t="shared" si="0"/>
        <v>13.107970999999999</v>
      </c>
      <c r="W54" s="65">
        <f t="shared" si="1"/>
        <v>-9.5703019999999999</v>
      </c>
      <c r="X5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0.79987305132413522</v>
      </c>
      <c r="Y54" s="65">
        <f>data[[#This Row],[call]]-data[[#This Row],[delta_bs]]*data[[#This Row],[asset_price]]</f>
        <v>-254.05803156696561</v>
      </c>
      <c r="Z54" s="65">
        <f>(data[[#This Row],[delta_bs]]-P53)*data[[#This Row],[asset_price]]</f>
        <v>-1.6514211855102863</v>
      </c>
      <c r="AA54" s="65">
        <f>data[[#This Row],[cash_delta_bs]]+AA53*EXP(I53*(data[[#This Row],[ref_date]]-A53)/360)</f>
        <v>254.30049393444844</v>
      </c>
      <c r="AB54" s="65">
        <f>data[[#This Row],[portfolio_bs]]+data[[#This Row],[cash_acc_bs]]</f>
        <v>0.24246236748282968</v>
      </c>
      <c r="AC54" s="65">
        <f>data[[#This Row],[call]]-data[[#This Row],[delta_mv]]*data[[#This Row],[asset_price]]</f>
        <v>-247.0433407999854</v>
      </c>
      <c r="AD54" s="65">
        <f>(data[[#This Row],[delta_mv]]-X53)*data[[#This Row],[asset_price]]</f>
        <v>-0.64717764601572825</v>
      </c>
      <c r="AE54" s="65">
        <f>data[[#This Row],[cash_delta_mv]]+AE53*EXP(I53*(data[[#This Row],[ref_date]]-A53)/360)</f>
        <v>251.12063742365828</v>
      </c>
      <c r="AF54" s="65">
        <f>data[[#This Row],[portfolio_mv]]+data[[#This Row],[cash_acc_bs2]]</f>
        <v>4.0772966236728792</v>
      </c>
    </row>
    <row r="55" spans="1:32">
      <c r="A55" s="64">
        <v>45125</v>
      </c>
      <c r="B55" s="65">
        <v>43.64</v>
      </c>
      <c r="C55" s="65">
        <v>33.472000000000001</v>
      </c>
      <c r="D55" s="65">
        <v>359.49</v>
      </c>
      <c r="E55" s="63" t="s">
        <v>125</v>
      </c>
      <c r="F55" s="63" t="s">
        <v>126</v>
      </c>
      <c r="G55">
        <v>320</v>
      </c>
      <c r="H55" s="64">
        <v>45156</v>
      </c>
      <c r="I55" s="66">
        <v>0.02</v>
      </c>
      <c r="J55" s="65">
        <v>8.6111111000000004E-2</v>
      </c>
      <c r="K55" s="65" cm="1">
        <f t="array" ref="K55">CallOption(data[[#This Row],[asset_price]],data[[#This Row],[sigma_impl]]/100,0,data[[#This Row],[r]],data[[#This Row],[K]],data[[#This Row],[t]])</f>
        <v>41.897938049276604</v>
      </c>
      <c r="L55" s="65">
        <f>data[[#This Row],[call]]-K54</f>
        <v>12.401168814968742</v>
      </c>
      <c r="M55" s="65">
        <f>data[[#This Row],[sigma_impl]]-C54</f>
        <v>2.990000000000002</v>
      </c>
      <c r="N55" s="65">
        <f>SQRT(data[[#This Row],[t]])</f>
        <v>0.29344694750499623</v>
      </c>
      <c r="O55" s="65">
        <f>data[[#This Row],[asset_price]]-D54</f>
        <v>13.759999999999991</v>
      </c>
      <c r="P55" s="65" cm="1">
        <f t="array" ref="P55">CallDelta(data[[#This Row],[asset_price]],data[[#This Row],[sigma_impl]]/100,0,data[[#This Row],[r]],data[[#This Row],[K]],data[[#This Row],[t]])</f>
        <v>0.89459767813745206</v>
      </c>
      <c r="Q55" s="65" cm="1">
        <f t="array" ref="Q55">CallVega(data[[#This Row],[asset_price]],data[[#This Row],[sigma_impl]]/100,0,data[[#This Row],[r]],data[[#This Row],[K]],data[[#This Row],[t]])</f>
        <v>19.235222808674195</v>
      </c>
      <c r="R55" s="65">
        <f>(data[[#This Row],[D_call]]-data[[#This Row],[delta_bs]]*data[[#This Row],[D_S]])*data[[#This Row],[sqrt_t]]*data[[#This Row],[asset_price]]</f>
        <v>9.6529512879201711</v>
      </c>
      <c r="S55" s="65">
        <f>data[[#This Row],[vega_bs]]*data[[#This Row],[D_S]]</f>
        <v>264.67666584735673</v>
      </c>
      <c r="T55" s="65">
        <f>data[[#This Row],[y_num]]/data[[#This Row],[y_den]]</f>
        <v>3.6470730266366519E-2</v>
      </c>
      <c r="U55" s="65">
        <f t="shared" si="2"/>
        <v>-4.3904110000000003</v>
      </c>
      <c r="V55" s="65">
        <f t="shared" si="0"/>
        <v>13.107970999999999</v>
      </c>
      <c r="W55" s="65">
        <f t="shared" si="1"/>
        <v>-9.5703019999999999</v>
      </c>
      <c r="X5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0.83566350707327164</v>
      </c>
      <c r="Y55" s="65">
        <f>data[[#This Row],[call]]-data[[#This Row],[delta_bs]]*data[[#This Row],[asset_price]]</f>
        <v>-279.70098126435602</v>
      </c>
      <c r="Z55" s="65">
        <f>(data[[#This Row],[delta_bs]]-P54)*data[[#This Row],[asset_price]]</f>
        <v>26.758681729246597</v>
      </c>
      <c r="AA55" s="65">
        <f>data[[#This Row],[cash_delta_bs]]+AA54*EXP(I54*(data[[#This Row],[ref_date]]-A54)/360)</f>
        <v>281.07330386135988</v>
      </c>
      <c r="AB55" s="65">
        <f>data[[#This Row],[portfolio_bs]]+data[[#This Row],[cash_acc_bs]]</f>
        <v>1.3723225970038584</v>
      </c>
      <c r="AC55" s="65">
        <f>data[[#This Row],[call]]-data[[#This Row],[delta_mv]]*data[[#This Row],[asset_price]]</f>
        <v>-258.51473610849382</v>
      </c>
      <c r="AD55" s="65">
        <f>(data[[#This Row],[delta_mv]]-X54)*data[[#This Row],[asset_price]]</f>
        <v>12.866310937257051</v>
      </c>
      <c r="AE55" s="65">
        <f>data[[#This Row],[cash_delta_mv]]+AE54*EXP(I54*(data[[#This Row],[ref_date]]-A54)/360)</f>
        <v>264.00089989497786</v>
      </c>
      <c r="AF55" s="65">
        <f>data[[#This Row],[portfolio_mv]]+data[[#This Row],[cash_acc_bs2]]</f>
        <v>5.4861637864840418</v>
      </c>
    </row>
    <row r="56" spans="1:32">
      <c r="A56" s="64">
        <v>45126</v>
      </c>
      <c r="B56" s="65">
        <v>39.200000000000003</v>
      </c>
      <c r="C56" s="65">
        <v>32.768000000000001</v>
      </c>
      <c r="D56" s="65">
        <v>355.08</v>
      </c>
      <c r="E56" s="63" t="s">
        <v>125</v>
      </c>
      <c r="F56" s="63" t="s">
        <v>126</v>
      </c>
      <c r="G56">
        <v>320</v>
      </c>
      <c r="H56" s="64">
        <v>45156</v>
      </c>
      <c r="I56" s="66">
        <v>0.02</v>
      </c>
      <c r="J56" s="65">
        <v>8.3333332999999996E-2</v>
      </c>
      <c r="K56" s="65" cm="1">
        <f t="array" ref="K56">CallOption(data[[#This Row],[asset_price]],data[[#This Row],[sigma_impl]]/100,0,data[[#This Row],[r]],data[[#This Row],[K]],data[[#This Row],[t]])</f>
        <v>37.723750202420547</v>
      </c>
      <c r="L56" s="65">
        <f>data[[#This Row],[call]]-K55</f>
        <v>-4.1741878468560571</v>
      </c>
      <c r="M56" s="65">
        <f>data[[#This Row],[sigma_impl]]-C55</f>
        <v>-0.70400000000000063</v>
      </c>
      <c r="N56" s="65">
        <f>SQRT(data[[#This Row],[t]])</f>
        <v>0.28867513401746259</v>
      </c>
      <c r="O56" s="65">
        <f>data[[#This Row],[asset_price]]-D55</f>
        <v>-4.410000000000025</v>
      </c>
      <c r="P56" s="65" cm="1">
        <f t="array" ref="P56">CallDelta(data[[#This Row],[asset_price]],data[[#This Row],[sigma_impl]]/100,0,data[[#This Row],[r]],data[[#This Row],[K]],data[[#This Row],[t]])</f>
        <v>0.87790866722017713</v>
      </c>
      <c r="Q56" s="65" cm="1">
        <f t="array" ref="Q56">CallVega(data[[#This Row],[asset_price]],data[[#This Row],[sigma_impl]]/100,0,data[[#This Row],[r]],data[[#This Row],[K]],data[[#This Row],[t]])</f>
        <v>20.755459253491942</v>
      </c>
      <c r="R56" s="65">
        <f>(data[[#This Row],[D_call]]-data[[#This Row],[delta_bs]]*data[[#This Row],[D_S]])*data[[#This Row],[sqrt_t]]*data[[#This Row],[asset_price]]</f>
        <v>-31.018426201138571</v>
      </c>
      <c r="S56" s="65">
        <f>data[[#This Row],[vega_bs]]*data[[#This Row],[D_S]]</f>
        <v>-91.531575307899985</v>
      </c>
      <c r="T56" s="65">
        <f>data[[#This Row],[y_num]]/data[[#This Row],[y_den]]</f>
        <v>0.33888225016117912</v>
      </c>
      <c r="U56" s="65">
        <f t="shared" si="2"/>
        <v>-4.3904110000000003</v>
      </c>
      <c r="V56" s="65">
        <f t="shared" si="0"/>
        <v>13.107970999999999</v>
      </c>
      <c r="W56" s="65">
        <f t="shared" si="1"/>
        <v>-9.5703019999999999</v>
      </c>
      <c r="X5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0.825491404712143</v>
      </c>
      <c r="Y56" s="65">
        <f>data[[#This Row],[call]]-data[[#This Row],[delta_bs]]*data[[#This Row],[asset_price]]</f>
        <v>-274.00405935411993</v>
      </c>
      <c r="Z56" s="65">
        <f>(data[[#This Row],[delta_bs]]-P55)*data[[#This Row],[asset_price]]</f>
        <v>-5.9259339965059805</v>
      </c>
      <c r="AA56" s="65">
        <f>data[[#This Row],[cash_delta_bs]]+AA55*EXP(I55*(data[[#This Row],[ref_date]]-A55)/360)</f>
        <v>275.16298548216486</v>
      </c>
      <c r="AB56" s="65">
        <f>data[[#This Row],[portfolio_bs]]+data[[#This Row],[cash_acc_bs]]</f>
        <v>1.158926128044925</v>
      </c>
      <c r="AC56" s="65">
        <f>data[[#This Row],[call]]-data[[#This Row],[delta_mv]]*data[[#This Row],[asset_price]]</f>
        <v>-255.39173778276717</v>
      </c>
      <c r="AD56" s="65">
        <f>(data[[#This Row],[delta_mv]]-X55)*data[[#This Row],[asset_price]]</f>
        <v>-3.6119101063895585</v>
      </c>
      <c r="AE56" s="65">
        <f>data[[#This Row],[cash_delta_mv]]+AE55*EXP(I55*(data[[#This Row],[ref_date]]-A55)/360)</f>
        <v>260.4036569126655</v>
      </c>
      <c r="AF56" s="65">
        <f>data[[#This Row],[portfolio_mv]]+data[[#This Row],[cash_acc_bs2]]</f>
        <v>5.011919129898331</v>
      </c>
    </row>
    <row r="57" spans="1:32">
      <c r="A57" s="64">
        <v>45127</v>
      </c>
      <c r="B57" s="65">
        <v>31.62</v>
      </c>
      <c r="C57" s="65">
        <v>34.03</v>
      </c>
      <c r="D57" s="65">
        <v>346.87</v>
      </c>
      <c r="E57" s="63" t="s">
        <v>125</v>
      </c>
      <c r="F57" s="63" t="s">
        <v>126</v>
      </c>
      <c r="G57">
        <v>320</v>
      </c>
      <c r="H57" s="64">
        <v>45156</v>
      </c>
      <c r="I57" s="66">
        <v>0.02</v>
      </c>
      <c r="J57" s="65">
        <v>8.0555556E-2</v>
      </c>
      <c r="K57" s="65" cm="1">
        <f t="array" ref="K57">CallOption(data[[#This Row],[asset_price]],data[[#This Row],[sigma_impl]]/100,0,data[[#This Row],[r]],data[[#This Row],[K]],data[[#This Row],[t]])</f>
        <v>30.909155535294673</v>
      </c>
      <c r="L57" s="65">
        <f>data[[#This Row],[call]]-K56</f>
        <v>-6.8145946671258741</v>
      </c>
      <c r="M57" s="65">
        <f>data[[#This Row],[sigma_impl]]-C56</f>
        <v>1.2620000000000005</v>
      </c>
      <c r="N57" s="65">
        <f>SQRT(data[[#This Row],[t]])</f>
        <v>0.28382310688173362</v>
      </c>
      <c r="O57" s="65">
        <f>data[[#This Row],[asset_price]]-D56</f>
        <v>-8.2099999999999795</v>
      </c>
      <c r="P57" s="65" cm="1">
        <f t="array" ref="P57">CallDelta(data[[#This Row],[asset_price]],data[[#This Row],[sigma_impl]]/100,0,data[[#This Row],[r]],data[[#This Row],[K]],data[[#This Row],[t]])</f>
        <v>0.81587933027415538</v>
      </c>
      <c r="Q57" s="65" cm="1">
        <f t="array" ref="Q57">CallVega(data[[#This Row],[asset_price]],data[[#This Row],[sigma_impl]]/100,0,data[[#This Row],[r]],data[[#This Row],[K]],data[[#This Row],[t]])</f>
        <v>26.201385568769968</v>
      </c>
      <c r="R57" s="65">
        <f>(data[[#This Row],[D_call]]-data[[#This Row],[delta_bs]]*data[[#This Row],[D_S]])*data[[#This Row],[sqrt_t]]*data[[#This Row],[asset_price]]</f>
        <v>-11.44235482375986</v>
      </c>
      <c r="S57" s="65">
        <f>data[[#This Row],[vega_bs]]*data[[#This Row],[D_S]]</f>
        <v>-215.11337551960091</v>
      </c>
      <c r="T57" s="65">
        <f>data[[#This Row],[y_num]]/data[[#This Row],[y_den]]</f>
        <v>5.3192205255117878E-2</v>
      </c>
      <c r="U57" s="65">
        <f t="shared" si="2"/>
        <v>-4.3904110000000003</v>
      </c>
      <c r="V57" s="65">
        <f t="shared" si="0"/>
        <v>13.107970999999999</v>
      </c>
      <c r="W57" s="65">
        <f t="shared" si="1"/>
        <v>-9.5703019999999999</v>
      </c>
      <c r="X5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0.79819518422246927</v>
      </c>
      <c r="Y57" s="65">
        <f>data[[#This Row],[call]]-data[[#This Row],[delta_bs]]*data[[#This Row],[asset_price]]</f>
        <v>-252.09490775690162</v>
      </c>
      <c r="Z57" s="65">
        <f>(data[[#This Row],[delta_bs]]-P56)*data[[#This Row],[asset_price]]</f>
        <v>-21.516116106466566</v>
      </c>
      <c r="AA57" s="65">
        <f>data[[#This Row],[cash_delta_bs]]+AA56*EXP(I56*(data[[#This Row],[ref_date]]-A56)/360)</f>
        <v>253.66215663286712</v>
      </c>
      <c r="AB57" s="65">
        <f>data[[#This Row],[portfolio_bs]]+data[[#This Row],[cash_acc_bs]]</f>
        <v>1.5672488759655039</v>
      </c>
      <c r="AC57" s="65">
        <f>data[[#This Row],[call]]-data[[#This Row],[delta_mv]]*data[[#This Row],[asset_price]]</f>
        <v>-245.96080801595323</v>
      </c>
      <c r="AD57" s="65">
        <f>(data[[#This Row],[delta_mv]]-X56)*data[[#This Row],[asset_price]]</f>
        <v>-9.4682400012531254</v>
      </c>
      <c r="AE57" s="65">
        <f>data[[#This Row],[cash_delta_mv]]+AE56*EXP(I56*(data[[#This Row],[ref_date]]-A56)/360)</f>
        <v>250.94988418310575</v>
      </c>
      <c r="AF57" s="65">
        <f>data[[#This Row],[portfolio_mv]]+data[[#This Row],[cash_acc_bs2]]</f>
        <v>4.9890761671525183</v>
      </c>
    </row>
    <row r="58" spans="1:32">
      <c r="A58" s="64">
        <v>45128</v>
      </c>
      <c r="B58" s="65">
        <v>27.5</v>
      </c>
      <c r="C58" s="65">
        <v>31.475999999999999</v>
      </c>
      <c r="D58" s="65">
        <v>343.77</v>
      </c>
      <c r="E58" s="63" t="s">
        <v>125</v>
      </c>
      <c r="F58" s="63" t="s">
        <v>126</v>
      </c>
      <c r="G58">
        <v>320</v>
      </c>
      <c r="H58" s="64">
        <v>45156</v>
      </c>
      <c r="I58" s="66">
        <v>0.02</v>
      </c>
      <c r="J58" s="65">
        <v>7.7777778000000006E-2</v>
      </c>
      <c r="K58" s="65" cm="1">
        <f t="array" ref="K58">CallOption(data[[#This Row],[asset_price]],data[[#This Row],[sigma_impl]]/100,0,data[[#This Row],[r]],data[[#This Row],[K]],data[[#This Row],[t]])</f>
        <v>27.55807695782903</v>
      </c>
      <c r="L58" s="65">
        <f>data[[#This Row],[call]]-K57</f>
        <v>-3.3510785774656426</v>
      </c>
      <c r="M58" s="65">
        <f>data[[#This Row],[sigma_impl]]-C57</f>
        <v>-2.554000000000002</v>
      </c>
      <c r="N58" s="65">
        <f>SQRT(data[[#This Row],[t]])</f>
        <v>0.27888667590976807</v>
      </c>
      <c r="O58" s="65">
        <f>data[[#This Row],[asset_price]]-D57</f>
        <v>-3.1000000000000227</v>
      </c>
      <c r="P58" s="65" cm="1">
        <f t="array" ref="P58">CallDelta(data[[#This Row],[asset_price]],data[[#This Row],[sigma_impl]]/100,0,data[[#This Row],[r]],data[[#This Row],[K]],data[[#This Row],[t]])</f>
        <v>0.80998904619707235</v>
      </c>
      <c r="Q58" s="65" cm="1">
        <f t="array" ref="Q58">CallVega(data[[#This Row],[asset_price]],data[[#This Row],[sigma_impl]]/100,0,data[[#This Row],[r]],data[[#This Row],[K]],data[[#This Row],[t]])</f>
        <v>26.01749401705046</v>
      </c>
      <c r="R58" s="65">
        <f>(data[[#This Row],[D_call]]-data[[#This Row],[delta_bs]]*data[[#This Row],[D_S]])*data[[#This Row],[sqrt_t]]*data[[#This Row],[asset_price]]</f>
        <v>-80.544001947362261</v>
      </c>
      <c r="S58" s="65">
        <f>data[[#This Row],[vega_bs]]*data[[#This Row],[D_S]]</f>
        <v>-80.654231452857019</v>
      </c>
      <c r="T58" s="65">
        <f>data[[#This Row],[y_num]]/data[[#This Row],[y_den]]</f>
        <v>0.99863330784375293</v>
      </c>
      <c r="U58" s="65">
        <f t="shared" si="2"/>
        <v>-4.3904110000000003</v>
      </c>
      <c r="V58" s="65">
        <f t="shared" si="0"/>
        <v>13.107970999999999</v>
      </c>
      <c r="W58" s="65">
        <f t="shared" si="1"/>
        <v>-9.5703019999999999</v>
      </c>
      <c r="X5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0.79587663020251931</v>
      </c>
      <c r="Y58" s="65">
        <f>data[[#This Row],[call]]-data[[#This Row],[delta_bs]]*data[[#This Row],[asset_price]]</f>
        <v>-250.8918574533385</v>
      </c>
      <c r="Z58" s="65">
        <f>(data[[#This Row],[delta_bs]]-P57)*data[[#This Row],[asset_price]]</f>
        <v>-2.0249029571788331</v>
      </c>
      <c r="AA58" s="65">
        <f>data[[#This Row],[cash_delta_bs]]+AA57*EXP(I57*(data[[#This Row],[ref_date]]-A57)/360)</f>
        <v>251.65134640918461</v>
      </c>
      <c r="AB58" s="65">
        <f>data[[#This Row],[portfolio_bs]]+data[[#This Row],[cash_acc_bs]]</f>
        <v>0.75948895584610909</v>
      </c>
      <c r="AC58" s="65">
        <f>data[[#This Row],[call]]-data[[#This Row],[delta_mv]]*data[[#This Row],[asset_price]]</f>
        <v>-246.04043220689101</v>
      </c>
      <c r="AD58" s="65">
        <f>(data[[#This Row],[delta_mv]]-X57)*data[[#This Row],[asset_price]]</f>
        <v>-0.79704931543819735</v>
      </c>
      <c r="AE58" s="65">
        <f>data[[#This Row],[cash_delta_mv]]+AE57*EXP(I57*(data[[#This Row],[ref_date]]-A57)/360)</f>
        <v>250.16677691517543</v>
      </c>
      <c r="AF58" s="65">
        <f>data[[#This Row],[portfolio_mv]]+data[[#This Row],[cash_acc_bs2]]</f>
        <v>4.1263447082844209</v>
      </c>
    </row>
    <row r="59" spans="1:32">
      <c r="A59" s="64">
        <v>45131</v>
      </c>
      <c r="B59" s="65">
        <v>28.93</v>
      </c>
      <c r="C59" s="65">
        <v>32.869</v>
      </c>
      <c r="D59" s="65">
        <v>345.11</v>
      </c>
      <c r="E59" s="63" t="s">
        <v>125</v>
      </c>
      <c r="F59" s="63" t="s">
        <v>126</v>
      </c>
      <c r="G59">
        <v>320</v>
      </c>
      <c r="H59" s="64">
        <v>45156</v>
      </c>
      <c r="I59" s="66">
        <v>0.02</v>
      </c>
      <c r="J59" s="65">
        <v>6.9444443999999994E-2</v>
      </c>
      <c r="K59" s="65" cm="1">
        <f t="array" ref="K59">CallOption(data[[#This Row],[asset_price]],data[[#This Row],[sigma_impl]]/100,0,data[[#This Row],[r]],data[[#This Row],[K]],data[[#This Row],[t]])</f>
        <v>28.50445597760023</v>
      </c>
      <c r="L59" s="65">
        <f>data[[#This Row],[call]]-K58</f>
        <v>0.94637901977120009</v>
      </c>
      <c r="M59" s="65">
        <f>data[[#This Row],[sigma_impl]]-C58</f>
        <v>1.3930000000000007</v>
      </c>
      <c r="N59" s="65">
        <f>SQRT(data[[#This Row],[t]])</f>
        <v>0.2635231375040909</v>
      </c>
      <c r="O59" s="65">
        <f>data[[#This Row],[asset_price]]-D58</f>
        <v>1.3400000000000318</v>
      </c>
      <c r="P59" s="65" cm="1">
        <f t="array" ref="P59">CallDelta(data[[#This Row],[asset_price]],data[[#This Row],[sigma_impl]]/100,0,data[[#This Row],[r]],data[[#This Row],[K]],data[[#This Row],[t]])</f>
        <v>0.82419734000421552</v>
      </c>
      <c r="Q59" s="65" cm="1">
        <f t="array" ref="Q59">CallVega(data[[#This Row],[asset_price]],data[[#This Row],[sigma_impl]]/100,0,data[[#This Row],[r]],data[[#This Row],[K]],data[[#This Row],[t]])</f>
        <v>23.511346706111659</v>
      </c>
      <c r="R59" s="65">
        <f>(data[[#This Row],[D_call]]-data[[#This Row],[delta_bs]]*data[[#This Row],[D_S]])*data[[#This Row],[sqrt_t]]*data[[#This Row],[asset_price]]</f>
        <v>-14.373356576473014</v>
      </c>
      <c r="S59" s="65">
        <f>data[[#This Row],[vega_bs]]*data[[#This Row],[D_S]]</f>
        <v>31.505204586190374</v>
      </c>
      <c r="T59" s="65">
        <f>data[[#This Row],[y_num]]/data[[#This Row],[y_den]]</f>
        <v>-0.45622165496977174</v>
      </c>
      <c r="U59" s="65">
        <f t="shared" si="2"/>
        <v>-4.3904110000000003</v>
      </c>
      <c r="V59" s="65">
        <f t="shared" si="0"/>
        <v>13.107970999999999</v>
      </c>
      <c r="W59" s="65">
        <f t="shared" si="1"/>
        <v>-9.5703019999999999</v>
      </c>
      <c r="X5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0.8014538461505466</v>
      </c>
      <c r="Y59" s="65">
        <f>data[[#This Row],[call]]-data[[#This Row],[delta_bs]]*data[[#This Row],[asset_price]]</f>
        <v>-255.9342880312546</v>
      </c>
      <c r="Z59" s="65">
        <f>(data[[#This Row],[delta_bs]]-P58)*data[[#This Row],[asset_price]]</f>
        <v>4.9034242757831787</v>
      </c>
      <c r="AA59" s="65">
        <f>data[[#This Row],[cash_delta_bs]]+AA58*EXP(I58*(data[[#This Row],[ref_date]]-A58)/360)</f>
        <v>256.59671607138773</v>
      </c>
      <c r="AB59" s="65">
        <f>data[[#This Row],[portfolio_bs]]+data[[#This Row],[cash_acc_bs]]</f>
        <v>0.66242804013313616</v>
      </c>
      <c r="AC59" s="65">
        <f>data[[#This Row],[call]]-data[[#This Row],[delta_mv]]*data[[#This Row],[asset_price]]</f>
        <v>-248.08528086741489</v>
      </c>
      <c r="AD59" s="65">
        <f>(data[[#This Row],[delta_mv]]-X58)*data[[#This Row],[asset_price]]</f>
        <v>1.9247529958236989</v>
      </c>
      <c r="AE59" s="65">
        <f>data[[#This Row],[cash_delta_mv]]+AE58*EXP(I58*(data[[#This Row],[ref_date]]-A58)/360)</f>
        <v>252.13322784854992</v>
      </c>
      <c r="AF59" s="65">
        <f>data[[#This Row],[portfolio_mv]]+data[[#This Row],[cash_acc_bs2]]</f>
        <v>4.047946981135027</v>
      </c>
    </row>
    <row r="60" spans="1:32">
      <c r="A60" s="64">
        <v>45132</v>
      </c>
      <c r="B60" s="65">
        <v>34.630000000000003</v>
      </c>
      <c r="C60" s="65">
        <v>33.792999999999999</v>
      </c>
      <c r="D60" s="65">
        <v>350.98</v>
      </c>
      <c r="E60" s="63" t="s">
        <v>125</v>
      </c>
      <c r="F60" s="63" t="s">
        <v>126</v>
      </c>
      <c r="G60">
        <v>320</v>
      </c>
      <c r="H60" s="64">
        <v>45156</v>
      </c>
      <c r="I60" s="66">
        <v>0.02</v>
      </c>
      <c r="J60" s="65">
        <v>6.6666666999999999E-2</v>
      </c>
      <c r="K60" s="65" cm="1">
        <f t="array" ref="K60">CallOption(data[[#This Row],[asset_price]],data[[#This Row],[sigma_impl]]/100,0,data[[#This Row],[r]],data[[#This Row],[K]],data[[#This Row],[t]])</f>
        <v>33.514003809868257</v>
      </c>
      <c r="L60" s="65">
        <f>data[[#This Row],[call]]-K59</f>
        <v>5.0095478322680265</v>
      </c>
      <c r="M60" s="65">
        <f>data[[#This Row],[sigma_impl]]-C59</f>
        <v>0.92399999999999949</v>
      </c>
      <c r="N60" s="65">
        <f>SQRT(data[[#This Row],[t]])</f>
        <v>0.25819889039265836</v>
      </c>
      <c r="O60" s="65">
        <f>data[[#This Row],[asset_price]]-D59</f>
        <v>5.8700000000000045</v>
      </c>
      <c r="P60" s="65" cm="1">
        <f t="array" ref="P60">CallDelta(data[[#This Row],[asset_price]],data[[#This Row],[sigma_impl]]/100,0,data[[#This Row],[r]],data[[#This Row],[K]],data[[#This Row],[t]])</f>
        <v>0.86821428511017917</v>
      </c>
      <c r="Q60" s="65" cm="1">
        <f t="array" ref="Q60">CallVega(data[[#This Row],[asset_price]],data[[#This Row],[sigma_impl]]/100,0,data[[#This Row],[r]],data[[#This Row],[K]],data[[#This Row],[t]])</f>
        <v>19.352371860345603</v>
      </c>
      <c r="R60" s="65">
        <f>(data[[#This Row],[D_call]]-data[[#This Row],[delta_bs]]*data[[#This Row],[D_S]])*data[[#This Row],[sqrt_t]]*data[[#This Row],[asset_price]]</f>
        <v>-7.8723912386657142</v>
      </c>
      <c r="S60" s="65">
        <f>data[[#This Row],[vega_bs]]*data[[#This Row],[D_S]]</f>
        <v>113.59842282022878</v>
      </c>
      <c r="T60" s="65">
        <f>data[[#This Row],[y_num]]/data[[#This Row],[y_den]]</f>
        <v>-6.9300180787931293E-2</v>
      </c>
      <c r="U60" s="65">
        <f t="shared" si="2"/>
        <v>-4.3904110000000003</v>
      </c>
      <c r="V60" s="65">
        <f t="shared" si="0"/>
        <v>13.107970999999999</v>
      </c>
      <c r="W60" s="65">
        <f t="shared" si="1"/>
        <v>-9.5703019999999999</v>
      </c>
      <c r="X6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0.82039231806210744</v>
      </c>
      <c r="Y60" s="65">
        <f>data[[#This Row],[call]]-data[[#This Row],[delta_bs]]*data[[#This Row],[asset_price]]</f>
        <v>-271.21184597810242</v>
      </c>
      <c r="Z60" s="65">
        <f>(data[[#This Row],[delta_bs]]-P59)*data[[#This Row],[asset_price]]</f>
        <v>15.449067393291125</v>
      </c>
      <c r="AA60" s="65">
        <f>data[[#This Row],[cash_delta_bs]]+AA59*EXP(I59*(data[[#This Row],[ref_date]]-A59)/360)</f>
        <v>272.06003923378381</v>
      </c>
      <c r="AB60" s="65">
        <f>data[[#This Row],[portfolio_bs]]+data[[#This Row],[cash_acc_bs]]</f>
        <v>0.84819325568139448</v>
      </c>
      <c r="AC60" s="65">
        <f>data[[#This Row],[call]]-data[[#This Row],[delta_mv]]*data[[#This Row],[asset_price]]</f>
        <v>-254.42729198357023</v>
      </c>
      <c r="AD60" s="65">
        <f>(data[[#This Row],[delta_mv]]-X59)*data[[#This Row],[asset_price]]</f>
        <v>6.6470248715196236</v>
      </c>
      <c r="AE60" s="65">
        <f>data[[#This Row],[cash_delta_mv]]+AE59*EXP(I59*(data[[#This Row],[ref_date]]-A59)/360)</f>
        <v>258.79426051071835</v>
      </c>
      <c r="AF60" s="65">
        <f>data[[#This Row],[portfolio_mv]]+data[[#This Row],[cash_acc_bs2]]</f>
        <v>4.3669685271481171</v>
      </c>
    </row>
    <row r="61" spans="1:32">
      <c r="A61" s="64">
        <v>45133</v>
      </c>
      <c r="B61" s="65">
        <v>20.6</v>
      </c>
      <c r="C61" s="65">
        <v>24.884</v>
      </c>
      <c r="D61" s="65">
        <v>337.77</v>
      </c>
      <c r="E61" s="63" t="s">
        <v>125</v>
      </c>
      <c r="F61" s="63" t="s">
        <v>126</v>
      </c>
      <c r="G61">
        <v>320</v>
      </c>
      <c r="H61" s="64">
        <v>45156</v>
      </c>
      <c r="I61" s="66">
        <v>0.02</v>
      </c>
      <c r="J61" s="65">
        <v>6.3888889000000004E-2</v>
      </c>
      <c r="K61" s="65" cm="1">
        <f t="array" ref="K61">CallOption(data[[#This Row],[asset_price]],data[[#This Row],[sigma_impl]]/100,0,data[[#This Row],[r]],data[[#This Row],[K]],data[[#This Row],[t]])</f>
        <v>20.332316478436155</v>
      </c>
      <c r="L61" s="65">
        <f>data[[#This Row],[call]]-K60</f>
        <v>-13.181687331432101</v>
      </c>
      <c r="M61" s="65">
        <f>data[[#This Row],[sigma_impl]]-C60</f>
        <v>-8.9089999999999989</v>
      </c>
      <c r="N61" s="65">
        <f>SQRT(data[[#This Row],[t]])</f>
        <v>0.25276251502151187</v>
      </c>
      <c r="O61" s="65">
        <f>data[[#This Row],[asset_price]]-D60</f>
        <v>-13.210000000000036</v>
      </c>
      <c r="P61" s="65" cm="1">
        <f t="array" ref="P61">CallDelta(data[[#This Row],[asset_price]],data[[#This Row],[sigma_impl]]/100,0,data[[#This Row],[r]],data[[#This Row],[K]],data[[#This Row],[t]])</f>
        <v>0.81885427627277851</v>
      </c>
      <c r="Q61" s="65" cm="1">
        <f t="array" ref="Q61">CallVega(data[[#This Row],[asset_price]],data[[#This Row],[sigma_impl]]/100,0,data[[#This Row],[r]],data[[#This Row],[K]],data[[#This Row],[t]])</f>
        <v>22.491884779143149</v>
      </c>
      <c r="R61" s="65">
        <f>(data[[#This Row],[D_call]]-data[[#This Row],[delta_bs]]*data[[#This Row],[D_S]])*data[[#This Row],[sqrt_t]]*data[[#This Row],[asset_price]]</f>
        <v>-201.88103867514459</v>
      </c>
      <c r="S61" s="65">
        <f>data[[#This Row],[vega_bs]]*data[[#This Row],[D_S]]</f>
        <v>-297.11779793248184</v>
      </c>
      <c r="T61" s="65">
        <f>data[[#This Row],[y_num]]/data[[#This Row],[y_den]]</f>
        <v>0.67946464358564207</v>
      </c>
      <c r="U61" s="65">
        <f t="shared" si="2"/>
        <v>-4.3904110000000003</v>
      </c>
      <c r="V61" s="65">
        <f t="shared" si="0"/>
        <v>13.107970999999999</v>
      </c>
      <c r="W61" s="65">
        <f t="shared" si="1"/>
        <v>-9.5703019999999999</v>
      </c>
      <c r="X6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0.79936081769385481</v>
      </c>
      <c r="Y61" s="65">
        <f>data[[#This Row],[call]]-data[[#This Row],[delta_bs]]*data[[#This Row],[asset_price]]</f>
        <v>-256.25209241822023</v>
      </c>
      <c r="Z61" s="65">
        <f>(data[[#This Row],[delta_bs]]-P60)*data[[#This Row],[asset_price]]</f>
        <v>-16.672330185008821</v>
      </c>
      <c r="AA61" s="65">
        <f>data[[#This Row],[cash_delta_bs]]+AA60*EXP(I60*(data[[#This Row],[ref_date]]-A60)/360)</f>
        <v>255.40282391525255</v>
      </c>
      <c r="AB61" s="65">
        <f>data[[#This Row],[portfolio_bs]]+data[[#This Row],[cash_acc_bs]]</f>
        <v>-0.84926850296767498</v>
      </c>
      <c r="AC61" s="65">
        <f>data[[#This Row],[call]]-data[[#This Row],[delta_mv]]*data[[#This Row],[asset_price]]</f>
        <v>-249.66778691401714</v>
      </c>
      <c r="AD61" s="65">
        <f>(data[[#This Row],[delta_mv]]-X60)*data[[#This Row],[asset_price]]</f>
        <v>-7.1038098793846913</v>
      </c>
      <c r="AE61" s="65">
        <f>data[[#This Row],[cash_delta_mv]]+AE60*EXP(I60*(data[[#This Row],[ref_date]]-A60)/360)</f>
        <v>251.70482848963212</v>
      </c>
      <c r="AF61" s="65">
        <f>data[[#This Row],[portfolio_mv]]+data[[#This Row],[cash_acc_bs2]]</f>
        <v>2.0370415756149782</v>
      </c>
    </row>
    <row r="62" spans="1:32">
      <c r="A62" s="64">
        <v>45134</v>
      </c>
      <c r="B62" s="65">
        <v>15</v>
      </c>
      <c r="C62" s="65">
        <v>24.646999999999998</v>
      </c>
      <c r="D62" s="65">
        <v>330.72</v>
      </c>
      <c r="E62" s="63" t="s">
        <v>125</v>
      </c>
      <c r="F62" s="63" t="s">
        <v>126</v>
      </c>
      <c r="G62">
        <v>320</v>
      </c>
      <c r="H62" s="64">
        <v>45156</v>
      </c>
      <c r="I62" s="66">
        <v>0.02</v>
      </c>
      <c r="J62" s="65">
        <v>6.1111111000000003E-2</v>
      </c>
      <c r="K62" s="65" cm="1">
        <f t="array" ref="K62">CallOption(data[[#This Row],[asset_price]],data[[#This Row],[sigma_impl]]/100,0,data[[#This Row],[r]],data[[#This Row],[K]],data[[#This Row],[t]])</f>
        <v>14.668927369614579</v>
      </c>
      <c r="L62" s="65">
        <f>data[[#This Row],[call]]-K61</f>
        <v>-5.6633891088215762</v>
      </c>
      <c r="M62" s="65">
        <f>data[[#This Row],[sigma_impl]]-C61</f>
        <v>-0.23700000000000188</v>
      </c>
      <c r="N62" s="65">
        <f>SQRT(data[[#This Row],[t]])</f>
        <v>0.24720661601178881</v>
      </c>
      <c r="O62" s="65">
        <f>data[[#This Row],[asset_price]]-D61</f>
        <v>-7.0499999999999545</v>
      </c>
      <c r="P62" s="65" cm="1">
        <f t="array" ref="P62">CallDelta(data[[#This Row],[asset_price]],data[[#This Row],[sigma_impl]]/100,0,data[[#This Row],[r]],data[[#This Row],[K]],data[[#This Row],[t]])</f>
        <v>0.72285225348348858</v>
      </c>
      <c r="Q62" s="65" cm="1">
        <f t="array" ref="Q62">CallVega(data[[#This Row],[asset_price]],data[[#This Row],[sigma_impl]]/100,0,data[[#This Row],[r]],data[[#This Row],[K]],data[[#This Row],[t]])</f>
        <v>27.384136662510155</v>
      </c>
      <c r="R62" s="65">
        <f>(data[[#This Row],[D_call]]-data[[#This Row],[delta_bs]]*data[[#This Row],[D_S]])*data[[#This Row],[sqrt_t]]*data[[#This Row],[asset_price]]</f>
        <v>-46.37870028764096</v>
      </c>
      <c r="S62" s="65">
        <f>data[[#This Row],[vega_bs]]*data[[#This Row],[D_S]]</f>
        <v>-193.05816347069535</v>
      </c>
      <c r="T62" s="65">
        <f>data[[#This Row],[y_num]]/data[[#This Row],[y_den]]</f>
        <v>0.24023174909503822</v>
      </c>
      <c r="U62" s="65">
        <f t="shared" si="2"/>
        <v>-4.3904110000000003</v>
      </c>
      <c r="V62" s="65">
        <f t="shared" si="0"/>
        <v>13.107970999999999</v>
      </c>
      <c r="W62" s="65">
        <f t="shared" si="1"/>
        <v>-9.5703019999999999</v>
      </c>
      <c r="X6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0.75101655777123089</v>
      </c>
      <c r="Y62" s="65">
        <f>data[[#This Row],[call]]-data[[#This Row],[delta_bs]]*data[[#This Row],[asset_price]]</f>
        <v>-224.3927699024448</v>
      </c>
      <c r="Z62" s="65">
        <f>(data[[#This Row],[delta_bs]]-P61)*data[[#This Row],[asset_price]]</f>
        <v>-31.749788976873969</v>
      </c>
      <c r="AA62" s="65">
        <f>data[[#This Row],[cash_delta_bs]]+AA61*EXP(I61*(data[[#This Row],[ref_date]]-A61)/360)</f>
        <v>223.6672243782991</v>
      </c>
      <c r="AB62" s="65">
        <f>data[[#This Row],[portfolio_bs]]+data[[#This Row],[cash_acc_bs]]</f>
        <v>-0.72554552414570139</v>
      </c>
      <c r="AC62" s="65">
        <f>data[[#This Row],[call]]-data[[#This Row],[delta_mv]]*data[[#This Row],[asset_price]]</f>
        <v>-233.70726861648691</v>
      </c>
      <c r="AD62" s="65">
        <f>(data[[#This Row],[delta_mv]]-X61)*data[[#This Row],[asset_price]]</f>
        <v>-15.988413641610185</v>
      </c>
      <c r="AE62" s="65">
        <f>data[[#This Row],[cash_delta_mv]]+AE61*EXP(I61*(data[[#This Row],[ref_date]]-A61)/360)</f>
        <v>235.73039883804523</v>
      </c>
      <c r="AF62" s="65">
        <f>data[[#This Row],[portfolio_mv]]+data[[#This Row],[cash_acc_bs2]]</f>
        <v>2.0231302215583185</v>
      </c>
    </row>
    <row r="63" spans="1:32">
      <c r="A63" s="64">
        <v>45135</v>
      </c>
      <c r="B63" s="65">
        <v>20.45</v>
      </c>
      <c r="C63" s="65">
        <v>23.129000000000001</v>
      </c>
      <c r="D63" s="65">
        <v>338.37</v>
      </c>
      <c r="E63" s="63" t="s">
        <v>125</v>
      </c>
      <c r="F63" s="63" t="s">
        <v>126</v>
      </c>
      <c r="G63">
        <v>320</v>
      </c>
      <c r="H63" s="64">
        <v>45156</v>
      </c>
      <c r="I63" s="66">
        <v>0.02</v>
      </c>
      <c r="J63" s="65">
        <v>5.8333333000000001E-2</v>
      </c>
      <c r="K63" s="65" cm="1">
        <f t="array" ref="K63">CallOption(data[[#This Row],[asset_price]],data[[#This Row],[sigma_impl]]/100,0,data[[#This Row],[r]],data[[#This Row],[K]],data[[#This Row],[t]])</f>
        <v>20.215588008239877</v>
      </c>
      <c r="L63" s="65">
        <f>data[[#This Row],[call]]-K62</f>
        <v>5.5466606386252977</v>
      </c>
      <c r="M63" s="65">
        <f>data[[#This Row],[sigma_impl]]-C62</f>
        <v>-1.5179999999999971</v>
      </c>
      <c r="N63" s="65">
        <f>SQRT(data[[#This Row],[t]])</f>
        <v>0.24152294507975841</v>
      </c>
      <c r="O63" s="65">
        <f>data[[#This Row],[asset_price]]-D62</f>
        <v>7.6499999999999773</v>
      </c>
      <c r="P63" s="65" cm="1">
        <f t="array" ref="P63">CallDelta(data[[#This Row],[asset_price]],data[[#This Row],[sigma_impl]]/100,0,data[[#This Row],[r]],data[[#This Row],[K]],data[[#This Row],[t]])</f>
        <v>0.85269182431603496</v>
      </c>
      <c r="Q63" s="65" cm="1">
        <f t="array" ref="Q63">CallVega(data[[#This Row],[asset_price]],data[[#This Row],[sigma_impl]]/100,0,data[[#This Row],[r]],data[[#This Row],[K]],data[[#This Row],[t]])</f>
        <v>18.825416679748976</v>
      </c>
      <c r="R63" s="65">
        <f>(data[[#This Row],[D_call]]-data[[#This Row],[delta_bs]]*data[[#This Row],[D_S]])*data[[#This Row],[sqrt_t]]*data[[#This Row],[asset_price]]</f>
        <v>-79.798029968325551</v>
      </c>
      <c r="S63" s="65">
        <f>data[[#This Row],[vega_bs]]*data[[#This Row],[D_S]]</f>
        <v>144.01443760007925</v>
      </c>
      <c r="T63" s="65">
        <f>data[[#This Row],[y_num]]/data[[#This Row],[y_den]]</f>
        <v>-0.5540974314667021</v>
      </c>
      <c r="U63" s="65">
        <f t="shared" si="2"/>
        <v>-4.3904110000000003</v>
      </c>
      <c r="V63" s="65">
        <f t="shared" si="0"/>
        <v>13.107970999999999</v>
      </c>
      <c r="W63" s="65">
        <f t="shared" si="1"/>
        <v>-9.5703019999999999</v>
      </c>
      <c r="X6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0.81312669334476839</v>
      </c>
      <c r="Y63" s="65">
        <f>data[[#This Row],[call]]-data[[#This Row],[delta_bs]]*data[[#This Row],[asset_price]]</f>
        <v>-268.30974458557688</v>
      </c>
      <c r="Z63" s="65">
        <f>(data[[#This Row],[delta_bs]]-P62)*data[[#This Row],[asset_price]]</f>
        <v>43.933815582608716</v>
      </c>
      <c r="AA63" s="65">
        <f>data[[#This Row],[cash_delta_bs]]+AA62*EXP(I62*(data[[#This Row],[ref_date]]-A62)/360)</f>
        <v>267.61346626298956</v>
      </c>
      <c r="AB63" s="65">
        <f>data[[#This Row],[portfolio_bs]]+data[[#This Row],[cash_acc_bs]]</f>
        <v>-0.69627832258731814</v>
      </c>
      <c r="AC63" s="65">
        <f>data[[#This Row],[call]]-data[[#This Row],[delta_mv]]*data[[#This Row],[asset_price]]</f>
        <v>-254.92209121882939</v>
      </c>
      <c r="AD63" s="65">
        <f>(data[[#This Row],[delta_mv]]-X62)*data[[#This Row],[asset_price]]</f>
        <v>21.016206574017886</v>
      </c>
      <c r="AE63" s="65">
        <f>data[[#This Row],[cash_delta_mv]]+AE62*EXP(I62*(data[[#This Row],[ref_date]]-A62)/360)</f>
        <v>256.75970190912011</v>
      </c>
      <c r="AF63" s="65">
        <f>data[[#This Row],[portfolio_mv]]+data[[#This Row],[cash_acc_bs2]]</f>
        <v>1.8376106902907168</v>
      </c>
    </row>
    <row r="64" spans="1:32">
      <c r="A64" s="64">
        <v>45138</v>
      </c>
      <c r="B64" s="65">
        <v>18.11</v>
      </c>
      <c r="C64" s="65">
        <v>23.231999999999999</v>
      </c>
      <c r="D64" s="65">
        <v>335.92</v>
      </c>
      <c r="E64" s="63" t="s">
        <v>125</v>
      </c>
      <c r="F64" s="63" t="s">
        <v>126</v>
      </c>
      <c r="G64">
        <v>320</v>
      </c>
      <c r="H64" s="64">
        <v>45156</v>
      </c>
      <c r="I64" s="66">
        <v>0.02</v>
      </c>
      <c r="J64" s="65">
        <v>0.05</v>
      </c>
      <c r="K64" s="65" cm="1">
        <f t="array" ref="K64">CallOption(data[[#This Row],[asset_price]],data[[#This Row],[sigma_impl]]/100,0,data[[#This Row],[r]],data[[#This Row],[K]],data[[#This Row],[t]])</f>
        <v>17.786859323927047</v>
      </c>
      <c r="L64" s="65">
        <f>data[[#This Row],[call]]-K63</f>
        <v>-2.42872868431283</v>
      </c>
      <c r="M64" s="65">
        <f>data[[#This Row],[sigma_impl]]-C63</f>
        <v>0.10299999999999798</v>
      </c>
      <c r="N64" s="65">
        <f>SQRT(data[[#This Row],[t]])</f>
        <v>0.22360679774997896</v>
      </c>
      <c r="O64" s="65">
        <f>data[[#This Row],[asset_price]]-D63</f>
        <v>-2.4499999999999886</v>
      </c>
      <c r="P64" s="65" cm="1">
        <f t="array" ref="P64">CallDelta(data[[#This Row],[asset_price]],data[[#This Row],[sigma_impl]]/100,0,data[[#This Row],[r]],data[[#This Row],[K]],data[[#This Row],[t]])</f>
        <v>0.83641888520236074</v>
      </c>
      <c r="Q64" s="65" cm="1">
        <f t="array" ref="Q64">CallVega(data[[#This Row],[asset_price]],data[[#This Row],[sigma_impl]]/100,0,data[[#This Row],[r]],data[[#This Row],[K]],data[[#This Row],[t]])</f>
        <v>18.54164829857519</v>
      </c>
      <c r="R64" s="65">
        <f>(data[[#This Row],[D_call]]-data[[#This Row],[delta_bs]]*data[[#This Row],[D_S]])*data[[#This Row],[sqrt_t]]*data[[#This Row],[asset_price]]</f>
        <v>-28.505942735208563</v>
      </c>
      <c r="S64" s="65">
        <f>data[[#This Row],[vega_bs]]*data[[#This Row],[D_S]]</f>
        <v>-45.427038331509003</v>
      </c>
      <c r="T64" s="65">
        <f>data[[#This Row],[y_num]]/data[[#This Row],[y_den]]</f>
        <v>0.62751048235157192</v>
      </c>
      <c r="U64" s="65">
        <f t="shared" si="2"/>
        <v>-4.3904110000000003</v>
      </c>
      <c r="V64" s="65">
        <f t="shared" si="0"/>
        <v>13.107970999999999</v>
      </c>
      <c r="W64" s="65">
        <f t="shared" si="1"/>
        <v>-9.5703019999999999</v>
      </c>
      <c r="X6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0.80630190253843126</v>
      </c>
      <c r="Y64" s="65">
        <f>data[[#This Row],[call]]-data[[#This Row],[delta_bs]]*data[[#This Row],[asset_price]]</f>
        <v>-263.18297259324999</v>
      </c>
      <c r="Z64" s="65">
        <f>(data[[#This Row],[delta_bs]]-P63)*data[[#This Row],[asset_price]]</f>
        <v>-5.4664057070654453</v>
      </c>
      <c r="AA64" s="65">
        <f>data[[#This Row],[cash_delta_bs]]+AA63*EXP(I63*(data[[#This Row],[ref_date]]-A63)/360)</f>
        <v>262.19166651736145</v>
      </c>
      <c r="AB64" s="65">
        <f>data[[#This Row],[portfolio_bs]]+data[[#This Row],[cash_acc_bs]]</f>
        <v>-0.99130607588853081</v>
      </c>
      <c r="AC64" s="65">
        <f>data[[#This Row],[call]]-data[[#This Row],[delta_mv]]*data[[#This Row],[asset_price]]</f>
        <v>-253.06607577678278</v>
      </c>
      <c r="AD64" s="65">
        <f>(data[[#This Row],[delta_mv]]-X63)*data[[#This Row],[asset_price]]</f>
        <v>-2.2925837276647698</v>
      </c>
      <c r="AE64" s="65">
        <f>data[[#This Row],[cash_delta_mv]]+AE63*EXP(I63*(data[[#This Row],[ref_date]]-A63)/360)</f>
        <v>254.50991503141196</v>
      </c>
      <c r="AF64" s="65">
        <f>data[[#This Row],[portfolio_mv]]+data[[#This Row],[cash_acc_bs2]]</f>
        <v>1.4438392546291823</v>
      </c>
    </row>
    <row r="65" spans="1:32">
      <c r="A65" s="64">
        <v>45139</v>
      </c>
      <c r="B65" s="65">
        <v>19.75</v>
      </c>
      <c r="C65" s="65">
        <v>23.497</v>
      </c>
      <c r="D65" s="65">
        <v>336.34</v>
      </c>
      <c r="E65" s="63" t="s">
        <v>125</v>
      </c>
      <c r="F65" s="63" t="s">
        <v>126</v>
      </c>
      <c r="G65">
        <v>320</v>
      </c>
      <c r="H65" s="64">
        <v>45156</v>
      </c>
      <c r="I65" s="66">
        <v>0.02</v>
      </c>
      <c r="J65" s="65">
        <v>4.7222222000000001E-2</v>
      </c>
      <c r="K65" s="65" cm="1">
        <f t="array" ref="K65">CallOption(data[[#This Row],[asset_price]],data[[#This Row],[sigma_impl]]/100,0,data[[#This Row],[r]],data[[#This Row],[K]],data[[#This Row],[t]])</f>
        <v>18.053211814806673</v>
      </c>
      <c r="L65" s="65">
        <f>data[[#This Row],[call]]-K64</f>
        <v>0.2663524908796262</v>
      </c>
      <c r="M65" s="65">
        <f>data[[#This Row],[sigma_impl]]-C64</f>
        <v>0.26500000000000057</v>
      </c>
      <c r="N65" s="65">
        <f>SQRT(data[[#This Row],[t]])</f>
        <v>0.21730674632877831</v>
      </c>
      <c r="O65" s="65">
        <f>data[[#This Row],[asset_price]]-D64</f>
        <v>0.41999999999995907</v>
      </c>
      <c r="P65" s="65" cm="1">
        <f t="array" ref="P65">CallDelta(data[[#This Row],[asset_price]],data[[#This Row],[sigma_impl]]/100,0,data[[#This Row],[r]],data[[#This Row],[K]],data[[#This Row],[t]])</f>
        <v>0.84598623555322183</v>
      </c>
      <c r="Q65" s="65" cm="1">
        <f t="array" ref="Q65">CallVega(data[[#This Row],[asset_price]],data[[#This Row],[sigma_impl]]/100,0,data[[#This Row],[r]],data[[#This Row],[K]],data[[#This Row],[t]])</f>
        <v>17.34286914011426</v>
      </c>
      <c r="R65" s="65">
        <f>(data[[#This Row],[D_call]]-data[[#This Row],[delta_bs]]*data[[#This Row],[D_S]])*data[[#This Row],[sqrt_t]]*data[[#This Row],[asset_price]]</f>
        <v>-6.5021193878759478</v>
      </c>
      <c r="S65" s="65">
        <f>data[[#This Row],[vega_bs]]*data[[#This Row],[D_S]]</f>
        <v>7.2840050388472797</v>
      </c>
      <c r="T65" s="65">
        <f>data[[#This Row],[y_num]]/data[[#This Row],[y_den]]</f>
        <v>-0.89265717873596251</v>
      </c>
      <c r="U65" s="65">
        <f t="shared" si="2"/>
        <v>-4.3904110000000003</v>
      </c>
      <c r="V65" s="65">
        <f t="shared" si="0"/>
        <v>13.107970999999999</v>
      </c>
      <c r="W65" s="65">
        <f t="shared" si="1"/>
        <v>-9.5703019999999999</v>
      </c>
      <c r="X6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0.81024091868589287</v>
      </c>
      <c r="Y65" s="65">
        <f>data[[#This Row],[call]]-data[[#This Row],[delta_bs]]*data[[#This Row],[asset_price]]</f>
        <v>-266.48579865116392</v>
      </c>
      <c r="Z65" s="65">
        <f>(data[[#This Row],[delta_bs]]-P64)*data[[#This Row],[asset_price]]</f>
        <v>3.2178826170086197</v>
      </c>
      <c r="AA65" s="65">
        <f>data[[#This Row],[cash_delta_bs]]+AA64*EXP(I64*(data[[#This Row],[ref_date]]-A64)/360)</f>
        <v>265.42411574268971</v>
      </c>
      <c r="AB65" s="65">
        <f>data[[#This Row],[portfolio_bs]]+data[[#This Row],[cash_acc_bs]]</f>
        <v>-1.0616829084742108</v>
      </c>
      <c r="AC65" s="65">
        <f>data[[#This Row],[call]]-data[[#This Row],[delta_mv]]*data[[#This Row],[asset_price]]</f>
        <v>-254.4632187760065</v>
      </c>
      <c r="AD65" s="65">
        <f>(data[[#This Row],[delta_mv]]-X64)*data[[#This Row],[asset_price]]</f>
        <v>1.3248486910372397</v>
      </c>
      <c r="AE65" s="65">
        <f>data[[#This Row],[cash_delta_mv]]+AE64*EXP(I64*(data[[#This Row],[ref_date]]-A64)/360)</f>
        <v>255.84890355494264</v>
      </c>
      <c r="AF65" s="65">
        <f>data[[#This Row],[portfolio_mv]]+data[[#This Row],[cash_acc_bs2]]</f>
        <v>1.3856847789361382</v>
      </c>
    </row>
    <row r="66" spans="1:32">
      <c r="A66" s="64">
        <v>45140</v>
      </c>
      <c r="B66" s="65">
        <v>12</v>
      </c>
      <c r="C66" s="65">
        <v>25.17</v>
      </c>
      <c r="D66" s="65">
        <v>327.5</v>
      </c>
      <c r="E66" s="63" t="s">
        <v>125</v>
      </c>
      <c r="F66" s="63" t="s">
        <v>126</v>
      </c>
      <c r="G66">
        <v>320</v>
      </c>
      <c r="H66" s="64">
        <v>45156</v>
      </c>
      <c r="I66" s="66">
        <v>0.02</v>
      </c>
      <c r="J66" s="65">
        <v>4.4444444E-2</v>
      </c>
      <c r="K66" s="65" cm="1">
        <f t="array" ref="K66">CallOption(data[[#This Row],[asset_price]],data[[#This Row],[sigma_impl]]/100,0,data[[#This Row],[r]],data[[#This Row],[K]],data[[#This Row],[t]])</f>
        <v>11.433713194979219</v>
      </c>
      <c r="L66" s="65">
        <f>data[[#This Row],[call]]-K65</f>
        <v>-6.6194986198274535</v>
      </c>
      <c r="M66" s="65">
        <f>data[[#This Row],[sigma_impl]]-C65</f>
        <v>1.6730000000000018</v>
      </c>
      <c r="N66" s="65">
        <f>SQRT(data[[#This Row],[t]])</f>
        <v>0.21081850962379939</v>
      </c>
      <c r="O66" s="65">
        <f>data[[#This Row],[asset_price]]-D65</f>
        <v>-8.839999999999975</v>
      </c>
      <c r="P66" s="65" cm="1">
        <f t="array" ref="P66">CallDelta(data[[#This Row],[asset_price]],data[[#This Row],[sigma_impl]]/100,0,data[[#This Row],[r]],data[[#This Row],[K]],data[[#This Row],[t]])</f>
        <v>0.68434301915755946</v>
      </c>
      <c r="Q66" s="65" cm="1">
        <f t="array" ref="Q66">CallVega(data[[#This Row],[asset_price]],data[[#This Row],[sigma_impl]]/100,0,data[[#This Row],[r]],data[[#This Row],[K]],data[[#This Row],[t]])</f>
        <v>24.548488637434673</v>
      </c>
      <c r="R66" s="65">
        <f>(data[[#This Row],[D_call]]-data[[#This Row],[delta_bs]]*data[[#This Row],[D_S]])*data[[#This Row],[sqrt_t]]*data[[#This Row],[asset_price]]</f>
        <v>-39.348078053185326</v>
      </c>
      <c r="S66" s="65">
        <f>data[[#This Row],[vega_bs]]*data[[#This Row],[D_S]]</f>
        <v>-217.0086395549219</v>
      </c>
      <c r="T66" s="65">
        <f>data[[#This Row],[y_num]]/data[[#This Row],[y_den]]</f>
        <v>0.18132032961400538</v>
      </c>
      <c r="U66" s="65">
        <f t="shared" si="2"/>
        <v>-4.3904110000000003</v>
      </c>
      <c r="V66" s="65">
        <f t="shared" si="0"/>
        <v>13.107970999999999</v>
      </c>
      <c r="W66" s="65">
        <f t="shared" si="1"/>
        <v>-9.5703019999999999</v>
      </c>
      <c r="X66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0.71915959648897432</v>
      </c>
      <c r="Y66" s="65">
        <f>data[[#This Row],[call]]-data[[#This Row],[delta_bs]]*data[[#This Row],[asset_price]]</f>
        <v>-212.68862557912149</v>
      </c>
      <c r="Z66" s="65">
        <f>(data[[#This Row],[delta_bs]]-P65)*data[[#This Row],[asset_price]]</f>
        <v>-52.938153369579425</v>
      </c>
      <c r="AA66" s="65">
        <f>data[[#This Row],[cash_delta_bs]]+AA65*EXP(I65*(data[[#This Row],[ref_date]]-A65)/360)</f>
        <v>212.50070856693088</v>
      </c>
      <c r="AB66" s="65">
        <f>data[[#This Row],[portfolio_bs]]+data[[#This Row],[cash_acc_bs]]</f>
        <v>-0.18791701219060997</v>
      </c>
      <c r="AC66" s="65">
        <f>data[[#This Row],[call]]-data[[#This Row],[delta_mv]]*data[[#This Row],[asset_price]]</f>
        <v>-224.09105465515987</v>
      </c>
      <c r="AD66" s="65">
        <f>(data[[#This Row],[delta_mv]]-X65)*data[[#This Row],[asset_price]]</f>
        <v>-29.829133019490829</v>
      </c>
      <c r="AE66" s="65">
        <f>data[[#This Row],[cash_delta_mv]]+AE65*EXP(I65*(data[[#This Row],[ref_date]]-A65)/360)</f>
        <v>226.03398475826293</v>
      </c>
      <c r="AF66" s="65">
        <f>data[[#This Row],[portfolio_mv]]+data[[#This Row],[cash_acc_bs2]]</f>
        <v>1.9429301031030661</v>
      </c>
    </row>
    <row r="67" spans="1:32">
      <c r="A67" s="64">
        <v>45141</v>
      </c>
      <c r="B67" s="65">
        <v>11.43</v>
      </c>
      <c r="C67" s="65">
        <v>24.693000000000001</v>
      </c>
      <c r="D67" s="65">
        <v>326.66000000000003</v>
      </c>
      <c r="E67" s="63" t="s">
        <v>125</v>
      </c>
      <c r="F67" s="63" t="s">
        <v>126</v>
      </c>
      <c r="G67">
        <v>320</v>
      </c>
      <c r="H67" s="64">
        <v>45156</v>
      </c>
      <c r="I67" s="66">
        <v>0.02</v>
      </c>
      <c r="J67" s="65">
        <v>4.1666666999999998E-2</v>
      </c>
      <c r="K67" s="65" cm="1">
        <f t="array" ref="K67">CallOption(data[[#This Row],[asset_price]],data[[#This Row],[sigma_impl]]/100,0,data[[#This Row],[r]],data[[#This Row],[K]],data[[#This Row],[t]])</f>
        <v>10.540179252684396</v>
      </c>
      <c r="L67" s="65">
        <f>data[[#This Row],[call]]-K66</f>
        <v>-0.89353394229482319</v>
      </c>
      <c r="M67" s="65">
        <f>data[[#This Row],[sigma_impl]]-C66</f>
        <v>-0.47700000000000031</v>
      </c>
      <c r="N67" s="65">
        <f>SQRT(data[[#This Row],[t]])</f>
        <v>0.20412414604842807</v>
      </c>
      <c r="O67" s="65">
        <f>data[[#This Row],[asset_price]]-D66</f>
        <v>-0.83999999999997499</v>
      </c>
      <c r="P67" s="65" cm="1">
        <f t="array" ref="P67">CallDelta(data[[#This Row],[asset_price]],data[[#This Row],[sigma_impl]]/100,0,data[[#This Row],[r]],data[[#This Row],[K]],data[[#This Row],[t]])</f>
        <v>0.67379168648864862</v>
      </c>
      <c r="Q67" s="65" cm="1">
        <f t="array" ref="Q67">CallVega(data[[#This Row],[asset_price]],data[[#This Row],[sigma_impl]]/100,0,data[[#This Row],[r]],data[[#This Row],[K]],data[[#This Row],[t]])</f>
        <v>24.035236594665999</v>
      </c>
      <c r="R67" s="65">
        <f>(data[[#This Row],[D_call]]-data[[#This Row],[delta_bs]]*data[[#This Row],[D_S]])*data[[#This Row],[sqrt_t]]*data[[#This Row],[asset_price]]</f>
        <v>-21.840698209539557</v>
      </c>
      <c r="S67" s="65">
        <f>data[[#This Row],[vega_bs]]*data[[#This Row],[D_S]]</f>
        <v>-20.189598739518839</v>
      </c>
      <c r="T67" s="65">
        <f>data[[#This Row],[y_num]]/data[[#This Row],[y_den]]</f>
        <v>1.0817797070324573</v>
      </c>
      <c r="U67" s="65">
        <f t="shared" si="2"/>
        <v>-4.3904110000000003</v>
      </c>
      <c r="V67" s="65">
        <f t="shared" ref="V67:V75" si="3">V66</f>
        <v>13.107970999999999</v>
      </c>
      <c r="W67" s="65">
        <f t="shared" ref="W67:W75" si="4">W66</f>
        <v>-9.5703019999999999</v>
      </c>
      <c r="X67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0.70866964589655779</v>
      </c>
      <c r="Y67" s="65">
        <f>data[[#This Row],[call]]-data[[#This Row],[delta_bs]]*data[[#This Row],[asset_price]]</f>
        <v>-209.56061305569759</v>
      </c>
      <c r="Z67" s="65">
        <f>(data[[#This Row],[delta_bs]]-P66)*data[[#This Row],[asset_price]]</f>
        <v>-3.4466983296264151</v>
      </c>
      <c r="AA67" s="65">
        <f>data[[#This Row],[cash_delta_bs]]+AA66*EXP(I66*(data[[#This Row],[ref_date]]-A66)/360)</f>
        <v>209.06581616016408</v>
      </c>
      <c r="AB67" s="65">
        <f>data[[#This Row],[portfolio_bs]]+data[[#This Row],[cash_acc_bs]]</f>
        <v>-0.49479689553351136</v>
      </c>
      <c r="AC67" s="65">
        <f>data[[#This Row],[call]]-data[[#This Row],[delta_mv]]*data[[#This Row],[asset_price]]</f>
        <v>-220.95384727588518</v>
      </c>
      <c r="AD67" s="65">
        <f>(data[[#This Row],[delta_mv]]-X66)*data[[#This Row],[asset_price]]</f>
        <v>-3.4266472605187839</v>
      </c>
      <c r="AE67" s="65">
        <f>data[[#This Row],[cash_delta_mv]]+AE66*EXP(I66*(data[[#This Row],[ref_date]]-A66)/360)</f>
        <v>222.61989529016614</v>
      </c>
      <c r="AF67" s="65">
        <f>data[[#This Row],[portfolio_mv]]+data[[#This Row],[cash_acc_bs2]]</f>
        <v>1.6660480142809604</v>
      </c>
    </row>
    <row r="68" spans="1:32">
      <c r="A68" s="64">
        <v>45142</v>
      </c>
      <c r="B68" s="65">
        <v>10.199999999999999</v>
      </c>
      <c r="C68" s="65">
        <v>24.556000000000001</v>
      </c>
      <c r="D68" s="65">
        <v>327.78</v>
      </c>
      <c r="E68" s="63" t="s">
        <v>125</v>
      </c>
      <c r="F68" s="63" t="s">
        <v>126</v>
      </c>
      <c r="G68">
        <v>320</v>
      </c>
      <c r="H68" s="64">
        <v>45156</v>
      </c>
      <c r="I68" s="66">
        <v>0.02</v>
      </c>
      <c r="J68" s="65">
        <v>3.8888889000000003E-2</v>
      </c>
      <c r="K68" s="65" cm="1">
        <f t="array" ref="K68">CallOption(data[[#This Row],[asset_price]],data[[#This Row],[sigma_impl]]/100,0,data[[#This Row],[r]],data[[#This Row],[K]],data[[#This Row],[t]])</f>
        <v>11.071015371292049</v>
      </c>
      <c r="L68" s="65">
        <f>data[[#This Row],[call]]-K67</f>
        <v>0.53083611860765245</v>
      </c>
      <c r="M68" s="65">
        <f>data[[#This Row],[sigma_impl]]-C67</f>
        <v>-0.13700000000000045</v>
      </c>
      <c r="N68" s="65">
        <f>SQRT(data[[#This Row],[t]])</f>
        <v>0.19720265971837195</v>
      </c>
      <c r="O68" s="65">
        <f>data[[#This Row],[asset_price]]-D67</f>
        <v>1.1199999999999477</v>
      </c>
      <c r="P68" s="65" cm="1">
        <f t="array" ref="P68">CallDelta(data[[#This Row],[asset_price]],data[[#This Row],[sigma_impl]]/100,0,data[[#This Row],[r]],data[[#This Row],[K]],data[[#This Row],[t]])</f>
        <v>0.70413550157433713</v>
      </c>
      <c r="Q68" s="65" cm="1">
        <f t="array" ref="Q68">CallVega(data[[#This Row],[asset_price]],data[[#This Row],[sigma_impl]]/100,0,data[[#This Row],[r]],data[[#This Row],[K]],data[[#This Row],[t]])</f>
        <v>22.332761180692202</v>
      </c>
      <c r="R68" s="65">
        <f>(data[[#This Row],[D_call]]-data[[#This Row],[delta_bs]]*data[[#This Row],[D_S]])*data[[#This Row],[sqrt_t]]*data[[#This Row],[asset_price]]</f>
        <v>-16.663675213031635</v>
      </c>
      <c r="S68" s="65">
        <f>data[[#This Row],[vega_bs]]*data[[#This Row],[D_S]]</f>
        <v>25.012692522374099</v>
      </c>
      <c r="T68" s="65">
        <f>data[[#This Row],[y_num]]/data[[#This Row],[y_den]]</f>
        <v>-0.66620877373060949</v>
      </c>
      <c r="U68" s="65">
        <f t="shared" ref="U68:U75" si="5">U67</f>
        <v>-4.3904110000000003</v>
      </c>
      <c r="V68" s="65">
        <f t="shared" si="3"/>
        <v>13.107970999999999</v>
      </c>
      <c r="W68" s="65">
        <f t="shared" si="4"/>
        <v>-9.5703019999999999</v>
      </c>
      <c r="X68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0.73673539482028316</v>
      </c>
      <c r="Y68" s="65">
        <f>data[[#This Row],[call]]-data[[#This Row],[delta_bs]]*data[[#This Row],[asset_price]]</f>
        <v>-219.73051933474414</v>
      </c>
      <c r="Z68" s="65">
        <f>(data[[#This Row],[delta_bs]]-P67)*data[[#This Row],[asset_price]]</f>
        <v>9.946095708786979</v>
      </c>
      <c r="AA68" s="65">
        <f>data[[#This Row],[cash_delta_bs]]+AA67*EXP(I67*(data[[#This Row],[ref_date]]-A67)/360)</f>
        <v>219.02352695915388</v>
      </c>
      <c r="AB68" s="65">
        <f>data[[#This Row],[portfolio_bs]]+data[[#This Row],[cash_acc_bs]]</f>
        <v>-0.70699237559026074</v>
      </c>
      <c r="AC68" s="65">
        <f>data[[#This Row],[call]]-data[[#This Row],[delta_mv]]*data[[#This Row],[asset_price]]</f>
        <v>-230.41611234290033</v>
      </c>
      <c r="AD68" s="65">
        <f>(data[[#This Row],[delta_mv]]-X67)*data[[#This Row],[asset_price]]</f>
        <v>9.1993911822187027</v>
      </c>
      <c r="AE68" s="65">
        <f>data[[#This Row],[cash_delta_mv]]+AE67*EXP(I67*(data[[#This Row],[ref_date]]-A67)/360)</f>
        <v>231.83165458790097</v>
      </c>
      <c r="AF68" s="65">
        <f>data[[#This Row],[portfolio_mv]]+data[[#This Row],[cash_acc_bs2]]</f>
        <v>1.415542245000637</v>
      </c>
    </row>
    <row r="69" spans="1:32">
      <c r="A69" s="64">
        <v>45145</v>
      </c>
      <c r="B69" s="65">
        <v>12.3</v>
      </c>
      <c r="C69" s="65">
        <v>22.422999999999998</v>
      </c>
      <c r="D69" s="65">
        <v>330.11</v>
      </c>
      <c r="E69" s="63" t="s">
        <v>125</v>
      </c>
      <c r="F69" s="63" t="s">
        <v>126</v>
      </c>
      <c r="G69">
        <v>320</v>
      </c>
      <c r="H69" s="64">
        <v>45156</v>
      </c>
      <c r="I69" s="66">
        <v>0.02</v>
      </c>
      <c r="J69" s="65">
        <v>3.0555556000000001E-2</v>
      </c>
      <c r="K69" s="65" cm="1">
        <f t="array" ref="K69">CallOption(data[[#This Row],[asset_price]],data[[#This Row],[sigma_impl]]/100,0,data[[#This Row],[r]],data[[#This Row],[K]],data[[#This Row],[t]])</f>
        <v>11.811613015234883</v>
      </c>
      <c r="L69" s="65">
        <f>data[[#This Row],[call]]-K68</f>
        <v>0.74059764394283434</v>
      </c>
      <c r="M69" s="65">
        <f>data[[#This Row],[sigma_impl]]-C68</f>
        <v>-2.1330000000000027</v>
      </c>
      <c r="N69" s="65">
        <f>SQRT(data[[#This Row],[t]])</f>
        <v>0.17480147596630871</v>
      </c>
      <c r="O69" s="65">
        <f>data[[#This Row],[asset_price]]-D68</f>
        <v>2.3300000000000409</v>
      </c>
      <c r="P69" s="65" cm="1">
        <f t="array" ref="P69">CallDelta(data[[#This Row],[asset_price]],data[[#This Row],[sigma_impl]]/100,0,data[[#This Row],[r]],data[[#This Row],[K]],data[[#This Row],[t]])</f>
        <v>0.79638241965608358</v>
      </c>
      <c r="Q69" s="65" cm="1">
        <f t="array" ref="Q69">CallVega(data[[#This Row],[asset_price]],data[[#This Row],[sigma_impl]]/100,0,data[[#This Row],[r]],data[[#This Row],[K]],data[[#This Row],[t]])</f>
        <v>16.329188505239127</v>
      </c>
      <c r="R69" s="65">
        <f>(data[[#This Row],[D_call]]-data[[#This Row],[delta_bs]]*data[[#This Row],[D_S]])*data[[#This Row],[sqrt_t]]*data[[#This Row],[asset_price]]</f>
        <v>-64.338107209466457</v>
      </c>
      <c r="S69" s="65">
        <f>data[[#This Row],[vega_bs]]*data[[#This Row],[D_S]]</f>
        <v>38.047009217207837</v>
      </c>
      <c r="T69" s="65">
        <f>data[[#This Row],[y_num]]/data[[#This Row],[y_den]]</f>
        <v>-1.6910161543096462</v>
      </c>
      <c r="U69" s="65">
        <f t="shared" si="5"/>
        <v>-4.3904110000000003</v>
      </c>
      <c r="V69" s="65">
        <f t="shared" si="3"/>
        <v>13.107970999999999</v>
      </c>
      <c r="W69" s="65">
        <f t="shared" si="4"/>
        <v>-9.5703019999999999</v>
      </c>
      <c r="X69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0.79038947674385918</v>
      </c>
      <c r="Y69" s="65">
        <f>data[[#This Row],[call]]-data[[#This Row],[delta_bs]]*data[[#This Row],[asset_price]]</f>
        <v>-251.08218753743486</v>
      </c>
      <c r="Z69" s="65">
        <f>(data[[#This Row],[delta_bs]]-P68)*data[[#This Row],[asset_price]]</f>
        <v>30.451630127965323</v>
      </c>
      <c r="AA69" s="65">
        <f>data[[#This Row],[cash_delta_bs]]+AA68*EXP(I68*(data[[#This Row],[ref_date]]-A68)/360)</f>
        <v>249.51166405044151</v>
      </c>
      <c r="AB69" s="65">
        <f>data[[#This Row],[portfolio_bs]]+data[[#This Row],[cash_acc_bs]]</f>
        <v>-1.570523486993352</v>
      </c>
      <c r="AC69" s="65">
        <f>data[[#This Row],[call]]-data[[#This Row],[delta_mv]]*data[[#This Row],[asset_price]]</f>
        <v>-249.10385715268049</v>
      </c>
      <c r="AD69" s="65">
        <f>(data[[#This Row],[delta_mv]]-X68)*data[[#This Row],[asset_price]]</f>
        <v>17.711748983791679</v>
      </c>
      <c r="AE69" s="65">
        <f>data[[#This Row],[cash_delta_mv]]+AE68*EXP(I68*(data[[#This Row],[ref_date]]-A68)/360)</f>
        <v>249.58204540085359</v>
      </c>
      <c r="AF69" s="65">
        <f>data[[#This Row],[portfolio_mv]]+data[[#This Row],[cash_acc_bs2]]</f>
        <v>0.47818824817309746</v>
      </c>
    </row>
    <row r="70" spans="1:32">
      <c r="A70" s="64">
        <v>45146</v>
      </c>
      <c r="B70" s="65">
        <v>9.35</v>
      </c>
      <c r="C70" s="65">
        <v>23.672999999999998</v>
      </c>
      <c r="D70" s="65">
        <v>326.05</v>
      </c>
      <c r="E70" s="63" t="s">
        <v>125</v>
      </c>
      <c r="F70" s="63" t="s">
        <v>126</v>
      </c>
      <c r="G70">
        <v>320</v>
      </c>
      <c r="H70" s="64">
        <v>45156</v>
      </c>
      <c r="I70" s="66">
        <v>0.02</v>
      </c>
      <c r="J70" s="65">
        <v>2.7777777999999999E-2</v>
      </c>
      <c r="K70" s="65" cm="1">
        <f t="array" ref="K70">CallOption(data[[#This Row],[asset_price]],data[[#This Row],[sigma_impl]]/100,0,data[[#This Row],[r]],data[[#This Row],[K]],data[[#This Row],[t]])</f>
        <v>8.7919191094550797</v>
      </c>
      <c r="L70" s="65">
        <f>data[[#This Row],[call]]-K69</f>
        <v>-3.0196939057798033</v>
      </c>
      <c r="M70" s="65">
        <f>data[[#This Row],[sigma_impl]]-C69</f>
        <v>1.25</v>
      </c>
      <c r="N70" s="65">
        <f>SQRT(data[[#This Row],[t]])</f>
        <v>0.16666666733333332</v>
      </c>
      <c r="O70" s="65">
        <f>data[[#This Row],[asset_price]]-D69</f>
        <v>-4.0600000000000023</v>
      </c>
      <c r="P70" s="65" cm="1">
        <f t="array" ref="P70">CallDelta(data[[#This Row],[asset_price]],data[[#This Row],[sigma_impl]]/100,0,data[[#This Row],[r]],data[[#This Row],[K]],data[[#This Row],[t]])</f>
        <v>0.69445560960267361</v>
      </c>
      <c r="Q70" s="65" cm="1">
        <f t="array" ref="Q70">CallVega(data[[#This Row],[asset_price]],data[[#This Row],[sigma_impl]]/100,0,data[[#This Row],[r]],data[[#This Row],[K]],data[[#This Row],[t]])</f>
        <v>19.049798373666452</v>
      </c>
      <c r="R70" s="65">
        <f>(data[[#This Row],[D_call]]-data[[#This Row],[delta_bs]]*data[[#This Row],[D_S]])*data[[#This Row],[sqrt_t]]*data[[#This Row],[asset_price]]</f>
        <v>-10.879426184357763</v>
      </c>
      <c r="S70" s="65">
        <f>data[[#This Row],[vega_bs]]*data[[#This Row],[D_S]]</f>
        <v>-77.342181397085838</v>
      </c>
      <c r="T70" s="65">
        <f>data[[#This Row],[y_num]]/data[[#This Row],[y_den]]</f>
        <v>0.14066614087985482</v>
      </c>
      <c r="U70" s="65">
        <f t="shared" si="5"/>
        <v>-4.3904110000000003</v>
      </c>
      <c r="V70" s="65">
        <f t="shared" si="3"/>
        <v>13.107970999999999</v>
      </c>
      <c r="W70" s="65">
        <f t="shared" si="4"/>
        <v>-9.5703019999999999</v>
      </c>
      <c r="X70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0.72847248049609081</v>
      </c>
      <c r="Y70" s="65">
        <f>data[[#This Row],[call]]-data[[#This Row],[delta_bs]]*data[[#This Row],[asset_price]]</f>
        <v>-217.63533240149667</v>
      </c>
      <c r="Z70" s="65">
        <f>(data[[#This Row],[delta_bs]]-P69)*data[[#This Row],[asset_price]]</f>
        <v>-33.233236417914327</v>
      </c>
      <c r="AA70" s="65">
        <f>data[[#This Row],[cash_delta_bs]]+AA69*EXP(I69*(data[[#This Row],[ref_date]]-A69)/360)</f>
        <v>216.29228977669706</v>
      </c>
      <c r="AB70" s="65">
        <f>data[[#This Row],[portfolio_bs]]+data[[#This Row],[cash_acc_bs]]</f>
        <v>-1.3430426247996081</v>
      </c>
      <c r="AC70" s="65">
        <f>data[[#This Row],[call]]-data[[#This Row],[delta_mv]]*data[[#This Row],[asset_price]]</f>
        <v>-228.72653315629535</v>
      </c>
      <c r="AD70" s="65">
        <f>(data[[#This Row],[delta_mv]]-X69)*data[[#This Row],[asset_price]]</f>
        <v>-20.188036626584875</v>
      </c>
      <c r="AE70" s="65">
        <f>data[[#This Row],[cash_delta_mv]]+AE69*EXP(I69*(data[[#This Row],[ref_date]]-A69)/360)</f>
        <v>229.40787482862223</v>
      </c>
      <c r="AF70" s="65">
        <f>data[[#This Row],[portfolio_mv]]+data[[#This Row],[cash_acc_bs2]]</f>
        <v>0.68134167232688014</v>
      </c>
    </row>
    <row r="71" spans="1:32">
      <c r="A71" s="64">
        <v>45147</v>
      </c>
      <c r="B71" s="65">
        <v>6.54</v>
      </c>
      <c r="C71" s="65">
        <v>25.227</v>
      </c>
      <c r="D71" s="65">
        <v>322.23</v>
      </c>
      <c r="E71" s="63" t="s">
        <v>125</v>
      </c>
      <c r="F71" s="63" t="s">
        <v>126</v>
      </c>
      <c r="G71">
        <v>320</v>
      </c>
      <c r="H71" s="64">
        <v>45156</v>
      </c>
      <c r="I71" s="66">
        <v>0.02</v>
      </c>
      <c r="J71" s="65">
        <v>2.5000000000000001E-2</v>
      </c>
      <c r="K71" s="65" cm="1">
        <f t="array" ref="K71">CallOption(data[[#This Row],[asset_price]],data[[#This Row],[sigma_impl]]/100,0,data[[#This Row],[r]],data[[#This Row],[K]],data[[#This Row],[t]])</f>
        <v>6.3918877305999615</v>
      </c>
      <c r="L71" s="65">
        <f>data[[#This Row],[call]]-K70</f>
        <v>-2.4000313788551182</v>
      </c>
      <c r="M71" s="65">
        <f>data[[#This Row],[sigma_impl]]-C70</f>
        <v>1.554000000000002</v>
      </c>
      <c r="N71" s="65">
        <f>SQRT(data[[#This Row],[t]])</f>
        <v>0.15811388300841897</v>
      </c>
      <c r="O71" s="65">
        <f>data[[#This Row],[asset_price]]-D70</f>
        <v>-3.8199999999999932</v>
      </c>
      <c r="P71" s="65" cm="1">
        <f t="array" ref="P71">CallDelta(data[[#This Row],[asset_price]],data[[#This Row],[sigma_impl]]/100,0,data[[#This Row],[r]],data[[#This Row],[K]],data[[#This Row],[t]])</f>
        <v>0.58183245422246843</v>
      </c>
      <c r="Q71" s="65" cm="1">
        <f t="array" ref="Q71">CallVega(data[[#This Row],[asset_price]],data[[#This Row],[sigma_impl]]/100,0,data[[#This Row],[r]],data[[#This Row],[K]],data[[#This Row],[t]])</f>
        <v>19.896601190070442</v>
      </c>
      <c r="R71" s="65">
        <f>(data[[#This Row],[D_call]]-data[[#This Row],[delta_bs]]*data[[#This Row],[D_S]])*data[[#This Row],[sqrt_t]]*data[[#This Row],[asset_price]]</f>
        <v>-9.0399590685146816</v>
      </c>
      <c r="S71" s="65">
        <f>data[[#This Row],[vega_bs]]*data[[#This Row],[D_S]]</f>
        <v>-76.005016546068944</v>
      </c>
      <c r="T71" s="65">
        <f>data[[#This Row],[y_num]]/data[[#This Row],[y_den]]</f>
        <v>0.1189389790216714</v>
      </c>
      <c r="U71" s="65">
        <f t="shared" si="5"/>
        <v>-4.3904110000000003</v>
      </c>
      <c r="V71" s="65">
        <f t="shared" si="3"/>
        <v>13.107970999999999</v>
      </c>
      <c r="W71" s="65">
        <f t="shared" si="4"/>
        <v>-9.5703019999999999</v>
      </c>
      <c r="X71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0.58042936593857153</v>
      </c>
      <c r="Y71" s="65">
        <f>data[[#This Row],[call]]-data[[#This Row],[delta_bs]]*data[[#This Row],[asset_price]]</f>
        <v>-181.09198399350606</v>
      </c>
      <c r="Z71" s="65">
        <f>(data[[#This Row],[delta_bs]]-P70)*data[[#This Row],[asset_price]]</f>
        <v>-36.290559358163513</v>
      </c>
      <c r="AA71" s="65">
        <f>data[[#This Row],[cash_delta_bs]]+AA70*EXP(I70*(data[[#This Row],[ref_date]]-A70)/360)</f>
        <v>180.01374699064505</v>
      </c>
      <c r="AB71" s="65">
        <f>data[[#This Row],[portfolio_bs]]+data[[#This Row],[cash_acc_bs]]</f>
        <v>-1.078237002861016</v>
      </c>
      <c r="AC71" s="65">
        <f>data[[#This Row],[call]]-data[[#This Row],[delta_mv]]*data[[#This Row],[asset_price]]</f>
        <v>-180.63986685578595</v>
      </c>
      <c r="AD71" s="65">
        <f>(data[[#This Row],[delta_mv]]-X70)*data[[#This Row],[asset_price]]</f>
        <v>-47.703932803869442</v>
      </c>
      <c r="AE71" s="65">
        <f>data[[#This Row],[cash_delta_mv]]+AE70*EXP(I70*(data[[#This Row],[ref_date]]-A70)/360)</f>
        <v>181.71668726071874</v>
      </c>
      <c r="AF71" s="65">
        <f>data[[#This Row],[portfolio_mv]]+data[[#This Row],[cash_acc_bs2]]</f>
        <v>1.0768204049327892</v>
      </c>
    </row>
    <row r="72" spans="1:32">
      <c r="A72" s="64">
        <v>45148</v>
      </c>
      <c r="B72" s="65">
        <v>6.35</v>
      </c>
      <c r="C72" s="65">
        <v>24.181999999999999</v>
      </c>
      <c r="D72" s="65">
        <v>322.93</v>
      </c>
      <c r="E72" s="63" t="s">
        <v>125</v>
      </c>
      <c r="F72" s="63" t="s">
        <v>126</v>
      </c>
      <c r="G72">
        <v>320</v>
      </c>
      <c r="H72" s="64">
        <v>45156</v>
      </c>
      <c r="I72" s="66">
        <v>0.02</v>
      </c>
      <c r="J72" s="65">
        <v>2.2222222E-2</v>
      </c>
      <c r="K72" s="65" cm="1">
        <f t="array" ref="K72">CallOption(data[[#This Row],[asset_price]],data[[#This Row],[sigma_impl]]/100,0,data[[#This Row],[r]],data[[#This Row],[K]],data[[#This Row],[t]])</f>
        <v>6.319409651924957</v>
      </c>
      <c r="L72" s="65">
        <f>data[[#This Row],[call]]-K71</f>
        <v>-7.2478078675004554E-2</v>
      </c>
      <c r="M72" s="65">
        <f>data[[#This Row],[sigma_impl]]-C71</f>
        <v>-1.0450000000000017</v>
      </c>
      <c r="N72" s="65">
        <f>SQRT(data[[#This Row],[t]])</f>
        <v>0.14907119775462999</v>
      </c>
      <c r="O72" s="65">
        <f>data[[#This Row],[asset_price]]-D71</f>
        <v>0.69999999999998863</v>
      </c>
      <c r="P72" s="65" cm="1">
        <f t="array" ref="P72">CallDelta(data[[#This Row],[asset_price]],data[[#This Row],[sigma_impl]]/100,0,data[[#This Row],[r]],data[[#This Row],[K]],data[[#This Row],[t]])</f>
        <v>0.61148676241418309</v>
      </c>
      <c r="Q72" s="65" cm="1">
        <f t="array" ref="Q72">CallVega(data[[#This Row],[asset_price]],data[[#This Row],[sigma_impl]]/100,0,data[[#This Row],[r]],data[[#This Row],[K]],data[[#This Row],[t]])</f>
        <v>18.450025037545295</v>
      </c>
      <c r="R72" s="65">
        <f>(data[[#This Row],[D_call]]-data[[#This Row],[delta_bs]]*data[[#This Row],[D_S]])*data[[#This Row],[sqrt_t]]*data[[#This Row],[asset_price]]</f>
        <v>-24.094756345402445</v>
      </c>
      <c r="S72" s="65">
        <f>data[[#This Row],[vega_bs]]*data[[#This Row],[D_S]]</f>
        <v>12.915017526281497</v>
      </c>
      <c r="T72" s="65">
        <f>data[[#This Row],[y_num]]/data[[#This Row],[y_den]]</f>
        <v>-1.8656386873940098</v>
      </c>
      <c r="U72" s="65">
        <f t="shared" si="5"/>
        <v>-4.3904110000000003</v>
      </c>
      <c r="V72" s="65">
        <f t="shared" si="3"/>
        <v>13.107970999999999</v>
      </c>
      <c r="W72" s="65">
        <f t="shared" si="4"/>
        <v>-9.5703019999999999</v>
      </c>
      <c r="X72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0.6292892922455473</v>
      </c>
      <c r="Y72" s="65">
        <f>data[[#This Row],[call]]-data[[#This Row],[delta_bs]]*data[[#This Row],[asset_price]]</f>
        <v>-191.14801053448718</v>
      </c>
      <c r="Z72" s="65">
        <f>(data[[#This Row],[delta_bs]]-P71)*data[[#This Row],[asset_price]]</f>
        <v>9.5762657443504153</v>
      </c>
      <c r="AA72" s="65">
        <f>data[[#This Row],[cash_delta_bs]]+AA71*EXP(I71*(data[[#This Row],[ref_date]]-A71)/360)</f>
        <v>189.60001377652128</v>
      </c>
      <c r="AB72" s="65">
        <f>data[[#This Row],[portfolio_bs]]+data[[#This Row],[cash_acc_bs]]</f>
        <v>-1.5479967579659046</v>
      </c>
      <c r="AC72" s="65">
        <f>data[[#This Row],[call]]-data[[#This Row],[delta_mv]]*data[[#This Row],[asset_price]]</f>
        <v>-196.89698149292963</v>
      </c>
      <c r="AD72" s="65">
        <f>(data[[#This Row],[delta_mv]]-X71)*data[[#This Row],[asset_price]]</f>
        <v>15.778336002311688</v>
      </c>
      <c r="AE72" s="65">
        <f>data[[#This Row],[cash_delta_mv]]+AE71*EXP(I71*(data[[#This Row],[ref_date]]-A71)/360)</f>
        <v>197.50511891497706</v>
      </c>
      <c r="AF72" s="65">
        <f>data[[#This Row],[portfolio_mv]]+data[[#This Row],[cash_acc_bs2]]</f>
        <v>0.60813742204743448</v>
      </c>
    </row>
    <row r="73" spans="1:32">
      <c r="A73" s="64">
        <v>45149</v>
      </c>
      <c r="B73" s="65">
        <v>4.28</v>
      </c>
      <c r="C73" s="65">
        <v>22.324999999999999</v>
      </c>
      <c r="D73" s="65">
        <v>321.01</v>
      </c>
      <c r="E73" s="63" t="s">
        <v>125</v>
      </c>
      <c r="F73" s="63" t="s">
        <v>126</v>
      </c>
      <c r="G73">
        <v>320</v>
      </c>
      <c r="H73" s="64">
        <v>45156</v>
      </c>
      <c r="I73" s="66">
        <v>0.02</v>
      </c>
      <c r="J73" s="65">
        <v>1.9444444000000002E-2</v>
      </c>
      <c r="K73" s="65" cm="1">
        <f t="array" ref="K73">CallOption(data[[#This Row],[asset_price]],data[[#This Row],[sigma_impl]]/100,0,data[[#This Row],[r]],data[[#This Row],[K]],data[[#This Row],[t]])</f>
        <v>4.5724394911604804</v>
      </c>
      <c r="L73" s="65">
        <f>data[[#This Row],[call]]-K72</f>
        <v>-1.7469701607644765</v>
      </c>
      <c r="M73" s="65">
        <f>data[[#This Row],[sigma_impl]]-C72</f>
        <v>-1.8569999999999993</v>
      </c>
      <c r="N73" s="65">
        <f>SQRT(data[[#This Row],[t]])</f>
        <v>0.1394433361620411</v>
      </c>
      <c r="O73" s="65">
        <f>data[[#This Row],[asset_price]]-D72</f>
        <v>-1.9200000000000159</v>
      </c>
      <c r="P73" s="65" cm="1">
        <f t="array" ref="P73">CallDelta(data[[#This Row],[asset_price]],data[[#This Row],[sigma_impl]]/100,0,data[[#This Row],[r]],data[[#This Row],[K]],data[[#This Row],[t]])</f>
        <v>0.55143388275039551</v>
      </c>
      <c r="Q73" s="65" cm="1">
        <f t="array" ref="Q73">CallVega(data[[#This Row],[asset_price]],data[[#This Row],[sigma_impl]]/100,0,data[[#This Row],[r]],data[[#This Row],[K]],data[[#This Row],[t]])</f>
        <v>17.709115708835238</v>
      </c>
      <c r="R73" s="65">
        <f>(data[[#This Row],[D_call]]-data[[#This Row],[delta_bs]]*data[[#This Row],[D_S]])*data[[#This Row],[sqrt_t]]*data[[#This Row],[asset_price]]</f>
        <v>-30.806459521567565</v>
      </c>
      <c r="S73" s="65">
        <f>data[[#This Row],[vega_bs]]*data[[#This Row],[D_S]]</f>
        <v>-34.001502160963938</v>
      </c>
      <c r="T73" s="65">
        <f>data[[#This Row],[y_num]]/data[[#This Row],[y_den]]</f>
        <v>0.9060323092706033</v>
      </c>
      <c r="U73" s="65">
        <f t="shared" si="5"/>
        <v>-4.3904110000000003</v>
      </c>
      <c r="V73" s="65">
        <f t="shared" si="3"/>
        <v>13.107970999999999</v>
      </c>
      <c r="W73" s="65">
        <f t="shared" si="4"/>
        <v>-9.5703019999999999</v>
      </c>
      <c r="X73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0.52280561952479787</v>
      </c>
      <c r="Y73" s="65">
        <f>data[[#This Row],[call]]-data[[#This Row],[delta_bs]]*data[[#This Row],[asset_price]]</f>
        <v>-172.44335121054397</v>
      </c>
      <c r="Z73" s="65">
        <f>(data[[#This Row],[delta_bs]]-P72)*data[[#This Row],[asset_price]]</f>
        <v>-19.277574900872452</v>
      </c>
      <c r="AA73" s="65">
        <f>data[[#This Row],[cash_delta_bs]]+AA72*EXP(I72*(data[[#This Row],[ref_date]]-A72)/360)</f>
        <v>170.33297250234554</v>
      </c>
      <c r="AB73" s="65">
        <f>data[[#This Row],[portfolio_bs]]+data[[#This Row],[cash_acc_bs]]</f>
        <v>-2.1103787081984251</v>
      </c>
      <c r="AC73" s="65">
        <f>data[[#This Row],[call]]-data[[#This Row],[delta_mv]]*data[[#This Row],[asset_price]]</f>
        <v>-163.25339243249488</v>
      </c>
      <c r="AD73" s="65">
        <f>(data[[#This Row],[delta_mv]]-X72)*data[[#This Row],[asset_price]]</f>
        <v>-34.182323780087778</v>
      </c>
      <c r="AE73" s="65">
        <f>data[[#This Row],[cash_delta_mv]]+AE72*EXP(I72*(data[[#This Row],[ref_date]]-A72)/360)</f>
        <v>163.33376794629314</v>
      </c>
      <c r="AF73" s="65">
        <f>data[[#This Row],[portfolio_mv]]+data[[#This Row],[cash_acc_bs2]]</f>
        <v>8.0375513798259135E-2</v>
      </c>
    </row>
    <row r="74" spans="1:32">
      <c r="A74" s="64">
        <v>45152</v>
      </c>
      <c r="B74" s="65">
        <v>5.5</v>
      </c>
      <c r="C74" s="65">
        <v>20.097000000000001</v>
      </c>
      <c r="D74" s="65">
        <v>324.04000000000002</v>
      </c>
      <c r="E74" s="63" t="s">
        <v>125</v>
      </c>
      <c r="F74" s="63" t="s">
        <v>126</v>
      </c>
      <c r="G74">
        <v>320</v>
      </c>
      <c r="H74" s="64">
        <v>45156</v>
      </c>
      <c r="I74" s="66">
        <v>0.02</v>
      </c>
      <c r="J74" s="65">
        <v>1.1111111E-2</v>
      </c>
      <c r="K74" s="65" cm="1">
        <f t="array" ref="K74">CallOption(data[[#This Row],[asset_price]],data[[#This Row],[sigma_impl]]/100,0,data[[#This Row],[r]],data[[#This Row],[K]],data[[#This Row],[t]])</f>
        <v>5.2564664732473432</v>
      </c>
      <c r="L74" s="65">
        <f>data[[#This Row],[call]]-K73</f>
        <v>0.68402698208686274</v>
      </c>
      <c r="M74" s="65">
        <f>data[[#This Row],[sigma_impl]]-C73</f>
        <v>-2.227999999999998</v>
      </c>
      <c r="N74" s="65">
        <f>SQRT(data[[#This Row],[t]])</f>
        <v>0.10540925481189969</v>
      </c>
      <c r="O74" s="65">
        <f>data[[#This Row],[asset_price]]-D73</f>
        <v>3.0300000000000296</v>
      </c>
      <c r="P74" s="65" cm="1">
        <f t="array" ref="P74">CallDelta(data[[#This Row],[asset_price]],data[[#This Row],[sigma_impl]]/100,0,data[[#This Row],[r]],data[[#This Row],[K]],data[[#This Row],[t]])</f>
        <v>0.73016678712491345</v>
      </c>
      <c r="Q74" s="65" cm="1">
        <f t="array" ref="Q74">CallVega(data[[#This Row],[asset_price]],data[[#This Row],[sigma_impl]]/100,0,data[[#This Row],[r]],data[[#This Row],[K]],data[[#This Row],[t]])</f>
        <v>11.290306507221109</v>
      </c>
      <c r="R74" s="65">
        <f>(data[[#This Row],[D_call]]-data[[#This Row],[delta_bs]]*data[[#This Row],[D_S]])*data[[#This Row],[sqrt_t]]*data[[#This Row],[asset_price]]</f>
        <v>-52.204537566634841</v>
      </c>
      <c r="S74" s="65">
        <f>data[[#This Row],[vega_bs]]*data[[#This Row],[D_S]]</f>
        <v>34.209628716880296</v>
      </c>
      <c r="T74" s="65">
        <f>data[[#This Row],[y_num]]/data[[#This Row],[y_den]]</f>
        <v>-1.5260188293383958</v>
      </c>
      <c r="U74" s="65">
        <f t="shared" si="5"/>
        <v>-4.3904110000000003</v>
      </c>
      <c r="V74" s="65">
        <f t="shared" si="3"/>
        <v>13.107970999999999</v>
      </c>
      <c r="W74" s="65">
        <f t="shared" si="4"/>
        <v>-9.5703019999999999</v>
      </c>
      <c r="X74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0.75603160646390577</v>
      </c>
      <c r="Y74" s="65">
        <f>data[[#This Row],[call]]-data[[#This Row],[delta_bs]]*data[[#This Row],[asset_price]]</f>
        <v>-231.34677922670963</v>
      </c>
      <c r="Z74" s="65">
        <f>(data[[#This Row],[delta_bs]]-P73)*data[[#This Row],[asset_price]]</f>
        <v>57.916610333518797</v>
      </c>
      <c r="AA74" s="65">
        <f>data[[#This Row],[cash_delta_bs]]+AA73*EXP(I73*(data[[#This Row],[ref_date]]-A73)/360)</f>
        <v>228.27797403048189</v>
      </c>
      <c r="AB74" s="65">
        <f>data[[#This Row],[portfolio_bs]]+data[[#This Row],[cash_acc_bs]]</f>
        <v>-3.0688051962277427</v>
      </c>
      <c r="AC74" s="65">
        <f>data[[#This Row],[call]]-data[[#This Row],[delta_mv]]*data[[#This Row],[asset_price]]</f>
        <v>-239.7280152853167</v>
      </c>
      <c r="AD74" s="65">
        <f>(data[[#This Row],[delta_mv]]-X73)*data[[#This Row],[asset_price]]</f>
        <v>75.574548807748528</v>
      </c>
      <c r="AE74" s="65">
        <f>data[[#This Row],[cash_delta_mv]]+AE73*EXP(I73*(data[[#This Row],[ref_date]]-A73)/360)</f>
        <v>238.93554131734996</v>
      </c>
      <c r="AF74" s="65">
        <f>data[[#This Row],[portfolio_mv]]+data[[#This Row],[cash_acc_bs2]]</f>
        <v>-0.79247396796674252</v>
      </c>
    </row>
    <row r="75" spans="1:32">
      <c r="A75" s="64">
        <v>45153</v>
      </c>
      <c r="B75" s="65">
        <v>3.71</v>
      </c>
      <c r="C75" s="65">
        <v>21.03</v>
      </c>
      <c r="D75" s="65">
        <v>321.66000000000003</v>
      </c>
      <c r="E75" s="63" t="s">
        <v>125</v>
      </c>
      <c r="F75" s="63" t="s">
        <v>126</v>
      </c>
      <c r="G75">
        <v>320</v>
      </c>
      <c r="H75" s="64">
        <v>45156</v>
      </c>
      <c r="I75" s="66">
        <v>0.02</v>
      </c>
      <c r="J75" s="65">
        <v>8.3333330000000001E-3</v>
      </c>
      <c r="K75" s="65" cm="1">
        <f t="array" ref="K75">CallOption(data[[#This Row],[asset_price]],data[[#This Row],[sigma_impl]]/100,0,data[[#This Row],[r]],data[[#This Row],[K]],data[[#This Row],[t]])</f>
        <v>3.4080463472297708</v>
      </c>
      <c r="L75" s="65">
        <f>data[[#This Row],[call]]-K74</f>
        <v>-1.8484201260175723</v>
      </c>
      <c r="M75" s="65">
        <f>data[[#This Row],[sigma_impl]]-C74</f>
        <v>0.93299999999999983</v>
      </c>
      <c r="N75" s="65">
        <f>SQRT(data[[#This Row],[t]])</f>
        <v>9.1287091091785816E-2</v>
      </c>
      <c r="O75" s="65">
        <f>data[[#This Row],[asset_price]]-D74</f>
        <v>-2.3799999999999955</v>
      </c>
      <c r="P75" s="65" cm="1">
        <f t="array" ref="P75">CallDelta(data[[#This Row],[asset_price]],data[[#This Row],[sigma_impl]]/100,0,data[[#This Row],[r]],data[[#This Row],[K]],data[[#This Row],[t]])</f>
        <v>0.61324886622856201</v>
      </c>
      <c r="Q75" s="65" cm="1">
        <f t="array" ref="Q75">CallVega(data[[#This Row],[asset_price]],data[[#This Row],[sigma_impl]]/100,0,data[[#This Row],[r]],data[[#This Row],[K]],data[[#This Row],[t]])</f>
        <v>11.23908139905414</v>
      </c>
      <c r="R75" s="65">
        <f>(data[[#This Row],[D_call]]-data[[#This Row],[delta_bs]]*data[[#This Row],[D_S]])*data[[#This Row],[sqrt_t]]*data[[#This Row],[asset_price]]</f>
        <v>-11.419070967464364</v>
      </c>
      <c r="S75" s="65">
        <f>data[[#This Row],[vega_bs]]*data[[#This Row],[D_S]]</f>
        <v>-26.7490137297488</v>
      </c>
      <c r="T75" s="65">
        <f>data[[#This Row],[y_num]]/data[[#This Row],[y_den]]</f>
        <v>0.42689689731493519</v>
      </c>
      <c r="U75" s="65">
        <f t="shared" si="5"/>
        <v>-4.3904110000000003</v>
      </c>
      <c r="V75" s="65">
        <f t="shared" si="3"/>
        <v>13.107970999999999</v>
      </c>
      <c r="W75" s="65">
        <f t="shared" si="4"/>
        <v>-9.5703019999999999</v>
      </c>
      <c r="X75" s="65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0.63196342339281175</v>
      </c>
      <c r="Y75" s="65">
        <f>data[[#This Row],[call]]-data[[#This Row],[delta_bs]]*data[[#This Row],[asset_price]]</f>
        <v>-193.84958396384951</v>
      </c>
      <c r="Z75" s="65">
        <f>(data[[#This Row],[delta_bs]]-P74)*data[[#This Row],[asset_price]]</f>
        <v>-37.607818435520407</v>
      </c>
      <c r="AA75" s="65">
        <f>data[[#This Row],[cash_delta_bs]]+AA74*EXP(I74*(data[[#This Row],[ref_date]]-A74)/360)</f>
        <v>190.68283805691715</v>
      </c>
      <c r="AB75" s="65">
        <f>data[[#This Row],[portfolio_bs]]+data[[#This Row],[cash_acc_bs]]</f>
        <v>-3.1667459069323627</v>
      </c>
      <c r="AC75" s="65">
        <f>data[[#This Row],[call]]-data[[#This Row],[delta_mv]]*data[[#This Row],[asset_price]]</f>
        <v>-199.86930842130207</v>
      </c>
      <c r="AD75" s="65">
        <f>(data[[#This Row],[delta_mv]]-X74)*data[[#This Row],[asset_price]]</f>
        <v>-39.907771766648104</v>
      </c>
      <c r="AE75" s="65">
        <f>data[[#This Row],[cash_delta_mv]]+AE74*EXP(I74*(data[[#This Row],[ref_date]]-A74)/360)</f>
        <v>199.04104411617621</v>
      </c>
      <c r="AF75" s="65">
        <f>data[[#This Row],[portfolio_mv]]+data[[#This Row],[cash_acc_bs2]]</f>
        <v>-0.82826430512585603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E516-5F70-4239-9CE5-11BC845F098C}">
  <sheetPr codeName="Sheet6"/>
  <dimension ref="A1:A201"/>
  <sheetViews>
    <sheetView workbookViewId="0">
      <selection activeCell="B5" sqref="B5"/>
    </sheetView>
  </sheetViews>
  <sheetFormatPr defaultRowHeight="12.75"/>
  <cols>
    <col min="1" max="1" width="12.5703125" bestFit="1" customWidth="1"/>
  </cols>
  <sheetData>
    <row r="1" spans="1:1">
      <c r="A1" t="s">
        <v>101</v>
      </c>
    </row>
    <row r="2" spans="1:1">
      <c r="A2">
        <v>2.385286899455731</v>
      </c>
    </row>
    <row r="3" spans="1:1">
      <c r="A3">
        <v>1.062051450171863</v>
      </c>
    </row>
    <row r="4" spans="1:1">
      <c r="A4">
        <v>-0.79471059140336742</v>
      </c>
    </row>
    <row r="5" spans="1:1">
      <c r="A5">
        <v>0.15310100897706796</v>
      </c>
    </row>
    <row r="6" spans="1:1">
      <c r="A6">
        <v>5.8243091961869616E-2</v>
      </c>
    </row>
    <row r="7" spans="1:1">
      <c r="A7">
        <v>0.56342231453268254</v>
      </c>
    </row>
    <row r="8" spans="1:1">
      <c r="A8">
        <v>-4.7426734925844677E-2</v>
      </c>
    </row>
    <row r="9" spans="1:1">
      <c r="A9">
        <v>-0.19972735583175114</v>
      </c>
    </row>
    <row r="10" spans="1:1">
      <c r="A10">
        <v>-0.40571819344030552</v>
      </c>
    </row>
    <row r="11" spans="1:1">
      <c r="A11">
        <v>-0.63868032308113831</v>
      </c>
    </row>
    <row r="12" spans="1:1">
      <c r="A12">
        <v>0.52196806479803215</v>
      </c>
    </row>
    <row r="13" spans="1:1">
      <c r="A13">
        <v>-0.10002072798442969</v>
      </c>
    </row>
    <row r="14" spans="1:1">
      <c r="A14">
        <v>1.4803146054114646E-2</v>
      </c>
    </row>
    <row r="15" spans="1:1">
      <c r="A15">
        <v>1.7335037383070846</v>
      </c>
    </row>
    <row r="16" spans="1:1">
      <c r="A16">
        <v>-7.4211219488932764E-2</v>
      </c>
    </row>
    <row r="17" spans="1:1">
      <c r="A17">
        <v>0.27217248098251734</v>
      </c>
    </row>
    <row r="18" spans="1:1">
      <c r="A18">
        <v>-0.23741644247991744</v>
      </c>
    </row>
    <row r="19" spans="1:1">
      <c r="A19">
        <v>1.1043245724379831</v>
      </c>
    </row>
    <row r="20" spans="1:1">
      <c r="A20">
        <v>-0.1789311527453972</v>
      </c>
    </row>
    <row r="21" spans="1:1">
      <c r="A21">
        <v>1.6795900869994982</v>
      </c>
    </row>
    <row r="22" spans="1:1">
      <c r="A22">
        <v>0.78401513357014463</v>
      </c>
    </row>
    <row r="23" spans="1:1">
      <c r="A23">
        <v>-1.162418823485557</v>
      </c>
    </row>
    <row r="24" spans="1:1">
      <c r="A24">
        <v>-1.7781361015902384</v>
      </c>
    </row>
    <row r="25" spans="1:1">
      <c r="A25">
        <v>-0.86991007264641151</v>
      </c>
    </row>
    <row r="26" spans="1:1">
      <c r="A26">
        <v>5.643345914513638E-2</v>
      </c>
    </row>
    <row r="27" spans="1:1">
      <c r="A27">
        <v>-0.1395002332257767</v>
      </c>
    </row>
    <row r="28" spans="1:1">
      <c r="A28">
        <v>-0.69537338175315822</v>
      </c>
    </row>
    <row r="29" spans="1:1">
      <c r="A29">
        <v>-1.1031816469683948</v>
      </c>
    </row>
    <row r="30" spans="1:1">
      <c r="A30">
        <v>1.1178794919940003</v>
      </c>
    </row>
    <row r="31" spans="1:1">
      <c r="A31">
        <v>0.17534840795721429</v>
      </c>
    </row>
    <row r="32" spans="1:1">
      <c r="A32">
        <v>-1.621079333888086</v>
      </c>
    </row>
    <row r="33" spans="1:1">
      <c r="A33">
        <v>0.19302537658970004</v>
      </c>
    </row>
    <row r="34" spans="1:1">
      <c r="A34">
        <v>0.3026453356124027</v>
      </c>
    </row>
    <row r="35" spans="1:1">
      <c r="A35">
        <v>0.52752564831649873</v>
      </c>
    </row>
    <row r="36" spans="1:1">
      <c r="A36">
        <v>1.7663785258319702</v>
      </c>
    </row>
    <row r="37" spans="1:1">
      <c r="A37">
        <v>1.039780758900023</v>
      </c>
    </row>
    <row r="38" spans="1:1">
      <c r="A38">
        <v>1.6730432965615114</v>
      </c>
    </row>
    <row r="39" spans="1:1">
      <c r="A39">
        <v>1.9173170969705537</v>
      </c>
    </row>
    <row r="40" spans="1:1">
      <c r="A40">
        <v>-1.2472928834920938</v>
      </c>
    </row>
    <row r="41" spans="1:1">
      <c r="A41">
        <v>0.31106291153014604</v>
      </c>
    </row>
    <row r="42" spans="1:1">
      <c r="A42">
        <v>-0.43359132964687547</v>
      </c>
    </row>
    <row r="43" spans="1:1">
      <c r="A43">
        <v>0.31167094038765608</v>
      </c>
    </row>
    <row r="44" spans="1:1">
      <c r="A44">
        <v>0.75576001125307324</v>
      </c>
    </row>
    <row r="45" spans="1:1">
      <c r="A45">
        <v>0.30715231276760863</v>
      </c>
    </row>
    <row r="46" spans="1:1">
      <c r="A46">
        <v>-0.98567990847894094</v>
      </c>
    </row>
    <row r="47" spans="1:1">
      <c r="A47">
        <v>-1.5273316631885838</v>
      </c>
    </row>
    <row r="48" spans="1:1">
      <c r="A48">
        <v>-2.4732498459321102</v>
      </c>
    </row>
    <row r="49" spans="1:1">
      <c r="A49">
        <v>-0.44945275870096368</v>
      </c>
    </row>
    <row r="50" spans="1:1">
      <c r="A50">
        <v>0.47690429383991428</v>
      </c>
    </row>
    <row r="51" spans="1:1">
      <c r="A51">
        <v>0.79079924757780062</v>
      </c>
    </row>
    <row r="52" spans="1:1">
      <c r="A52">
        <v>0.27526302497524469</v>
      </c>
    </row>
    <row r="53" spans="1:1">
      <c r="A53">
        <v>-0.51826491527490737</v>
      </c>
    </row>
    <row r="54" spans="1:1">
      <c r="A54">
        <v>-0.20915723084961871</v>
      </c>
    </row>
    <row r="55" spans="1:1">
      <c r="A55">
        <v>-0.54189470701881592</v>
      </c>
    </row>
    <row r="56" spans="1:1">
      <c r="A56">
        <v>0.57305546050586231</v>
      </c>
    </row>
    <row r="57" spans="1:1">
      <c r="A57">
        <v>-0.16106020116284414</v>
      </c>
    </row>
    <row r="58" spans="1:1">
      <c r="A58">
        <v>0.26501880269813721</v>
      </c>
    </row>
    <row r="59" spans="1:1">
      <c r="A59">
        <v>-1.6062770223764573</v>
      </c>
    </row>
    <row r="60" spans="1:1">
      <c r="A60">
        <v>-2.4128176518107365</v>
      </c>
    </row>
    <row r="61" spans="1:1">
      <c r="A61">
        <v>-0.4869983603518388</v>
      </c>
    </row>
    <row r="62" spans="1:1">
      <c r="A62">
        <v>1.2069802838388362</v>
      </c>
    </row>
    <row r="63" spans="1:1">
      <c r="A63">
        <v>-9.8574920914241103E-3</v>
      </c>
    </row>
    <row r="64" spans="1:1">
      <c r="A64">
        <v>-0.8581142815741678</v>
      </c>
    </row>
    <row r="65" spans="1:1">
      <c r="A65">
        <v>2.0792141334714946</v>
      </c>
    </row>
    <row r="66" spans="1:1">
      <c r="A66">
        <v>0.11892183032094039</v>
      </c>
    </row>
    <row r="67" spans="1:1">
      <c r="A67">
        <v>-1.4645070339999853</v>
      </c>
    </row>
    <row r="68" spans="1:1">
      <c r="A68">
        <v>1.9612229935217418</v>
      </c>
    </row>
    <row r="69" spans="1:1">
      <c r="A69">
        <v>1.3025632527020636</v>
      </c>
    </row>
    <row r="70" spans="1:1">
      <c r="A70">
        <v>1.3887346875842141</v>
      </c>
    </row>
    <row r="71" spans="1:1">
      <c r="A71">
        <v>0.88441405377124305</v>
      </c>
    </row>
    <row r="72" spans="1:1">
      <c r="A72">
        <v>0.43033068066751157</v>
      </c>
    </row>
    <row r="73" spans="1:1">
      <c r="A73">
        <v>-1.4819281546431442</v>
      </c>
    </row>
    <row r="74" spans="1:1">
      <c r="A74">
        <v>-0.87686802931255092</v>
      </c>
    </row>
    <row r="75" spans="1:1">
      <c r="A75">
        <v>0.16595617098332097</v>
      </c>
    </row>
    <row r="76" spans="1:1">
      <c r="A76">
        <v>-0.15682801944775557</v>
      </c>
    </row>
    <row r="77" spans="1:1">
      <c r="A77">
        <v>0.41797180778604459</v>
      </c>
    </row>
    <row r="78" spans="1:1">
      <c r="A78">
        <v>0.9579493703859896</v>
      </c>
    </row>
    <row r="79" spans="1:1">
      <c r="A79">
        <v>0.10483406192942954</v>
      </c>
    </row>
    <row r="80" spans="1:1">
      <c r="A80">
        <v>-0.15452393660282854</v>
      </c>
    </row>
    <row r="81" spans="1:1">
      <c r="A81">
        <v>-0.49594103734535089</v>
      </c>
    </row>
    <row r="82" spans="1:1">
      <c r="A82">
        <v>1.2570227969855365</v>
      </c>
    </row>
    <row r="83" spans="1:1">
      <c r="A83">
        <v>0.83095972132365592</v>
      </c>
    </row>
    <row r="84" spans="1:1">
      <c r="A84">
        <v>-0.9775829882260364</v>
      </c>
    </row>
    <row r="85" spans="1:1">
      <c r="A85">
        <v>1.443298351303643</v>
      </c>
    </row>
    <row r="86" spans="1:1">
      <c r="A86">
        <v>1.4081034164584123</v>
      </c>
    </row>
    <row r="87" spans="1:1">
      <c r="A87">
        <v>1.7500622991383823</v>
      </c>
    </row>
    <row r="88" spans="1:1">
      <c r="A88">
        <v>-0.2484732054139541</v>
      </c>
    </row>
    <row r="89" spans="1:1">
      <c r="A89">
        <v>1.4450207496539296</v>
      </c>
    </row>
    <row r="90" spans="1:1">
      <c r="A90">
        <v>-0.69871882511244088</v>
      </c>
    </row>
    <row r="91" spans="1:1">
      <c r="A91">
        <v>-0.79156142878598457</v>
      </c>
    </row>
    <row r="92" spans="1:1">
      <c r="A92">
        <v>-0.69143617002189417</v>
      </c>
    </row>
    <row r="93" spans="1:1">
      <c r="A93">
        <v>-2.3670247724871074</v>
      </c>
    </row>
    <row r="94" spans="1:1">
      <c r="A94">
        <v>-0.15238222063185636</v>
      </c>
    </row>
    <row r="95" spans="1:1">
      <c r="A95">
        <v>-0.23810947484769668</v>
      </c>
    </row>
    <row r="96" spans="1:1">
      <c r="A96">
        <v>-0.99581801854556729</v>
      </c>
    </row>
    <row r="97" spans="1:1">
      <c r="A97">
        <v>-1.1512613818496755</v>
      </c>
    </row>
    <row r="98" spans="1:1">
      <c r="A98">
        <v>1.1337021637041076</v>
      </c>
    </row>
    <row r="99" spans="1:1">
      <c r="A99">
        <v>-1.2908757599818865</v>
      </c>
    </row>
    <row r="100" spans="1:1">
      <c r="A100">
        <v>1.259840186342124</v>
      </c>
    </row>
    <row r="101" spans="1:1">
      <c r="A101">
        <v>0.99934224149183803</v>
      </c>
    </row>
    <row r="102" spans="1:1">
      <c r="A102">
        <v>-0.13611766262862651</v>
      </c>
    </row>
    <row r="103" spans="1:1">
      <c r="A103">
        <v>0.58102831417840206</v>
      </c>
    </row>
    <row r="104" spans="1:1">
      <c r="A104">
        <v>-0.92539113770513526</v>
      </c>
    </row>
    <row r="105" spans="1:1">
      <c r="A105">
        <v>-0.64865079163484696</v>
      </c>
    </row>
    <row r="106" spans="1:1">
      <c r="A106">
        <v>0.62766124357003195</v>
      </c>
    </row>
    <row r="107" spans="1:1">
      <c r="A107">
        <v>1.002675109841265</v>
      </c>
    </row>
    <row r="108" spans="1:1">
      <c r="A108">
        <v>1.1390596194622031</v>
      </c>
    </row>
    <row r="109" spans="1:1">
      <c r="A109">
        <v>-0.23739012456604752</v>
      </c>
    </row>
    <row r="110" spans="1:1">
      <c r="A110">
        <v>-9.2735719085248206E-2</v>
      </c>
    </row>
    <row r="111" spans="1:1">
      <c r="A111">
        <v>-0.86972802032017527</v>
      </c>
    </row>
    <row r="112" spans="1:1">
      <c r="A112">
        <v>1.1779025625391839</v>
      </c>
    </row>
    <row r="113" spans="1:1">
      <c r="A113">
        <v>-1.0616931847948088</v>
      </c>
    </row>
    <row r="114" spans="1:1">
      <c r="A114">
        <v>-7.3332853010704802E-2</v>
      </c>
    </row>
    <row r="115" spans="1:1">
      <c r="A115">
        <v>-0.60896327228395897</v>
      </c>
    </row>
    <row r="116" spans="1:1">
      <c r="A116">
        <v>-0.84116920748466906</v>
      </c>
    </row>
    <row r="117" spans="1:1">
      <c r="A117">
        <v>1.5465550941026887</v>
      </c>
    </row>
    <row r="118" spans="1:1">
      <c r="A118">
        <v>-0.31513195824244944</v>
      </c>
    </row>
    <row r="119" spans="1:1">
      <c r="A119">
        <v>-0.33203579784898396</v>
      </c>
    </row>
    <row r="120" spans="1:1">
      <c r="A120">
        <v>-7.2602270560227514E-2</v>
      </c>
    </row>
    <row r="121" spans="1:1">
      <c r="A121">
        <v>1.4475711699895255</v>
      </c>
    </row>
    <row r="122" spans="1:1">
      <c r="A122">
        <v>-0.88941803480737835</v>
      </c>
    </row>
    <row r="123" spans="1:1">
      <c r="A123">
        <v>0.97231188113981204</v>
      </c>
    </row>
    <row r="124" spans="1:1">
      <c r="A124">
        <v>-0.46550163616882434</v>
      </c>
    </row>
    <row r="125" spans="1:1">
      <c r="A125">
        <v>-1.5369780698034841</v>
      </c>
    </row>
    <row r="126" spans="1:1">
      <c r="A126">
        <v>1.0826775759957901</v>
      </c>
    </row>
    <row r="127" spans="1:1">
      <c r="A127">
        <v>-0.37955270034321975</v>
      </c>
    </row>
    <row r="128" spans="1:1">
      <c r="A128">
        <v>-1.1399432376412768</v>
      </c>
    </row>
    <row r="129" spans="1:1">
      <c r="A129">
        <v>0.84233189844981926</v>
      </c>
    </row>
    <row r="130" spans="1:1">
      <c r="A130">
        <v>1.8160761444145919E-2</v>
      </c>
    </row>
    <row r="131" spans="1:1">
      <c r="A131">
        <v>0.59152279451222411</v>
      </c>
    </row>
    <row r="132" spans="1:1">
      <c r="A132">
        <v>-6.3563503026744753E-2</v>
      </c>
    </row>
    <row r="133" spans="1:1">
      <c r="A133">
        <v>0.68021678743945868</v>
      </c>
    </row>
    <row r="134" spans="1:1">
      <c r="A134">
        <v>-1.3331126585751587</v>
      </c>
    </row>
    <row r="135" spans="1:1">
      <c r="A135">
        <v>1.7516101788047465</v>
      </c>
    </row>
    <row r="136" spans="1:1">
      <c r="A136">
        <v>3.710095612833806E-2</v>
      </c>
    </row>
    <row r="137" spans="1:1">
      <c r="A137">
        <v>0.99175509655902427</v>
      </c>
    </row>
    <row r="138" spans="1:1">
      <c r="A138">
        <v>-0.87555312615025005</v>
      </c>
    </row>
    <row r="139" spans="1:1">
      <c r="A139">
        <v>0.41259501875016463</v>
      </c>
    </row>
    <row r="140" spans="1:1">
      <c r="A140">
        <v>0.98272605746315211</v>
      </c>
    </row>
    <row r="141" spans="1:1">
      <c r="A141">
        <v>1.5148484610411117</v>
      </c>
    </row>
    <row r="142" spans="1:1">
      <c r="A142">
        <v>-0.78006488149557562</v>
      </c>
    </row>
    <row r="143" spans="1:1">
      <c r="A143">
        <v>1.5554109348591041</v>
      </c>
    </row>
    <row r="144" spans="1:1">
      <c r="A144">
        <v>1.5628213112854616</v>
      </c>
    </row>
    <row r="145" spans="1:1">
      <c r="A145">
        <v>1.7444316897988539</v>
      </c>
    </row>
    <row r="146" spans="1:1">
      <c r="A146">
        <v>0.10059474925001491</v>
      </c>
    </row>
    <row r="147" spans="1:1">
      <c r="A147">
        <v>0.6865506245949653</v>
      </c>
    </row>
    <row r="148" spans="1:1">
      <c r="A148">
        <v>-0.28569580705137432</v>
      </c>
    </row>
    <row r="149" spans="1:1">
      <c r="A149">
        <v>0.35768156064519407</v>
      </c>
    </row>
    <row r="150" spans="1:1">
      <c r="A150">
        <v>0.16378252178424038</v>
      </c>
    </row>
    <row r="151" spans="1:1">
      <c r="A151">
        <v>0.67023396815856717</v>
      </c>
    </row>
    <row r="152" spans="1:1">
      <c r="A152">
        <v>0.85033913046995568</v>
      </c>
    </row>
    <row r="153" spans="1:1">
      <c r="A153">
        <v>1.0695751814691854</v>
      </c>
    </row>
    <row r="154" spans="1:1">
      <c r="A154">
        <v>-0.24583207186484726</v>
      </c>
    </row>
    <row r="155" spans="1:1">
      <c r="A155">
        <v>-0.14579572786420453</v>
      </c>
    </row>
    <row r="156" spans="1:1">
      <c r="A156">
        <v>-0.94838383298151874</v>
      </c>
    </row>
    <row r="157" spans="1:1">
      <c r="A157">
        <v>-0.85664030495143484</v>
      </c>
    </row>
    <row r="158" spans="1:1">
      <c r="A158">
        <v>-1.2044778411570161</v>
      </c>
    </row>
    <row r="159" spans="1:1">
      <c r="A159">
        <v>-0.7285024240543615</v>
      </c>
    </row>
    <row r="160" spans="1:1">
      <c r="A160">
        <v>1.3491042888904965</v>
      </c>
    </row>
    <row r="161" spans="1:1">
      <c r="A161">
        <v>1.1183894365740026</v>
      </c>
    </row>
    <row r="162" spans="1:1">
      <c r="A162">
        <v>-1.6239233371433994</v>
      </c>
    </row>
    <row r="163" spans="1:1">
      <c r="A163">
        <v>-0.54530301422591565</v>
      </c>
    </row>
    <row r="164" spans="1:1">
      <c r="A164">
        <v>1.3404482703343649E-2</v>
      </c>
    </row>
    <row r="165" spans="1:1">
      <c r="A165">
        <v>-0.29821423691214677</v>
      </c>
    </row>
    <row r="166" spans="1:1">
      <c r="A166">
        <v>1.3330574012617806</v>
      </c>
    </row>
    <row r="167" spans="1:1">
      <c r="A167">
        <v>1.8276432336600037</v>
      </c>
    </row>
    <row r="168" spans="1:1">
      <c r="A168">
        <v>1.6763135559040945</v>
      </c>
    </row>
    <row r="169" spans="1:1">
      <c r="A169">
        <v>-0.36804355491062246</v>
      </c>
    </row>
    <row r="170" spans="1:1">
      <c r="A170">
        <v>2.8587638563733431</v>
      </c>
    </row>
    <row r="171" spans="1:1">
      <c r="A171">
        <v>0.32161453156529712</v>
      </c>
    </row>
    <row r="172" spans="1:1">
      <c r="A172">
        <v>-0.3777353658046938</v>
      </c>
    </row>
    <row r="173" spans="1:1">
      <c r="A173">
        <v>0.2840107599053881</v>
      </c>
    </row>
    <row r="174" spans="1:1">
      <c r="A174">
        <v>-0.39323757155934752</v>
      </c>
    </row>
    <row r="175" spans="1:1">
      <c r="A175">
        <v>-0.31697139652505762</v>
      </c>
    </row>
    <row r="176" spans="1:1">
      <c r="A176">
        <v>-1.0467702902784537</v>
      </c>
    </row>
    <row r="177" spans="1:1">
      <c r="A177">
        <v>-0.21725506191706342</v>
      </c>
    </row>
    <row r="178" spans="1:1">
      <c r="A178">
        <v>0.352404315265682</v>
      </c>
    </row>
    <row r="179" spans="1:1">
      <c r="A179">
        <v>-0.7978133606333192</v>
      </c>
    </row>
    <row r="180" spans="1:1">
      <c r="A180">
        <v>1.1150942298633535</v>
      </c>
    </row>
    <row r="181" spans="1:1">
      <c r="A181">
        <v>-0.1721010044197539</v>
      </c>
    </row>
    <row r="182" spans="1:1">
      <c r="A182">
        <v>0.34460257007316358</v>
      </c>
    </row>
    <row r="183" spans="1:1">
      <c r="A183">
        <v>-1.4684715371656671</v>
      </c>
    </row>
    <row r="184" spans="1:1">
      <c r="A184">
        <v>0.36913216778137403</v>
      </c>
    </row>
    <row r="185" spans="1:1">
      <c r="A185">
        <v>-0.77276508279837153</v>
      </c>
    </row>
    <row r="186" spans="1:1">
      <c r="A186">
        <v>-1.3849924498845794</v>
      </c>
    </row>
    <row r="187" spans="1:1">
      <c r="A187">
        <v>-0.16919124831319757</v>
      </c>
    </row>
    <row r="188" spans="1:1">
      <c r="A188">
        <v>0.20162962718693309</v>
      </c>
    </row>
    <row r="189" spans="1:1">
      <c r="A189">
        <v>2.5964168829732508E-2</v>
      </c>
    </row>
    <row r="190" spans="1:1">
      <c r="A190">
        <v>0.45058646059849478</v>
      </c>
    </row>
    <row r="191" spans="1:1">
      <c r="A191">
        <v>0.17725753016854359</v>
      </c>
    </row>
    <row r="192" spans="1:1">
      <c r="A192">
        <v>-0.20801750864196633</v>
      </c>
    </row>
    <row r="193" spans="1:1">
      <c r="A193">
        <v>1.1776537978411414</v>
      </c>
    </row>
    <row r="194" spans="1:1">
      <c r="A194">
        <v>-1.3678948541377898</v>
      </c>
    </row>
    <row r="195" spans="1:1">
      <c r="A195">
        <v>0.89713032077735999</v>
      </c>
    </row>
    <row r="196" spans="1:1">
      <c r="A196">
        <v>1.1910017422725472</v>
      </c>
    </row>
    <row r="197" spans="1:1">
      <c r="A197">
        <v>-0.59085114516947657</v>
      </c>
    </row>
    <row r="198" spans="1:1">
      <c r="A198">
        <v>0.70649955687377564</v>
      </c>
    </row>
    <row r="199" spans="1:1">
      <c r="A199">
        <v>8.4814940615013337E-2</v>
      </c>
    </row>
    <row r="200" spans="1:1">
      <c r="A200">
        <v>-0.76874097108651762</v>
      </c>
    </row>
    <row r="201" spans="1:1">
      <c r="A201">
        <v>2.9008854012900785E-2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26FC-0774-4A2F-AB3D-2589D9F2FBBA}">
  <sheetPr codeName="Sheet5"/>
  <dimension ref="A1:U75"/>
  <sheetViews>
    <sheetView zoomScale="70" zoomScaleNormal="70" workbookViewId="0">
      <selection activeCell="N3" sqref="N3"/>
    </sheetView>
  </sheetViews>
  <sheetFormatPr defaultRowHeight="12.75"/>
  <cols>
    <col min="1" max="1" width="10.7109375" bestFit="1" customWidth="1"/>
    <col min="2" max="2" width="14.5703125" bestFit="1" customWidth="1"/>
    <col min="3" max="3" width="13.7109375" bestFit="1" customWidth="1"/>
    <col min="4" max="4" width="13.42578125" bestFit="1" customWidth="1"/>
    <col min="5" max="5" width="28.140625" bestFit="1" customWidth="1"/>
    <col min="6" max="6" width="15.140625" bestFit="1" customWidth="1"/>
    <col min="7" max="7" width="4.5703125" bestFit="1" customWidth="1"/>
    <col min="8" max="8" width="9.7109375" bestFit="1" customWidth="1"/>
    <col min="9" max="9" width="5" bestFit="1" customWidth="1"/>
    <col min="10" max="10" width="12" bestFit="1" customWidth="1"/>
    <col min="11" max="11" width="13.28515625" bestFit="1" customWidth="1"/>
    <col min="12" max="12" width="15.7109375" bestFit="1" customWidth="1"/>
    <col min="13" max="13" width="16.140625" bestFit="1" customWidth="1"/>
    <col min="14" max="14" width="12" bestFit="1" customWidth="1"/>
    <col min="15" max="15" width="7.5703125" bestFit="1" customWidth="1"/>
    <col min="16" max="17" width="12" bestFit="1" customWidth="1"/>
    <col min="18" max="19" width="12.5703125" bestFit="1" customWidth="1"/>
    <col min="20" max="20" width="12" bestFit="1" customWidth="1"/>
    <col min="21" max="21" width="12.5703125" bestFit="1" customWidth="1"/>
  </cols>
  <sheetData>
    <row r="1" spans="1:21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</row>
    <row r="2" spans="1:21">
      <c r="A2" s="64">
        <v>45047</v>
      </c>
      <c r="B2" s="65">
        <v>11.62</v>
      </c>
      <c r="C2" s="65">
        <v>23.619</v>
      </c>
      <c r="D2" s="65">
        <v>304.89359999999999</v>
      </c>
      <c r="E2" s="63" t="s">
        <v>125</v>
      </c>
      <c r="F2" s="63" t="s">
        <v>126</v>
      </c>
      <c r="G2">
        <v>320</v>
      </c>
      <c r="H2" s="64">
        <v>45156</v>
      </c>
      <c r="I2" s="66">
        <v>0.02</v>
      </c>
      <c r="J2" s="65">
        <v>0.302777778</v>
      </c>
      <c r="K2" s="65">
        <v>10.39720225577075</v>
      </c>
      <c r="L2" s="65"/>
      <c r="M2" s="65"/>
      <c r="N2" s="65">
        <v>0.5502524675092334</v>
      </c>
      <c r="O2" s="65"/>
      <c r="P2" s="65">
        <v>0.39723435928741174</v>
      </c>
      <c r="Q2" s="65">
        <v>64.696878652569993</v>
      </c>
      <c r="R2" s="65"/>
      <c r="S2" s="65">
        <v>-4.3904106692393539</v>
      </c>
      <c r="T2" s="65">
        <v>13.107970532559364</v>
      </c>
      <c r="U2" s="65">
        <v>-9.5703019428972418</v>
      </c>
    </row>
    <row r="3" spans="1:21">
      <c r="A3" s="64">
        <v>45048</v>
      </c>
      <c r="B3" s="65">
        <v>11.87</v>
      </c>
      <c r="C3" s="65">
        <v>24.451000000000001</v>
      </c>
      <c r="D3" s="65">
        <v>304.7439</v>
      </c>
      <c r="E3" s="63" t="s">
        <v>125</v>
      </c>
      <c r="F3" s="63" t="s">
        <v>126</v>
      </c>
      <c r="G3">
        <v>320</v>
      </c>
      <c r="H3" s="64">
        <v>45156</v>
      </c>
      <c r="I3" s="66">
        <v>0.02</v>
      </c>
      <c r="J3" s="65">
        <v>0.3</v>
      </c>
      <c r="K3" s="65">
        <v>10.797241823710792</v>
      </c>
      <c r="L3" s="65">
        <v>0.40003956794004125</v>
      </c>
      <c r="M3" s="65">
        <v>0.83200000000000074</v>
      </c>
      <c r="N3" s="65">
        <v>0.54772255750516607</v>
      </c>
      <c r="O3" s="65">
        <v>-0.14969999999999573</v>
      </c>
      <c r="P3" s="65">
        <v>0.40013759329266085</v>
      </c>
      <c r="Q3" s="65">
        <v>64.492220197674328</v>
      </c>
      <c r="R3" s="65">
        <v>-7.95184410842477</v>
      </c>
      <c r="S3" s="65">
        <v>-4.3904106692393539</v>
      </c>
      <c r="T3" s="65">
        <v>13.107970532559364</v>
      </c>
      <c r="U3" s="65">
        <v>-9.5703019428972418</v>
      </c>
    </row>
    <row r="4" spans="1:21">
      <c r="A4" s="64">
        <v>45049</v>
      </c>
      <c r="B4" s="65">
        <v>11.37</v>
      </c>
      <c r="C4" s="65">
        <v>24.593</v>
      </c>
      <c r="D4" s="65">
        <v>303.73610000000002</v>
      </c>
      <c r="E4" s="63" t="s">
        <v>125</v>
      </c>
      <c r="F4" s="63" t="s">
        <v>126</v>
      </c>
      <c r="G4">
        <v>320</v>
      </c>
      <c r="H4" s="64">
        <v>45156</v>
      </c>
      <c r="I4" s="66">
        <v>0.02</v>
      </c>
      <c r="J4" s="65">
        <v>0.29722222199999998</v>
      </c>
      <c r="K4" s="65">
        <v>10.410575551933036</v>
      </c>
      <c r="L4" s="65">
        <v>-0.38666627177775581</v>
      </c>
      <c r="M4" s="65">
        <v>0.14199999999999946</v>
      </c>
      <c r="N4" s="65">
        <v>0.54518090758939819</v>
      </c>
      <c r="O4" s="65">
        <v>-1.0077999999999747</v>
      </c>
      <c r="P4" s="65">
        <v>0.39063253381807628</v>
      </c>
      <c r="Q4" s="65">
        <v>63.563064831296607</v>
      </c>
      <c r="R4" s="65">
        <v>-1.812899926456632E-2</v>
      </c>
      <c r="S4" s="65">
        <v>-4.3904106692393539</v>
      </c>
      <c r="T4" s="65">
        <v>13.107970532559364</v>
      </c>
      <c r="U4" s="65">
        <v>-9.5703019428972418</v>
      </c>
    </row>
    <row r="5" spans="1:21">
      <c r="A5" s="64">
        <v>45050</v>
      </c>
      <c r="B5" s="65">
        <v>12.74</v>
      </c>
      <c r="C5" s="65">
        <v>25.51</v>
      </c>
      <c r="D5" s="65">
        <v>304.7439</v>
      </c>
      <c r="E5" s="63" t="s">
        <v>125</v>
      </c>
      <c r="F5" s="63" t="s">
        <v>126</v>
      </c>
      <c r="G5">
        <v>320</v>
      </c>
      <c r="H5" s="64">
        <v>45156</v>
      </c>
      <c r="I5" s="66">
        <v>0.02</v>
      </c>
      <c r="J5" s="65">
        <v>0.29444444400000003</v>
      </c>
      <c r="K5" s="65">
        <v>11.315560574786701</v>
      </c>
      <c r="L5" s="65">
        <v>0.90498502285366555</v>
      </c>
      <c r="M5" s="65">
        <v>0.91700000000000159</v>
      </c>
      <c r="N5" s="65">
        <v>0.54262735279379348</v>
      </c>
      <c r="O5" s="65">
        <v>1.0077999999999747</v>
      </c>
      <c r="P5" s="65">
        <v>0.40472302682432432</v>
      </c>
      <c r="Q5" s="65">
        <v>64.079616988681039</v>
      </c>
      <c r="R5" s="65">
        <v>1.2728895171750525</v>
      </c>
      <c r="S5" s="65">
        <v>-4.3904106692393539</v>
      </c>
      <c r="T5" s="65">
        <v>13.107970532559364</v>
      </c>
      <c r="U5" s="65">
        <v>-9.5703019428972418</v>
      </c>
    </row>
    <row r="6" spans="1:21">
      <c r="A6" s="64">
        <v>45051</v>
      </c>
      <c r="B6" s="65">
        <v>14.1</v>
      </c>
      <c r="C6" s="65">
        <v>24.573</v>
      </c>
      <c r="D6" s="65">
        <v>309.97250000000003</v>
      </c>
      <c r="E6" s="63" t="s">
        <v>125</v>
      </c>
      <c r="F6" s="63" t="s">
        <v>126</v>
      </c>
      <c r="G6">
        <v>320</v>
      </c>
      <c r="H6" s="64">
        <v>45156</v>
      </c>
      <c r="I6" s="66">
        <v>0.02</v>
      </c>
      <c r="J6" s="65">
        <v>0.29166666699999999</v>
      </c>
      <c r="K6" s="65">
        <v>12.849303385824442</v>
      </c>
      <c r="L6" s="65">
        <v>1.5337428110377402</v>
      </c>
      <c r="M6" s="65">
        <v>-0.93700000000000117</v>
      </c>
      <c r="N6" s="65">
        <v>0.54006172517592843</v>
      </c>
      <c r="O6" s="65">
        <v>5.2286000000000286</v>
      </c>
      <c r="P6" s="65">
        <v>0.44844426452723485</v>
      </c>
      <c r="Q6" s="65">
        <v>66.226193180414</v>
      </c>
      <c r="R6" s="65">
        <v>-0.39207431423343908</v>
      </c>
      <c r="S6" s="65">
        <v>-4.3904106692393539</v>
      </c>
      <c r="T6" s="65">
        <v>13.107970532559364</v>
      </c>
      <c r="U6" s="65">
        <v>-9.5703019428972418</v>
      </c>
    </row>
    <row r="7" spans="1:21">
      <c r="A7" s="64">
        <v>45054</v>
      </c>
      <c r="B7" s="65">
        <v>12.3</v>
      </c>
      <c r="C7" s="65">
        <v>24.128</v>
      </c>
      <c r="D7" s="65">
        <v>307.97680000000003</v>
      </c>
      <c r="E7" s="63" t="s">
        <v>125</v>
      </c>
      <c r="F7" s="63" t="s">
        <v>126</v>
      </c>
      <c r="G7">
        <v>320</v>
      </c>
      <c r="H7" s="64">
        <v>45156</v>
      </c>
      <c r="I7" s="66">
        <v>0.02</v>
      </c>
      <c r="J7" s="65">
        <v>0.28333333300000002</v>
      </c>
      <c r="K7" s="65">
        <v>11.436700429042403</v>
      </c>
      <c r="L7" s="65">
        <v>-1.4126029567820382</v>
      </c>
      <c r="M7" s="65">
        <v>-0.44500000000000028</v>
      </c>
      <c r="N7" s="65">
        <v>0.53229064710926499</v>
      </c>
      <c r="O7" s="65">
        <v>-1.9956999999999994</v>
      </c>
      <c r="P7" s="65">
        <v>0.4247134601126159</v>
      </c>
      <c r="Q7" s="65">
        <v>64.231828636090967</v>
      </c>
      <c r="R7" s="65">
        <v>0.72255600213917592</v>
      </c>
      <c r="S7" s="65">
        <v>-4.3904106692393539</v>
      </c>
      <c r="T7" s="65">
        <v>13.107970532559364</v>
      </c>
      <c r="U7" s="65">
        <v>-9.5703019428972418</v>
      </c>
    </row>
    <row r="8" spans="1:21">
      <c r="A8" s="64">
        <v>45055</v>
      </c>
      <c r="B8" s="65">
        <v>11.7</v>
      </c>
      <c r="C8" s="65">
        <v>24.187999999999999</v>
      </c>
      <c r="D8" s="65">
        <v>306.3304</v>
      </c>
      <c r="E8" s="63" t="s">
        <v>125</v>
      </c>
      <c r="F8" s="63" t="s">
        <v>126</v>
      </c>
      <c r="G8">
        <v>320</v>
      </c>
      <c r="H8" s="64">
        <v>45156</v>
      </c>
      <c r="I8" s="66">
        <v>0.02</v>
      </c>
      <c r="J8" s="65">
        <v>0.28055555599999998</v>
      </c>
      <c r="K8" s="65">
        <v>10.707243855571136</v>
      </c>
      <c r="L8" s="65">
        <v>-0.72945657347126769</v>
      </c>
      <c r="M8" s="65">
        <v>5.9999999999998721E-2</v>
      </c>
      <c r="N8" s="65">
        <v>0.52967495315523461</v>
      </c>
      <c r="O8" s="65">
        <v>-1.6464000000000283</v>
      </c>
      <c r="P8" s="65">
        <v>0.40791979057260958</v>
      </c>
      <c r="Q8" s="65">
        <v>62.998626216650649</v>
      </c>
      <c r="R8" s="65">
        <v>9.0509098453387241E-2</v>
      </c>
      <c r="S8" s="65">
        <v>-4.3904106692393539</v>
      </c>
      <c r="T8" s="65">
        <v>13.107970532559364</v>
      </c>
      <c r="U8" s="65">
        <v>-9.5703019428972418</v>
      </c>
    </row>
    <row r="9" spans="1:21">
      <c r="A9" s="64">
        <v>45056</v>
      </c>
      <c r="B9" s="65">
        <v>13.9</v>
      </c>
      <c r="C9" s="65">
        <v>24.202000000000002</v>
      </c>
      <c r="D9" s="65">
        <v>311.62889999999999</v>
      </c>
      <c r="E9" s="63" t="s">
        <v>125</v>
      </c>
      <c r="F9" s="63" t="s">
        <v>126</v>
      </c>
      <c r="G9">
        <v>320</v>
      </c>
      <c r="H9" s="64">
        <v>45156</v>
      </c>
      <c r="I9" s="66">
        <v>0.02</v>
      </c>
      <c r="J9" s="65">
        <v>0.27777777799999998</v>
      </c>
      <c r="K9" s="65">
        <v>12.931146184423795</v>
      </c>
      <c r="L9" s="65">
        <v>2.2239023288526596</v>
      </c>
      <c r="M9" s="65">
        <v>1.4000000000002899E-2</v>
      </c>
      <c r="N9" s="65">
        <v>0.52704627690554839</v>
      </c>
      <c r="O9" s="65">
        <v>5.29849999999999</v>
      </c>
      <c r="P9" s="65">
        <v>0.45998054316965681</v>
      </c>
      <c r="Q9" s="65">
        <v>65.193463505690872</v>
      </c>
      <c r="R9" s="65">
        <v>-0.10142141429467354</v>
      </c>
      <c r="S9" s="65">
        <v>-4.3904106692393539</v>
      </c>
      <c r="T9" s="65">
        <v>13.107970532559364</v>
      </c>
      <c r="U9" s="65">
        <v>-9.5703019428972418</v>
      </c>
    </row>
    <row r="10" spans="1:21">
      <c r="A10" s="64">
        <v>45057</v>
      </c>
      <c r="B10" s="65">
        <v>12.6</v>
      </c>
      <c r="C10" s="65">
        <v>24.007000000000001</v>
      </c>
      <c r="D10" s="65">
        <v>309.43369999999999</v>
      </c>
      <c r="E10" s="63" t="s">
        <v>125</v>
      </c>
      <c r="F10" s="63" t="s">
        <v>126</v>
      </c>
      <c r="G10">
        <v>320</v>
      </c>
      <c r="H10" s="64">
        <v>45156</v>
      </c>
      <c r="I10" s="66">
        <v>0.02</v>
      </c>
      <c r="J10" s="65">
        <v>0.27500000000000002</v>
      </c>
      <c r="K10" s="65">
        <v>11.735984979281071</v>
      </c>
      <c r="L10" s="65">
        <v>-1.1951612051427247</v>
      </c>
      <c r="M10" s="65">
        <v>-0.19500000000000028</v>
      </c>
      <c r="N10" s="65">
        <v>0.52440442408507582</v>
      </c>
      <c r="O10" s="65">
        <v>-2.1951999999999998</v>
      </c>
      <c r="P10" s="65">
        <v>0.43641075571677168</v>
      </c>
      <c r="Q10" s="65">
        <v>63.91161593582892</v>
      </c>
      <c r="R10" s="65">
        <v>0.27428839414077966</v>
      </c>
      <c r="S10" s="65">
        <v>-4.3904106692393539</v>
      </c>
      <c r="T10" s="65">
        <v>13.107970532559364</v>
      </c>
      <c r="U10" s="65">
        <v>-9.5703019428972418</v>
      </c>
    </row>
    <row r="11" spans="1:21">
      <c r="A11" s="64">
        <v>45058</v>
      </c>
      <c r="B11" s="65">
        <v>11.76</v>
      </c>
      <c r="C11" s="65">
        <v>23.677</v>
      </c>
      <c r="D11" s="65">
        <v>308.29610000000002</v>
      </c>
      <c r="E11" s="63" t="s">
        <v>125</v>
      </c>
      <c r="F11" s="63" t="s">
        <v>126</v>
      </c>
      <c r="G11">
        <v>320</v>
      </c>
      <c r="H11" s="64">
        <v>45156</v>
      </c>
      <c r="I11" s="66">
        <v>0.02</v>
      </c>
      <c r="J11" s="65">
        <v>0.27222222200000001</v>
      </c>
      <c r="K11" s="65">
        <v>10.954588199068169</v>
      </c>
      <c r="L11" s="65">
        <v>-0.78139678021290138</v>
      </c>
      <c r="M11" s="65">
        <v>-0.33000000000000185</v>
      </c>
      <c r="N11" s="65">
        <v>0.52174919453699209</v>
      </c>
      <c r="O11" s="65">
        <v>-1.1375999999999635</v>
      </c>
      <c r="P11" s="65">
        <v>0.42239156996619659</v>
      </c>
      <c r="Q11" s="65">
        <v>62.953047103996965</v>
      </c>
      <c r="R11" s="65">
        <v>0.67580711647143699</v>
      </c>
      <c r="S11" s="65">
        <v>-4.3904106692393539</v>
      </c>
      <c r="T11" s="65">
        <v>13.107970532559364</v>
      </c>
      <c r="U11" s="65">
        <v>-9.5703019428972418</v>
      </c>
    </row>
    <row r="12" spans="1:21">
      <c r="A12" s="64">
        <v>45061</v>
      </c>
      <c r="B12" s="65">
        <v>11.5</v>
      </c>
      <c r="C12" s="65">
        <v>23.582999999999998</v>
      </c>
      <c r="D12" s="65">
        <v>308.7851</v>
      </c>
      <c r="E12" s="63" t="s">
        <v>125</v>
      </c>
      <c r="F12" s="63" t="s">
        <v>126</v>
      </c>
      <c r="G12">
        <v>320</v>
      </c>
      <c r="H12" s="64">
        <v>45156</v>
      </c>
      <c r="I12" s="66">
        <v>0.02</v>
      </c>
      <c r="J12" s="65">
        <v>0.26388888900000002</v>
      </c>
      <c r="K12" s="65">
        <v>10.853136651524721</v>
      </c>
      <c r="L12" s="65">
        <v>-0.10145154754344787</v>
      </c>
      <c r="M12" s="65">
        <v>-9.4000000000001194E-2</v>
      </c>
      <c r="N12" s="65">
        <v>0.51370116702222901</v>
      </c>
      <c r="O12" s="65">
        <v>0.4889999999999759</v>
      </c>
      <c r="P12" s="65">
        <v>0.42451973701505752</v>
      </c>
      <c r="Q12" s="65">
        <v>62.14547568654443</v>
      </c>
      <c r="R12" s="65">
        <v>-1.6131159862252167</v>
      </c>
      <c r="S12" s="65">
        <v>-4.3904106692393539</v>
      </c>
      <c r="T12" s="65">
        <v>13.107970532559364</v>
      </c>
      <c r="U12" s="65">
        <v>-9.5703019428972418</v>
      </c>
    </row>
    <row r="13" spans="1:21">
      <c r="A13" s="64">
        <v>45062</v>
      </c>
      <c r="B13" s="65">
        <v>12.92</v>
      </c>
      <c r="C13" s="65">
        <v>23.786000000000001</v>
      </c>
      <c r="D13" s="65">
        <v>311.06009999999998</v>
      </c>
      <c r="E13" s="63" t="s">
        <v>125</v>
      </c>
      <c r="F13" s="63" t="s">
        <v>126</v>
      </c>
      <c r="G13">
        <v>320</v>
      </c>
      <c r="H13" s="64">
        <v>45156</v>
      </c>
      <c r="I13" s="66">
        <v>0.02</v>
      </c>
      <c r="J13" s="65">
        <v>0.26111111100000001</v>
      </c>
      <c r="K13" s="65">
        <v>11.887939186872501</v>
      </c>
      <c r="L13" s="65">
        <v>1.0348025353477794</v>
      </c>
      <c r="M13" s="65">
        <v>0.20300000000000296</v>
      </c>
      <c r="N13" s="65">
        <v>0.51099032378314169</v>
      </c>
      <c r="O13" s="65">
        <v>2.2749999999999773</v>
      </c>
      <c r="P13" s="65">
        <v>0.44852601881889603</v>
      </c>
      <c r="Q13" s="65">
        <v>62.882794187822384</v>
      </c>
      <c r="R13" s="65">
        <v>1.6005985336315035E-2</v>
      </c>
      <c r="S13" s="65">
        <v>-4.3904106692393539</v>
      </c>
      <c r="T13" s="65">
        <v>13.107970532559364</v>
      </c>
      <c r="U13" s="65">
        <v>-9.5703019428972418</v>
      </c>
    </row>
    <row r="14" spans="1:21">
      <c r="A14" s="64">
        <v>45063</v>
      </c>
      <c r="B14" s="65">
        <v>14</v>
      </c>
      <c r="C14" s="65">
        <v>23.117999999999999</v>
      </c>
      <c r="D14" s="65">
        <v>314</v>
      </c>
      <c r="E14" s="63" t="s">
        <v>125</v>
      </c>
      <c r="F14" s="63" t="s">
        <v>126</v>
      </c>
      <c r="G14">
        <v>320</v>
      </c>
      <c r="H14" s="64">
        <v>45156</v>
      </c>
      <c r="I14" s="66">
        <v>0.02</v>
      </c>
      <c r="J14" s="65">
        <v>0.258333333</v>
      </c>
      <c r="K14" s="65">
        <v>12.73840705179461</v>
      </c>
      <c r="L14" s="65">
        <v>0.85046786492210913</v>
      </c>
      <c r="M14" s="65">
        <v>-0.66800000000000281</v>
      </c>
      <c r="N14" s="65">
        <v>0.50826502240465066</v>
      </c>
      <c r="O14" s="65">
        <v>2.9399000000000228</v>
      </c>
      <c r="P14" s="65">
        <v>0.47672824756956983</v>
      </c>
      <c r="Q14" s="65">
        <v>63.560921765674088</v>
      </c>
      <c r="R14" s="65">
        <v>-0.47065248612225424</v>
      </c>
      <c r="S14" s="65">
        <v>-4.3904106692393539</v>
      </c>
      <c r="T14" s="65">
        <v>13.107970532559364</v>
      </c>
      <c r="U14" s="65">
        <v>-9.5703019428972418</v>
      </c>
    </row>
    <row r="15" spans="1:21">
      <c r="A15" s="64">
        <v>45064</v>
      </c>
      <c r="B15" s="65">
        <v>16.149999999999999</v>
      </c>
      <c r="C15" s="65">
        <v>23.254999999999999</v>
      </c>
      <c r="D15" s="65">
        <v>318.52</v>
      </c>
      <c r="E15" s="63" t="s">
        <v>125</v>
      </c>
      <c r="F15" s="63" t="s">
        <v>126</v>
      </c>
      <c r="G15">
        <v>320</v>
      </c>
      <c r="H15" s="64">
        <v>45156</v>
      </c>
      <c r="I15" s="66">
        <v>0.02</v>
      </c>
      <c r="J15" s="65">
        <v>0.25555555600000002</v>
      </c>
      <c r="K15" s="65">
        <v>15.002126039877567</v>
      </c>
      <c r="L15" s="65">
        <v>2.2637189880829567</v>
      </c>
      <c r="M15" s="65">
        <v>0.13700000000000045</v>
      </c>
      <c r="N15" s="65">
        <v>0.50552503004302374</v>
      </c>
      <c r="O15" s="65">
        <v>4.5199999999999818</v>
      </c>
      <c r="P15" s="65">
        <v>0.52504654286335284</v>
      </c>
      <c r="Q15" s="65">
        <v>64.110977227867679</v>
      </c>
      <c r="R15" s="65">
        <v>-6.0839899938854428E-2</v>
      </c>
      <c r="S15" s="65">
        <v>-4.3904106692393539</v>
      </c>
      <c r="T15" s="65">
        <v>13.107970532559364</v>
      </c>
      <c r="U15" s="65">
        <v>-9.5703019428972418</v>
      </c>
    </row>
    <row r="16" spans="1:21">
      <c r="A16" s="64">
        <v>45065</v>
      </c>
      <c r="B16" s="65">
        <v>16.05</v>
      </c>
      <c r="C16" s="65">
        <v>23.126999999999999</v>
      </c>
      <c r="D16" s="65">
        <v>318.33999999999997</v>
      </c>
      <c r="E16" s="63" t="s">
        <v>125</v>
      </c>
      <c r="F16" s="63" t="s">
        <v>126</v>
      </c>
      <c r="G16">
        <v>320</v>
      </c>
      <c r="H16" s="64">
        <v>45156</v>
      </c>
      <c r="I16" s="66">
        <v>0.02</v>
      </c>
      <c r="J16" s="65">
        <v>0.25277777800000001</v>
      </c>
      <c r="K16" s="65">
        <v>14.736541513398208</v>
      </c>
      <c r="L16" s="65">
        <v>-0.26558452647935837</v>
      </c>
      <c r="M16" s="65">
        <v>-0.12800000000000011</v>
      </c>
      <c r="N16" s="65">
        <v>0.50277010452094306</v>
      </c>
      <c r="O16" s="65">
        <v>-0.18000000000000682</v>
      </c>
      <c r="P16" s="65">
        <v>0.52268237369765758</v>
      </c>
      <c r="Q16" s="65">
        <v>63.748211989717241</v>
      </c>
      <c r="R16" s="65">
        <v>2.3921508994865763</v>
      </c>
      <c r="S16" s="65">
        <v>-4.3904106692393539</v>
      </c>
      <c r="T16" s="65">
        <v>13.107970532559364</v>
      </c>
      <c r="U16" s="65">
        <v>-9.5703019428972418</v>
      </c>
    </row>
    <row r="17" spans="1:21">
      <c r="A17" s="64">
        <v>45068</v>
      </c>
      <c r="B17" s="65">
        <v>17.649999999999999</v>
      </c>
      <c r="C17" s="65">
        <v>23.811</v>
      </c>
      <c r="D17" s="65">
        <v>321.18</v>
      </c>
      <c r="E17" s="63" t="s">
        <v>125</v>
      </c>
      <c r="F17" s="63" t="s">
        <v>126</v>
      </c>
      <c r="G17">
        <v>320</v>
      </c>
      <c r="H17" s="64">
        <v>45156</v>
      </c>
      <c r="I17" s="66">
        <v>0.02</v>
      </c>
      <c r="J17" s="65">
        <v>0.24444444400000001</v>
      </c>
      <c r="K17" s="65">
        <v>16.421333869484613</v>
      </c>
      <c r="L17" s="65">
        <v>1.6847923560864047</v>
      </c>
      <c r="M17" s="65">
        <v>0.68400000000000105</v>
      </c>
      <c r="N17" s="65">
        <v>0.49441323202357762</v>
      </c>
      <c r="O17" s="65">
        <v>2.8400000000000318</v>
      </c>
      <c r="P17" s="65">
        <v>0.5523717906165494</v>
      </c>
      <c r="Q17" s="65">
        <v>62.803633165503911</v>
      </c>
      <c r="R17" s="65">
        <v>0.10332486115678075</v>
      </c>
      <c r="S17" s="65">
        <v>-4.3904106692393539</v>
      </c>
      <c r="T17" s="65">
        <v>13.107970532559364</v>
      </c>
      <c r="U17" s="65">
        <v>-9.5703019428972418</v>
      </c>
    </row>
    <row r="18" spans="1:21">
      <c r="A18" s="64">
        <v>45069</v>
      </c>
      <c r="B18" s="65">
        <v>14.7</v>
      </c>
      <c r="C18" s="65">
        <v>24.190999999999999</v>
      </c>
      <c r="D18" s="65">
        <v>315.26</v>
      </c>
      <c r="E18" s="63" t="s">
        <v>125</v>
      </c>
      <c r="F18" s="63" t="s">
        <v>126</v>
      </c>
      <c r="G18">
        <v>320</v>
      </c>
      <c r="H18" s="64">
        <v>45156</v>
      </c>
      <c r="I18" s="66">
        <v>0.02</v>
      </c>
      <c r="J18" s="65">
        <v>0.241666667</v>
      </c>
      <c r="K18" s="65">
        <v>13.479317004554218</v>
      </c>
      <c r="L18" s="65">
        <v>-2.9420168649303946</v>
      </c>
      <c r="M18" s="65">
        <v>0.37999999999999901</v>
      </c>
      <c r="N18" s="65">
        <v>0.49159604046411925</v>
      </c>
      <c r="O18" s="65">
        <v>-5.9200000000000159</v>
      </c>
      <c r="P18" s="65">
        <v>0.48987423451577916</v>
      </c>
      <c r="Q18" s="65">
        <v>61.808384455471895</v>
      </c>
      <c r="R18" s="65">
        <v>1.777289122489752E-2</v>
      </c>
      <c r="S18" s="65">
        <v>-4.3904106692393539</v>
      </c>
      <c r="T18" s="65">
        <v>13.107970532559364</v>
      </c>
      <c r="U18" s="65">
        <v>-9.5703019428972418</v>
      </c>
    </row>
    <row r="19" spans="1:21">
      <c r="A19" s="64">
        <v>45070</v>
      </c>
      <c r="B19" s="65">
        <v>14.05</v>
      </c>
      <c r="C19" s="65">
        <v>24.841999999999999</v>
      </c>
      <c r="D19" s="65">
        <v>313.85000000000002</v>
      </c>
      <c r="E19" s="63" t="s">
        <v>125</v>
      </c>
      <c r="F19" s="63" t="s">
        <v>126</v>
      </c>
      <c r="G19">
        <v>320</v>
      </c>
      <c r="H19" s="64">
        <v>45156</v>
      </c>
      <c r="I19" s="66">
        <v>0.02</v>
      </c>
      <c r="J19" s="65">
        <v>0.23888888899999999</v>
      </c>
      <c r="K19" s="65">
        <v>13.10358955550106</v>
      </c>
      <c r="L19" s="65">
        <v>-0.37572744905315858</v>
      </c>
      <c r="M19" s="65">
        <v>0.6509999999999998</v>
      </c>
      <c r="N19" s="65">
        <v>0.48876261006750504</v>
      </c>
      <c r="O19" s="65">
        <v>-1.4099999999999682</v>
      </c>
      <c r="P19" s="65">
        <v>0.47617052424516942</v>
      </c>
      <c r="Q19" s="65">
        <v>61.087801921175796</v>
      </c>
      <c r="R19" s="65">
        <v>-0.52657247085161474</v>
      </c>
      <c r="S19" s="65">
        <v>-4.3904106692393539</v>
      </c>
      <c r="T19" s="65">
        <v>13.107970532559364</v>
      </c>
      <c r="U19" s="65">
        <v>-9.5703019428972418</v>
      </c>
    </row>
    <row r="20" spans="1:21">
      <c r="A20" s="64">
        <v>45071</v>
      </c>
      <c r="B20" s="65">
        <v>21.75</v>
      </c>
      <c r="C20" s="65">
        <v>26.414999999999999</v>
      </c>
      <c r="D20" s="65">
        <v>325.92</v>
      </c>
      <c r="E20" s="63" t="s">
        <v>125</v>
      </c>
      <c r="F20" s="63" t="s">
        <v>126</v>
      </c>
      <c r="G20">
        <v>320</v>
      </c>
      <c r="H20" s="64">
        <v>45156</v>
      </c>
      <c r="I20" s="66">
        <v>0.02</v>
      </c>
      <c r="J20" s="65">
        <v>0.23611111100000001</v>
      </c>
      <c r="K20" s="65">
        <v>20.466113163685719</v>
      </c>
      <c r="L20" s="65">
        <v>7.3625236081846595</v>
      </c>
      <c r="M20" s="65">
        <v>1.5730000000000004</v>
      </c>
      <c r="N20" s="65">
        <v>0.48591265778944265</v>
      </c>
      <c r="O20" s="65">
        <v>12.069999999999993</v>
      </c>
      <c r="P20" s="65">
        <v>0.59630070776470179</v>
      </c>
      <c r="Q20" s="65">
        <v>61.330168111106779</v>
      </c>
      <c r="R20" s="65">
        <v>3.5336998421654865E-2</v>
      </c>
      <c r="S20" s="65">
        <v>-4.3904106692393539</v>
      </c>
      <c r="T20" s="65">
        <v>13.107970532559364</v>
      </c>
      <c r="U20" s="65">
        <v>-9.5703019428972418</v>
      </c>
    </row>
    <row r="21" spans="1:21">
      <c r="A21" s="64">
        <v>45072</v>
      </c>
      <c r="B21" s="65">
        <v>26.71</v>
      </c>
      <c r="C21" s="65">
        <v>27.035</v>
      </c>
      <c r="D21" s="65">
        <v>332.89</v>
      </c>
      <c r="E21" s="63" t="s">
        <v>125</v>
      </c>
      <c r="F21" s="63" t="s">
        <v>126</v>
      </c>
      <c r="G21">
        <v>320</v>
      </c>
      <c r="H21" s="64">
        <v>45156</v>
      </c>
      <c r="I21" s="66">
        <v>0.02</v>
      </c>
      <c r="J21" s="65">
        <v>0.233333333</v>
      </c>
      <c r="K21" s="65">
        <v>25.105026094592205</v>
      </c>
      <c r="L21" s="65">
        <v>4.6389129309064856</v>
      </c>
      <c r="M21" s="65">
        <v>0.62000000000000099</v>
      </c>
      <c r="N21" s="65">
        <v>0.48304589119461516</v>
      </c>
      <c r="O21" s="65">
        <v>6.9699999999999704</v>
      </c>
      <c r="P21" s="65">
        <v>0.65668496567915746</v>
      </c>
      <c r="Q21" s="65">
        <v>59.136661171942755</v>
      </c>
      <c r="R21" s="65">
        <v>2.4116793896721996E-2</v>
      </c>
      <c r="S21" s="65">
        <v>-4.3904106692393539</v>
      </c>
      <c r="T21" s="65">
        <v>13.107970532559364</v>
      </c>
      <c r="U21" s="65">
        <v>-9.5703019428972418</v>
      </c>
    </row>
    <row r="22" spans="1:21">
      <c r="A22" s="64">
        <v>45076</v>
      </c>
      <c r="B22" s="65">
        <v>24.3</v>
      </c>
      <c r="C22" s="65">
        <v>26.888999999999999</v>
      </c>
      <c r="D22" s="65">
        <v>331.21</v>
      </c>
      <c r="E22" s="63" t="s">
        <v>125</v>
      </c>
      <c r="F22" s="63" t="s">
        <v>126</v>
      </c>
      <c r="G22">
        <v>320</v>
      </c>
      <c r="H22" s="64">
        <v>45156</v>
      </c>
      <c r="I22" s="66">
        <v>0.02</v>
      </c>
      <c r="J22" s="65">
        <v>0.222222222</v>
      </c>
      <c r="K22" s="65">
        <v>23.498013140510551</v>
      </c>
      <c r="L22" s="65">
        <v>-1.6070129540816538</v>
      </c>
      <c r="M22" s="65">
        <v>-0.1460000000000008</v>
      </c>
      <c r="N22" s="65">
        <v>0.47140452055532944</v>
      </c>
      <c r="O22" s="65">
        <v>-1.6800000000000068</v>
      </c>
      <c r="P22" s="65">
        <v>0.64433783695119595</v>
      </c>
      <c r="Q22" s="65">
        <v>58.165738539916624</v>
      </c>
      <c r="R22" s="65">
        <v>0.83808326518482867</v>
      </c>
      <c r="S22" s="65">
        <v>-4.3904106692393539</v>
      </c>
      <c r="T22" s="65">
        <v>13.107970532559364</v>
      </c>
      <c r="U22" s="65">
        <v>-9.5703019428972418</v>
      </c>
    </row>
    <row r="23" spans="1:21">
      <c r="A23" s="64">
        <v>45077</v>
      </c>
      <c r="B23" s="65">
        <v>23.86</v>
      </c>
      <c r="C23" s="65">
        <v>26.123000000000001</v>
      </c>
      <c r="D23" s="65">
        <v>328.39</v>
      </c>
      <c r="E23" s="63" t="s">
        <v>125</v>
      </c>
      <c r="F23" s="63" t="s">
        <v>126</v>
      </c>
      <c r="G23">
        <v>320</v>
      </c>
      <c r="H23" s="64">
        <v>45156</v>
      </c>
      <c r="I23" s="66">
        <v>0.02</v>
      </c>
      <c r="J23" s="65">
        <v>0.21944444399999999</v>
      </c>
      <c r="K23" s="65">
        <v>21.158497105498782</v>
      </c>
      <c r="L23" s="65">
        <v>-2.3395160350117692</v>
      </c>
      <c r="M23" s="65">
        <v>-0.76599999999999824</v>
      </c>
      <c r="N23" s="65">
        <v>0.46844897694412779</v>
      </c>
      <c r="O23" s="65">
        <v>-2.8199999999999932</v>
      </c>
      <c r="P23" s="65">
        <v>0.62116564422923815</v>
      </c>
      <c r="Q23" s="65">
        <v>58.518077229071757</v>
      </c>
      <c r="R23" s="65">
        <v>0.54797911904539121</v>
      </c>
      <c r="S23" s="65">
        <v>-4.3904106692393539</v>
      </c>
      <c r="T23" s="65">
        <v>13.107970532559364</v>
      </c>
      <c r="U23" s="65">
        <v>-9.5703019428972418</v>
      </c>
    </row>
    <row r="24" spans="1:21">
      <c r="A24" s="64">
        <v>45078</v>
      </c>
      <c r="B24" s="65">
        <v>24.8</v>
      </c>
      <c r="C24" s="65">
        <v>26.030999999999999</v>
      </c>
      <c r="D24" s="65">
        <v>332.58</v>
      </c>
      <c r="E24" s="63" t="s">
        <v>125</v>
      </c>
      <c r="F24" s="63" t="s">
        <v>126</v>
      </c>
      <c r="G24">
        <v>320</v>
      </c>
      <c r="H24" s="64">
        <v>45156</v>
      </c>
      <c r="I24" s="66">
        <v>0.02</v>
      </c>
      <c r="J24" s="65">
        <v>0.21666666700000001</v>
      </c>
      <c r="K24" s="65">
        <v>23.685279515925032</v>
      </c>
      <c r="L24" s="65">
        <v>2.5267824104262502</v>
      </c>
      <c r="M24" s="65">
        <v>-9.2000000000002302E-2</v>
      </c>
      <c r="N24" s="65">
        <v>0.46547466848368879</v>
      </c>
      <c r="O24" s="65">
        <v>4.1899999999999977</v>
      </c>
      <c r="P24" s="65">
        <v>0.66077490438233788</v>
      </c>
      <c r="Q24" s="65">
        <v>56.673484868582072</v>
      </c>
      <c r="R24" s="65">
        <v>-0.15767769338424076</v>
      </c>
      <c r="S24" s="65">
        <v>-4.3904106692393539</v>
      </c>
      <c r="T24" s="65">
        <v>13.107970532559364</v>
      </c>
      <c r="U24" s="65">
        <v>-9.5703019428972418</v>
      </c>
    </row>
    <row r="25" spans="1:21">
      <c r="A25" s="64">
        <v>45079</v>
      </c>
      <c r="B25" s="65">
        <v>26.8</v>
      </c>
      <c r="C25" s="65">
        <v>25.06</v>
      </c>
      <c r="D25" s="65">
        <v>335.4</v>
      </c>
      <c r="E25" s="63" t="s">
        <v>125</v>
      </c>
      <c r="F25" s="63" t="s">
        <v>126</v>
      </c>
      <c r="G25">
        <v>320</v>
      </c>
      <c r="H25" s="64">
        <v>45156</v>
      </c>
      <c r="I25" s="66">
        <v>0.02</v>
      </c>
      <c r="J25" s="65">
        <v>0.213888889</v>
      </c>
      <c r="K25" s="65">
        <v>24.948203242078137</v>
      </c>
      <c r="L25" s="65">
        <v>1.2629237261531046</v>
      </c>
      <c r="M25" s="65">
        <v>-0.97100000000000009</v>
      </c>
      <c r="N25" s="65">
        <v>0.46248123097051191</v>
      </c>
      <c r="O25" s="65">
        <v>2.8199999999999932</v>
      </c>
      <c r="P25" s="65">
        <v>0.6916079007452669</v>
      </c>
      <c r="Q25" s="65">
        <v>54.59975268357443</v>
      </c>
      <c r="R25" s="65">
        <v>-0.69252201245424294</v>
      </c>
      <c r="S25" s="65">
        <v>-4.3904106692393539</v>
      </c>
      <c r="T25" s="65">
        <v>13.107970532559364</v>
      </c>
      <c r="U25" s="65">
        <v>-9.5703019428972418</v>
      </c>
    </row>
    <row r="26" spans="1:21">
      <c r="A26" s="64">
        <v>45082</v>
      </c>
      <c r="B26" s="65">
        <v>27.6</v>
      </c>
      <c r="C26" s="65">
        <v>24.934000000000001</v>
      </c>
      <c r="D26" s="65">
        <v>335.94</v>
      </c>
      <c r="E26" s="63" t="s">
        <v>125</v>
      </c>
      <c r="F26" s="63" t="s">
        <v>126</v>
      </c>
      <c r="G26">
        <v>320</v>
      </c>
      <c r="H26" s="64">
        <v>45156</v>
      </c>
      <c r="I26" s="66">
        <v>0.02</v>
      </c>
      <c r="J26" s="65">
        <v>0.205555556</v>
      </c>
      <c r="K26" s="65">
        <v>24.954023680208167</v>
      </c>
      <c r="L26" s="65">
        <v>5.8204381300299701E-3</v>
      </c>
      <c r="M26" s="65">
        <v>-0.12599999999999767</v>
      </c>
      <c r="N26" s="65">
        <v>0.45338235078132455</v>
      </c>
      <c r="O26" s="65">
        <v>0.54000000000002046</v>
      </c>
      <c r="P26" s="65">
        <v>0.69947957959346285</v>
      </c>
      <c r="Q26" s="65">
        <v>52.998314405487164</v>
      </c>
      <c r="R26" s="65">
        <v>-1.9792241349995394</v>
      </c>
      <c r="S26" s="65">
        <v>-4.3904106692393539</v>
      </c>
      <c r="T26" s="65">
        <v>13.107970532559364</v>
      </c>
      <c r="U26" s="65">
        <v>-9.5703019428972418</v>
      </c>
    </row>
    <row r="27" spans="1:21">
      <c r="A27" s="64">
        <v>45083</v>
      </c>
      <c r="B27" s="65">
        <v>24.65</v>
      </c>
      <c r="C27" s="65">
        <v>24.302</v>
      </c>
      <c r="D27" s="65">
        <v>333.68</v>
      </c>
      <c r="E27" s="63" t="s">
        <v>125</v>
      </c>
      <c r="F27" s="63" t="s">
        <v>126</v>
      </c>
      <c r="G27">
        <v>320</v>
      </c>
      <c r="H27" s="64">
        <v>45156</v>
      </c>
      <c r="I27" s="66">
        <v>0.02</v>
      </c>
      <c r="J27" s="65">
        <v>0.20277777799999999</v>
      </c>
      <c r="K27" s="65">
        <v>22.954709281201389</v>
      </c>
      <c r="L27" s="65">
        <v>-1.9993143990067779</v>
      </c>
      <c r="M27" s="65">
        <v>-0.63200000000000145</v>
      </c>
      <c r="N27" s="65">
        <v>0.45030853645028762</v>
      </c>
      <c r="O27" s="65">
        <v>-2.2599999999999909</v>
      </c>
      <c r="P27" s="65">
        <v>0.68235821197995572</v>
      </c>
      <c r="Q27" s="65">
        <v>53.567351584035698</v>
      </c>
      <c r="R27" s="65">
        <v>0.56744472550138902</v>
      </c>
      <c r="S27" s="65">
        <v>-4.3904106692393539</v>
      </c>
      <c r="T27" s="65">
        <v>13.107970532559364</v>
      </c>
      <c r="U27" s="65">
        <v>-9.5703019428972418</v>
      </c>
    </row>
    <row r="28" spans="1:21">
      <c r="A28" s="64">
        <v>45084</v>
      </c>
      <c r="B28" s="65">
        <v>17.420000000000002</v>
      </c>
      <c r="C28" s="65">
        <v>24.119</v>
      </c>
      <c r="D28" s="65">
        <v>323.38</v>
      </c>
      <c r="E28" s="63" t="s">
        <v>125</v>
      </c>
      <c r="F28" s="63" t="s">
        <v>126</v>
      </c>
      <c r="G28">
        <v>320</v>
      </c>
      <c r="H28" s="64">
        <v>45156</v>
      </c>
      <c r="I28" s="66">
        <v>0.02</v>
      </c>
      <c r="J28" s="65">
        <v>0.2</v>
      </c>
      <c r="K28" s="65">
        <v>16.261857431011066</v>
      </c>
      <c r="L28" s="65">
        <v>-6.6928518501903227</v>
      </c>
      <c r="M28" s="65">
        <v>-0.18299999999999983</v>
      </c>
      <c r="N28" s="65">
        <v>0.44721359549995793</v>
      </c>
      <c r="O28" s="65">
        <v>-10.300000000000011</v>
      </c>
      <c r="P28" s="65">
        <v>0.57472896807160556</v>
      </c>
      <c r="Q28" s="65">
        <v>56.679822120350721</v>
      </c>
      <c r="R28" s="65">
        <v>0.19152371115213798</v>
      </c>
      <c r="S28" s="65">
        <v>-4.3904106692393539</v>
      </c>
      <c r="T28" s="65">
        <v>13.107970532559364</v>
      </c>
      <c r="U28" s="65">
        <v>-9.5703019428972418</v>
      </c>
    </row>
    <row r="29" spans="1:21">
      <c r="A29" s="64">
        <v>45085</v>
      </c>
      <c r="B29" s="65">
        <v>18.25</v>
      </c>
      <c r="C29" s="65">
        <v>23.681000000000001</v>
      </c>
      <c r="D29" s="65">
        <v>325.26</v>
      </c>
      <c r="E29" s="63" t="s">
        <v>125</v>
      </c>
      <c r="F29" s="63" t="s">
        <v>126</v>
      </c>
      <c r="G29">
        <v>320</v>
      </c>
      <c r="H29" s="64">
        <v>45156</v>
      </c>
      <c r="I29" s="66">
        <v>0.02</v>
      </c>
      <c r="J29" s="65">
        <v>0.197222222</v>
      </c>
      <c r="K29" s="65">
        <v>17.012568927898684</v>
      </c>
      <c r="L29" s="65">
        <v>0.75071149688761807</v>
      </c>
      <c r="M29" s="65">
        <v>-0.43799999999999883</v>
      </c>
      <c r="N29" s="65">
        <v>0.44409708623227873</v>
      </c>
      <c r="O29" s="65">
        <v>1.8799999999999955</v>
      </c>
      <c r="P29" s="65">
        <v>0.59681778736160018</v>
      </c>
      <c r="Q29" s="65">
        <v>55.920589053083503</v>
      </c>
      <c r="R29" s="65">
        <v>-0.51016527614725948</v>
      </c>
      <c r="S29" s="65">
        <v>-4.3904106692393539</v>
      </c>
      <c r="T29" s="65">
        <v>13.107970532559364</v>
      </c>
      <c r="U29" s="65">
        <v>-9.5703019428972418</v>
      </c>
    </row>
    <row r="30" spans="1:21">
      <c r="A30" s="64">
        <v>45086</v>
      </c>
      <c r="B30" s="65">
        <v>19.100000000000001</v>
      </c>
      <c r="C30" s="65">
        <v>24.501999999999999</v>
      </c>
      <c r="D30" s="65">
        <v>326.79000000000002</v>
      </c>
      <c r="E30" s="63" t="s">
        <v>125</v>
      </c>
      <c r="F30" s="63" t="s">
        <v>126</v>
      </c>
      <c r="G30">
        <v>320</v>
      </c>
      <c r="H30" s="64">
        <v>45156</v>
      </c>
      <c r="I30" s="66">
        <v>0.02</v>
      </c>
      <c r="J30" s="65">
        <v>0.19444444399999999</v>
      </c>
      <c r="K30" s="65">
        <v>18.288698092240566</v>
      </c>
      <c r="L30" s="65">
        <v>1.2761291643418815</v>
      </c>
      <c r="M30" s="65">
        <v>0.82099999999999795</v>
      </c>
      <c r="N30" s="65">
        <v>0.44095855134014578</v>
      </c>
      <c r="O30" s="65">
        <v>1.5300000000000296</v>
      </c>
      <c r="P30" s="65">
        <v>0.61192946921401414</v>
      </c>
      <c r="Q30" s="65">
        <v>55.210158121452821</v>
      </c>
      <c r="R30" s="65">
        <v>0.57979969102742768</v>
      </c>
      <c r="S30" s="65">
        <v>-4.3904106692393539</v>
      </c>
      <c r="T30" s="65">
        <v>13.107970532559364</v>
      </c>
      <c r="U30" s="65">
        <v>-9.5703019428972418</v>
      </c>
    </row>
    <row r="31" spans="1:21">
      <c r="A31" s="64">
        <v>45089</v>
      </c>
      <c r="B31" s="65">
        <v>23.05</v>
      </c>
      <c r="C31" s="65">
        <v>24.766999999999999</v>
      </c>
      <c r="D31" s="65">
        <v>331.85</v>
      </c>
      <c r="E31" s="63" t="s">
        <v>125</v>
      </c>
      <c r="F31" s="63" t="s">
        <v>126</v>
      </c>
      <c r="G31">
        <v>320</v>
      </c>
      <c r="H31" s="64">
        <v>45156</v>
      </c>
      <c r="I31" s="66">
        <v>0.02</v>
      </c>
      <c r="J31" s="65">
        <v>0.186111111</v>
      </c>
      <c r="K31" s="65">
        <v>21.343287513845098</v>
      </c>
      <c r="L31" s="65">
        <v>3.0545894216045326</v>
      </c>
      <c r="M31" s="65">
        <v>0.26500000000000057</v>
      </c>
      <c r="N31" s="65">
        <v>0.43140597005604825</v>
      </c>
      <c r="O31" s="65">
        <v>5.0600000000000023</v>
      </c>
      <c r="P31" s="65">
        <v>0.66588609127082643</v>
      </c>
      <c r="Q31" s="65">
        <v>52.101710157479232</v>
      </c>
      <c r="R31" s="65">
        <v>-0.17094334570131886</v>
      </c>
      <c r="S31" s="65">
        <v>-4.3904106692393539</v>
      </c>
      <c r="T31" s="65">
        <v>13.107970532559364</v>
      </c>
      <c r="U31" s="65">
        <v>-9.5703019428972418</v>
      </c>
    </row>
    <row r="32" spans="1:21">
      <c r="A32" s="64">
        <v>45090</v>
      </c>
      <c r="B32" s="65">
        <v>23.6</v>
      </c>
      <c r="C32" s="65">
        <v>24.773</v>
      </c>
      <c r="D32" s="65">
        <v>334.29</v>
      </c>
      <c r="E32" s="63" t="s">
        <v>125</v>
      </c>
      <c r="F32" s="63" t="s">
        <v>126</v>
      </c>
      <c r="G32">
        <v>320</v>
      </c>
      <c r="H32" s="64">
        <v>45156</v>
      </c>
      <c r="I32" s="66">
        <v>0.02</v>
      </c>
      <c r="J32" s="65">
        <v>0.18333333299999999</v>
      </c>
      <c r="K32" s="65">
        <v>22.895416056505269</v>
      </c>
      <c r="L32" s="65">
        <v>1.5521285426601708</v>
      </c>
      <c r="M32" s="65">
        <v>6.0000000000002274E-3</v>
      </c>
      <c r="N32" s="65">
        <v>0.42817441889958813</v>
      </c>
      <c r="O32" s="65">
        <v>2.4399999999999977</v>
      </c>
      <c r="P32" s="65">
        <v>0.69127763974515943</v>
      </c>
      <c r="Q32" s="65">
        <v>50.405888853405926</v>
      </c>
      <c r="R32" s="65">
        <v>-0.15663262872368192</v>
      </c>
      <c r="S32" s="65">
        <v>-4.3904106692393539</v>
      </c>
      <c r="T32" s="65">
        <v>13.107970532559364</v>
      </c>
      <c r="U32" s="65">
        <v>-9.5703019428972418</v>
      </c>
    </row>
    <row r="33" spans="1:21">
      <c r="A33" s="64">
        <v>45091</v>
      </c>
      <c r="B33" s="65">
        <v>26.76</v>
      </c>
      <c r="C33" s="65">
        <v>25.895</v>
      </c>
      <c r="D33" s="65">
        <v>337.34</v>
      </c>
      <c r="E33" s="63" t="s">
        <v>125</v>
      </c>
      <c r="F33" s="63" t="s">
        <v>126</v>
      </c>
      <c r="G33">
        <v>320</v>
      </c>
      <c r="H33" s="64">
        <v>45156</v>
      </c>
      <c r="I33" s="66">
        <v>0.02</v>
      </c>
      <c r="J33" s="65">
        <v>0.18055555600000001</v>
      </c>
      <c r="K33" s="65">
        <v>25.488678649540105</v>
      </c>
      <c r="L33" s="65">
        <v>2.5932625930348365</v>
      </c>
      <c r="M33" s="65">
        <v>1.1219999999999999</v>
      </c>
      <c r="N33" s="65">
        <v>0.42491829332237513</v>
      </c>
      <c r="O33" s="65">
        <v>3.0499999999999545</v>
      </c>
      <c r="P33" s="65">
        <v>0.71478659051288773</v>
      </c>
      <c r="Q33" s="65">
        <v>48.682030272392097</v>
      </c>
      <c r="R33" s="65">
        <v>0.39886569606175581</v>
      </c>
      <c r="S33" s="65">
        <v>-4.3904106692393539</v>
      </c>
      <c r="T33" s="65">
        <v>13.107970532559364</v>
      </c>
      <c r="U33" s="65">
        <v>-9.5703019428972418</v>
      </c>
    </row>
    <row r="34" spans="1:21">
      <c r="A34" s="64">
        <v>45092</v>
      </c>
      <c r="B34" s="65">
        <v>35.119999999999997</v>
      </c>
      <c r="C34" s="65">
        <v>27.263000000000002</v>
      </c>
      <c r="D34" s="65">
        <v>348.1</v>
      </c>
      <c r="E34" s="63" t="s">
        <v>125</v>
      </c>
      <c r="F34" s="63" t="s">
        <v>126</v>
      </c>
      <c r="G34">
        <v>320</v>
      </c>
      <c r="H34" s="64">
        <v>45156</v>
      </c>
      <c r="I34" s="66">
        <v>0.02</v>
      </c>
      <c r="J34" s="65">
        <v>0.177777778</v>
      </c>
      <c r="K34" s="65">
        <v>34.141270713950775</v>
      </c>
      <c r="L34" s="65">
        <v>8.6525920644106691</v>
      </c>
      <c r="M34" s="65">
        <v>1.3680000000000021</v>
      </c>
      <c r="N34" s="65">
        <v>0.42163702161930705</v>
      </c>
      <c r="O34" s="65">
        <v>10.760000000000048</v>
      </c>
      <c r="P34" s="65">
        <v>0.79406912188881207</v>
      </c>
      <c r="Q34" s="65">
        <v>41.813981193734122</v>
      </c>
      <c r="R34" s="65">
        <v>3.536482839055332E-2</v>
      </c>
      <c r="S34" s="65">
        <v>-4.3904106692393539</v>
      </c>
      <c r="T34" s="65">
        <v>13.107970532559364</v>
      </c>
      <c r="U34" s="65">
        <v>-9.5703019428972418</v>
      </c>
    </row>
    <row r="35" spans="1:21">
      <c r="A35" s="64">
        <v>45093</v>
      </c>
      <c r="B35" s="65">
        <v>30.75</v>
      </c>
      <c r="C35" s="65">
        <v>26.581</v>
      </c>
      <c r="D35" s="65">
        <v>342.33</v>
      </c>
      <c r="E35" s="63" t="s">
        <v>125</v>
      </c>
      <c r="F35" s="63" t="s">
        <v>126</v>
      </c>
      <c r="G35">
        <v>320</v>
      </c>
      <c r="H35" s="64">
        <v>45156</v>
      </c>
      <c r="I35" s="66">
        <v>0.02</v>
      </c>
      <c r="J35" s="65">
        <v>0.17499999999999999</v>
      </c>
      <c r="K35" s="65">
        <v>29.26492418801638</v>
      </c>
      <c r="L35" s="65">
        <v>-4.8763465259343945</v>
      </c>
      <c r="M35" s="65">
        <v>-0.68200000000000216</v>
      </c>
      <c r="N35" s="65">
        <v>0.41833001326703778</v>
      </c>
      <c r="O35" s="65">
        <v>-5.7700000000000387</v>
      </c>
      <c r="P35" s="65">
        <v>0.756063753940447</v>
      </c>
      <c r="Q35" s="65">
        <v>44.913773388716592</v>
      </c>
      <c r="R35" s="65">
        <v>0.28395682573801018</v>
      </c>
      <c r="S35" s="65">
        <v>-4.3904106692393539</v>
      </c>
      <c r="T35" s="65">
        <v>13.107970532559364</v>
      </c>
      <c r="U35" s="65">
        <v>-9.5703019428972418</v>
      </c>
    </row>
    <row r="36" spans="1:21">
      <c r="A36" s="64">
        <v>45097</v>
      </c>
      <c r="B36" s="65">
        <v>27.03</v>
      </c>
      <c r="C36" s="65">
        <v>26.84</v>
      </c>
      <c r="D36" s="65">
        <v>338.05</v>
      </c>
      <c r="E36" s="63" t="s">
        <v>125</v>
      </c>
      <c r="F36" s="63" t="s">
        <v>126</v>
      </c>
      <c r="G36">
        <v>320</v>
      </c>
      <c r="H36" s="64">
        <v>45156</v>
      </c>
      <c r="I36" s="66">
        <v>0.02</v>
      </c>
      <c r="J36" s="65">
        <v>0.16388888900000001</v>
      </c>
      <c r="K36" s="65">
        <v>25.769697774784504</v>
      </c>
      <c r="L36" s="65">
        <v>-3.495226413231876</v>
      </c>
      <c r="M36" s="65">
        <v>0.25900000000000034</v>
      </c>
      <c r="N36" s="65">
        <v>0.40483192685360181</v>
      </c>
      <c r="O36" s="65">
        <v>-4.2799999999999727</v>
      </c>
      <c r="P36" s="65">
        <v>0.72223864597973197</v>
      </c>
      <c r="Q36" s="65">
        <v>45.888477256012891</v>
      </c>
      <c r="R36" s="65">
        <v>0.28153865157176178</v>
      </c>
      <c r="S36" s="65">
        <v>-4.3904106692393539</v>
      </c>
      <c r="T36" s="65">
        <v>13.107970532559364</v>
      </c>
      <c r="U36" s="65">
        <v>-9.5703019428972418</v>
      </c>
    </row>
    <row r="37" spans="1:21">
      <c r="A37" s="64">
        <v>45098</v>
      </c>
      <c r="B37" s="65">
        <v>23.26</v>
      </c>
      <c r="C37" s="65">
        <v>26.065999999999999</v>
      </c>
      <c r="D37" s="65">
        <v>333.56</v>
      </c>
      <c r="E37" s="63" t="s">
        <v>125</v>
      </c>
      <c r="F37" s="63" t="s">
        <v>126</v>
      </c>
      <c r="G37">
        <v>320</v>
      </c>
      <c r="H37" s="64">
        <v>45156</v>
      </c>
      <c r="I37" s="66">
        <v>0.02</v>
      </c>
      <c r="J37" s="65">
        <v>0.161111111</v>
      </c>
      <c r="K37" s="65">
        <v>22.1303425645348</v>
      </c>
      <c r="L37" s="65">
        <v>-3.639355210249704</v>
      </c>
      <c r="M37" s="65">
        <v>-0.77400000000000091</v>
      </c>
      <c r="N37" s="65">
        <v>0.40138648582133407</v>
      </c>
      <c r="O37" s="65">
        <v>-4.4900000000000091</v>
      </c>
      <c r="P37" s="65">
        <v>0.68430824489328224</v>
      </c>
      <c r="Q37" s="65">
        <v>47.606012747679188</v>
      </c>
      <c r="R37" s="65">
        <v>0.35503157401663937</v>
      </c>
      <c r="S37" s="65">
        <v>-4.3904106692393539</v>
      </c>
      <c r="T37" s="65">
        <v>13.107970532559364</v>
      </c>
      <c r="U37" s="65">
        <v>-9.5703019428972418</v>
      </c>
    </row>
    <row r="38" spans="1:21">
      <c r="A38" s="64">
        <v>45099</v>
      </c>
      <c r="B38" s="65">
        <v>27.85</v>
      </c>
      <c r="C38" s="65">
        <v>26.471</v>
      </c>
      <c r="D38" s="65">
        <v>339.71</v>
      </c>
      <c r="E38" s="63" t="s">
        <v>125</v>
      </c>
      <c r="F38" s="63" t="s">
        <v>126</v>
      </c>
      <c r="G38">
        <v>320</v>
      </c>
      <c r="H38" s="64">
        <v>45156</v>
      </c>
      <c r="I38" s="66">
        <v>0.02</v>
      </c>
      <c r="J38" s="65">
        <v>0.15833333299999999</v>
      </c>
      <c r="K38" s="65">
        <v>26.589399687840967</v>
      </c>
      <c r="L38" s="65">
        <v>4.4590571233061667</v>
      </c>
      <c r="M38" s="65">
        <v>0.40500000000000114</v>
      </c>
      <c r="N38" s="65">
        <v>0.39791121245825684</v>
      </c>
      <c r="O38" s="65">
        <v>6.1499999999999773</v>
      </c>
      <c r="P38" s="65">
        <v>0.74221552071033881</v>
      </c>
      <c r="Q38" s="65">
        <v>43.652184795357343</v>
      </c>
      <c r="R38" s="65">
        <v>-5.3155358932559404E-2</v>
      </c>
      <c r="S38" s="65">
        <v>-4.3904106692393539</v>
      </c>
      <c r="T38" s="65">
        <v>13.107970532559364</v>
      </c>
      <c r="U38" s="65">
        <v>-9.5703019428972418</v>
      </c>
    </row>
    <row r="39" spans="1:21">
      <c r="A39" s="64">
        <v>45100</v>
      </c>
      <c r="B39" s="65">
        <v>23.89</v>
      </c>
      <c r="C39" s="65">
        <v>26.251000000000001</v>
      </c>
      <c r="D39" s="65">
        <v>335.02</v>
      </c>
      <c r="E39" s="63" t="s">
        <v>125</v>
      </c>
      <c r="F39" s="63" t="s">
        <v>126</v>
      </c>
      <c r="G39">
        <v>320</v>
      </c>
      <c r="H39" s="64">
        <v>45156</v>
      </c>
      <c r="I39" s="66">
        <v>0.02</v>
      </c>
      <c r="J39" s="65">
        <v>0.15555555600000001</v>
      </c>
      <c r="K39" s="65">
        <v>22.989667766921343</v>
      </c>
      <c r="L39" s="65">
        <v>-3.5997319209196235</v>
      </c>
      <c r="M39" s="65">
        <v>-0.21999999999999886</v>
      </c>
      <c r="N39" s="65">
        <v>0.3944053194367439</v>
      </c>
      <c r="O39" s="65">
        <v>-4.6899999999999977</v>
      </c>
      <c r="P39" s="65">
        <v>0.70015494487544117</v>
      </c>
      <c r="Q39" s="65">
        <v>45.931160345010348</v>
      </c>
      <c r="R39" s="65">
        <v>0.19383290648526269</v>
      </c>
      <c r="S39" s="65">
        <v>-4.3904106692393539</v>
      </c>
      <c r="T39" s="65">
        <v>13.107970532559364</v>
      </c>
      <c r="U39" s="65">
        <v>-9.5703019428972418</v>
      </c>
    </row>
    <row r="40" spans="1:21">
      <c r="A40" s="64">
        <v>45103</v>
      </c>
      <c r="B40" s="65">
        <v>19.649999999999999</v>
      </c>
      <c r="C40" s="65">
        <v>26.53</v>
      </c>
      <c r="D40" s="65">
        <v>328.6</v>
      </c>
      <c r="E40" s="63" t="s">
        <v>125</v>
      </c>
      <c r="F40" s="63" t="s">
        <v>126</v>
      </c>
      <c r="G40">
        <v>320</v>
      </c>
      <c r="H40" s="64">
        <v>45156</v>
      </c>
      <c r="I40" s="66">
        <v>0.02</v>
      </c>
      <c r="J40" s="65">
        <v>0.14722222200000001</v>
      </c>
      <c r="K40" s="65">
        <v>18.461823814347923</v>
      </c>
      <c r="L40" s="65">
        <v>-4.52784395257342</v>
      </c>
      <c r="M40" s="65">
        <v>0.27899999999999991</v>
      </c>
      <c r="N40" s="65">
        <v>0.38369548081779647</v>
      </c>
      <c r="O40" s="65">
        <v>-6.4199999999999591</v>
      </c>
      <c r="P40" s="65">
        <v>0.63320343300513926</v>
      </c>
      <c r="Q40" s="65">
        <v>47.46903608818554</v>
      </c>
      <c r="R40" s="65">
        <v>0.19142011367042852</v>
      </c>
      <c r="S40" s="65">
        <v>-4.3904106692393539</v>
      </c>
      <c r="T40" s="65">
        <v>13.107970532559364</v>
      </c>
      <c r="U40" s="65">
        <v>-9.5703019428972418</v>
      </c>
    </row>
    <row r="41" spans="1:21">
      <c r="A41" s="64">
        <v>45104</v>
      </c>
      <c r="B41" s="65">
        <v>23.8</v>
      </c>
      <c r="C41" s="65">
        <v>26.765999999999998</v>
      </c>
      <c r="D41" s="65">
        <v>334.57</v>
      </c>
      <c r="E41" s="63" t="s">
        <v>125</v>
      </c>
      <c r="F41" s="63" t="s">
        <v>126</v>
      </c>
      <c r="G41">
        <v>320</v>
      </c>
      <c r="H41" s="64">
        <v>45156</v>
      </c>
      <c r="I41" s="66">
        <v>0.02</v>
      </c>
      <c r="J41" s="65">
        <v>0.14444444400000001</v>
      </c>
      <c r="K41" s="65">
        <v>22.417320914169125</v>
      </c>
      <c r="L41" s="65">
        <v>3.9554970998212013</v>
      </c>
      <c r="M41" s="65">
        <v>0.2359999999999971</v>
      </c>
      <c r="N41" s="65">
        <v>0.38005847444834068</v>
      </c>
      <c r="O41" s="65">
        <v>5.9699999999999704</v>
      </c>
      <c r="P41" s="65">
        <v>0.69740674961725257</v>
      </c>
      <c r="Q41" s="65">
        <v>44.382950791474471</v>
      </c>
      <c r="R41" s="65">
        <v>-9.9828489727524117E-2</v>
      </c>
      <c r="S41" s="65">
        <v>-4.3904106692393539</v>
      </c>
      <c r="T41" s="65">
        <v>13.107970532559364</v>
      </c>
      <c r="U41" s="65">
        <v>-9.5703019428972418</v>
      </c>
    </row>
    <row r="42" spans="1:21">
      <c r="A42" s="64">
        <v>45105</v>
      </c>
      <c r="B42" s="65">
        <v>23.2</v>
      </c>
      <c r="C42" s="65">
        <v>27.274999999999999</v>
      </c>
      <c r="D42" s="65">
        <v>335.85</v>
      </c>
      <c r="E42" s="63" t="s">
        <v>125</v>
      </c>
      <c r="F42" s="63" t="s">
        <v>126</v>
      </c>
      <c r="G42">
        <v>320</v>
      </c>
      <c r="H42" s="64">
        <v>45156</v>
      </c>
      <c r="I42" s="66">
        <v>0.02</v>
      </c>
      <c r="J42" s="65">
        <v>0.141666667</v>
      </c>
      <c r="K42" s="65">
        <v>23.413719313709009</v>
      </c>
      <c r="L42" s="65">
        <v>0.99639839953988485</v>
      </c>
      <c r="M42" s="65">
        <v>0.50900000000000034</v>
      </c>
      <c r="N42" s="65">
        <v>0.37638632679734796</v>
      </c>
      <c r="O42" s="65">
        <v>1.2800000000000296</v>
      </c>
      <c r="P42" s="65">
        <v>0.70878615506291143</v>
      </c>
      <c r="Q42" s="65">
        <v>43.355073876230314</v>
      </c>
      <c r="R42" s="65">
        <v>0.20307710831542525</v>
      </c>
      <c r="S42" s="65">
        <v>-4.3904106692393539</v>
      </c>
      <c r="T42" s="65">
        <v>13.107970532559364</v>
      </c>
      <c r="U42" s="65">
        <v>-9.5703019428972418</v>
      </c>
    </row>
    <row r="43" spans="1:21">
      <c r="A43" s="64">
        <v>45106</v>
      </c>
      <c r="B43" s="65">
        <v>22.75</v>
      </c>
      <c r="C43" s="65">
        <v>26.923999999999999</v>
      </c>
      <c r="D43" s="65">
        <v>335.05</v>
      </c>
      <c r="E43" s="63" t="s">
        <v>125</v>
      </c>
      <c r="F43" s="63" t="s">
        <v>126</v>
      </c>
      <c r="G43">
        <v>320</v>
      </c>
      <c r="H43" s="64">
        <v>45156</v>
      </c>
      <c r="I43" s="66">
        <v>0.02</v>
      </c>
      <c r="J43" s="65">
        <v>0.13888888899999999</v>
      </c>
      <c r="K43" s="65">
        <v>22.568833176303826</v>
      </c>
      <c r="L43" s="65">
        <v>-0.84488613740518304</v>
      </c>
      <c r="M43" s="65">
        <v>-0.35099999999999909</v>
      </c>
      <c r="N43" s="65">
        <v>0.37267799639903615</v>
      </c>
      <c r="O43" s="65">
        <v>-0.80000000000001137</v>
      </c>
      <c r="P43" s="65">
        <v>0.70398094985335724</v>
      </c>
      <c r="Q43" s="65">
        <v>43.15138071398178</v>
      </c>
      <c r="R43" s="65">
        <v>1.0189377713456518</v>
      </c>
      <c r="S43" s="65">
        <v>-4.3904106692393539</v>
      </c>
      <c r="T43" s="65">
        <v>13.107970532559364</v>
      </c>
      <c r="U43" s="65">
        <v>-9.5703019428972418</v>
      </c>
    </row>
    <row r="44" spans="1:21">
      <c r="A44" s="64">
        <v>45107</v>
      </c>
      <c r="B44" s="65">
        <v>27.85</v>
      </c>
      <c r="C44" s="65">
        <v>26.86</v>
      </c>
      <c r="D44" s="65">
        <v>340.54</v>
      </c>
      <c r="E44" s="63" t="s">
        <v>125</v>
      </c>
      <c r="F44" s="63" t="s">
        <v>126</v>
      </c>
      <c r="G44">
        <v>320</v>
      </c>
      <c r="H44" s="64">
        <v>45156</v>
      </c>
      <c r="I44" s="66">
        <v>0.02</v>
      </c>
      <c r="J44" s="65">
        <v>0.13611111100000001</v>
      </c>
      <c r="K44" s="65">
        <v>26.437976203120257</v>
      </c>
      <c r="L44" s="65">
        <v>3.8691430268164311</v>
      </c>
      <c r="M44" s="65">
        <v>-6.4000000000000057E-2</v>
      </c>
      <c r="N44" s="65">
        <v>0.36893239353572627</v>
      </c>
      <c r="O44" s="65">
        <v>5.4900000000000091</v>
      </c>
      <c r="P44" s="65">
        <v>0.759537127153457</v>
      </c>
      <c r="Q44" s="65">
        <v>39.097969049681275</v>
      </c>
      <c r="R44" s="65">
        <v>-0.17601295214600657</v>
      </c>
      <c r="S44" s="65">
        <v>-4.3904106692393539</v>
      </c>
      <c r="T44" s="65">
        <v>13.107970532559364</v>
      </c>
      <c r="U44" s="65">
        <v>-9.5703019428972418</v>
      </c>
    </row>
    <row r="45" spans="1:21">
      <c r="A45" s="64">
        <v>45110</v>
      </c>
      <c r="B45" s="65">
        <v>25.3</v>
      </c>
      <c r="C45" s="65">
        <v>26.501999999999999</v>
      </c>
      <c r="D45" s="65">
        <v>337.99</v>
      </c>
      <c r="E45" s="63" t="s">
        <v>125</v>
      </c>
      <c r="F45" s="63" t="s">
        <v>126</v>
      </c>
      <c r="G45">
        <v>320</v>
      </c>
      <c r="H45" s="64">
        <v>45156</v>
      </c>
      <c r="I45" s="66">
        <v>0.02</v>
      </c>
      <c r="J45" s="65">
        <v>0.12777777800000001</v>
      </c>
      <c r="K45" s="65">
        <v>24.01506201297866</v>
      </c>
      <c r="L45" s="65">
        <v>-2.4229141901415971</v>
      </c>
      <c r="M45" s="65">
        <v>-0.35800000000000054</v>
      </c>
      <c r="N45" s="65">
        <v>0.35746017680295522</v>
      </c>
      <c r="O45" s="65">
        <v>-2.5500000000000114</v>
      </c>
      <c r="P45" s="65">
        <v>0.74270241084268407</v>
      </c>
      <c r="Q45" s="65">
        <v>38.977730675314575</v>
      </c>
      <c r="R45" s="65">
        <v>0.64305685915073274</v>
      </c>
      <c r="S45" s="65">
        <v>-4.3904106692393539</v>
      </c>
      <c r="T45" s="65">
        <v>13.107970532559364</v>
      </c>
      <c r="U45" s="65">
        <v>-9.5703019428972418</v>
      </c>
    </row>
    <row r="46" spans="1:21">
      <c r="A46" s="64">
        <v>45112</v>
      </c>
      <c r="B46" s="65">
        <v>25.3</v>
      </c>
      <c r="C46" s="65">
        <v>26.844000000000001</v>
      </c>
      <c r="D46" s="65">
        <v>338.15</v>
      </c>
      <c r="E46" s="63" t="s">
        <v>125</v>
      </c>
      <c r="F46" s="63" t="s">
        <v>126</v>
      </c>
      <c r="G46">
        <v>320</v>
      </c>
      <c r="H46" s="64">
        <v>45156</v>
      </c>
      <c r="I46" s="66">
        <v>0.02</v>
      </c>
      <c r="J46" s="65">
        <v>0.12222222200000001</v>
      </c>
      <c r="K46" s="65">
        <v>24.012423711300528</v>
      </c>
      <c r="L46" s="65">
        <v>-2.6383016781323931E-3</v>
      </c>
      <c r="M46" s="65">
        <v>0.3420000000000023</v>
      </c>
      <c r="N46" s="65">
        <v>0.34960294907222966</v>
      </c>
      <c r="O46" s="65">
        <v>0.15999999999996817</v>
      </c>
      <c r="P46" s="65">
        <v>0.74563766756146155</v>
      </c>
      <c r="Q46" s="65">
        <v>37.911296600196188</v>
      </c>
      <c r="R46" s="65">
        <v>-2.3765295528151595</v>
      </c>
      <c r="S46" s="65">
        <v>-4.3904106692393539</v>
      </c>
      <c r="T46" s="65">
        <v>13.107970532559364</v>
      </c>
      <c r="U46" s="65">
        <v>-9.5703019428972418</v>
      </c>
    </row>
    <row r="47" spans="1:21">
      <c r="A47" s="64">
        <v>45113</v>
      </c>
      <c r="B47" s="65">
        <v>27.48</v>
      </c>
      <c r="C47" s="65">
        <v>28.809000000000001</v>
      </c>
      <c r="D47" s="65">
        <v>341.27</v>
      </c>
      <c r="E47" s="63" t="s">
        <v>125</v>
      </c>
      <c r="F47" s="63" t="s">
        <v>126</v>
      </c>
      <c r="G47">
        <v>320</v>
      </c>
      <c r="H47" s="64">
        <v>45156</v>
      </c>
      <c r="I47" s="66">
        <v>0.02</v>
      </c>
      <c r="J47" s="65">
        <v>0.119444444</v>
      </c>
      <c r="K47" s="65">
        <v>26.96616775716376</v>
      </c>
      <c r="L47" s="65">
        <v>2.9537440458632318</v>
      </c>
      <c r="M47" s="65">
        <v>1.9649999999999999</v>
      </c>
      <c r="N47" s="65">
        <v>0.34560735524580494</v>
      </c>
      <c r="O47" s="65">
        <v>3.1200000000000045</v>
      </c>
      <c r="P47" s="65">
        <v>0.76427153019872485</v>
      </c>
      <c r="Q47" s="65">
        <v>36.306756966089218</v>
      </c>
      <c r="R47" s="65">
        <v>0.59267526298049933</v>
      </c>
      <c r="S47" s="65">
        <v>-4.3904106692393539</v>
      </c>
      <c r="T47" s="65">
        <v>13.107970532559364</v>
      </c>
      <c r="U47" s="65">
        <v>-9.5703019428972418</v>
      </c>
    </row>
    <row r="48" spans="1:21">
      <c r="A48" s="64">
        <v>45114</v>
      </c>
      <c r="B48" s="65">
        <v>25</v>
      </c>
      <c r="C48" s="65">
        <v>28.137</v>
      </c>
      <c r="D48" s="65">
        <v>337.22</v>
      </c>
      <c r="E48" s="63" t="s">
        <v>125</v>
      </c>
      <c r="F48" s="63" t="s">
        <v>126</v>
      </c>
      <c r="G48">
        <v>320</v>
      </c>
      <c r="H48" s="64">
        <v>45156</v>
      </c>
      <c r="I48" s="66">
        <v>0.02</v>
      </c>
      <c r="J48" s="65">
        <v>0.116666667</v>
      </c>
      <c r="K48" s="65">
        <v>23.548518173502828</v>
      </c>
      <c r="L48" s="65">
        <v>-3.417649583660932</v>
      </c>
      <c r="M48" s="65">
        <v>-0.6720000000000006</v>
      </c>
      <c r="N48" s="65">
        <v>0.34156502601993666</v>
      </c>
      <c r="O48" s="65">
        <v>-4.0499999999999545</v>
      </c>
      <c r="P48" s="65">
        <v>0.73161790433758678</v>
      </c>
      <c r="Q48" s="65">
        <v>37.969940041406694</v>
      </c>
      <c r="R48" s="65">
        <v>0.34050102079532485</v>
      </c>
      <c r="S48" s="65">
        <v>-4.3904106692393539</v>
      </c>
      <c r="T48" s="65">
        <v>13.107970532559364</v>
      </c>
      <c r="U48" s="65">
        <v>-9.5703019428972418</v>
      </c>
    </row>
    <row r="49" spans="1:21">
      <c r="A49" s="64">
        <v>45117</v>
      </c>
      <c r="B49" s="65">
        <v>20.47</v>
      </c>
      <c r="C49" s="65">
        <v>28.629000000000001</v>
      </c>
      <c r="D49" s="65">
        <v>331.83</v>
      </c>
      <c r="E49" s="63" t="s">
        <v>125</v>
      </c>
      <c r="F49" s="63" t="s">
        <v>126</v>
      </c>
      <c r="G49">
        <v>320</v>
      </c>
      <c r="H49" s="64">
        <v>45156</v>
      </c>
      <c r="I49" s="66">
        <v>0.02</v>
      </c>
      <c r="J49" s="65">
        <v>0.108333333</v>
      </c>
      <c r="K49" s="65">
        <v>19.500264736417677</v>
      </c>
      <c r="L49" s="65">
        <v>-4.0482534370851511</v>
      </c>
      <c r="M49" s="65">
        <v>0.49200000000000088</v>
      </c>
      <c r="N49" s="65">
        <v>0.32914029379582199</v>
      </c>
      <c r="O49" s="65">
        <v>-5.3900000000000432</v>
      </c>
      <c r="P49" s="65">
        <v>0.67557367431918403</v>
      </c>
      <c r="Q49" s="65">
        <v>39.280892575199587</v>
      </c>
      <c r="R49" s="65">
        <v>0.20990673421668618</v>
      </c>
      <c r="S49" s="65">
        <v>-4.3904106692393539</v>
      </c>
      <c r="T49" s="65">
        <v>13.107970532559364</v>
      </c>
      <c r="U49" s="65">
        <v>-9.5703019428972418</v>
      </c>
    </row>
    <row r="50" spans="1:21">
      <c r="A50" s="64">
        <v>45118</v>
      </c>
      <c r="B50" s="65">
        <v>20.8</v>
      </c>
      <c r="C50" s="65">
        <v>28.47</v>
      </c>
      <c r="D50" s="65">
        <v>332.47</v>
      </c>
      <c r="E50" s="63" t="s">
        <v>125</v>
      </c>
      <c r="F50" s="63" t="s">
        <v>126</v>
      </c>
      <c r="G50">
        <v>320</v>
      </c>
      <c r="H50" s="64">
        <v>45156</v>
      </c>
      <c r="I50" s="66">
        <v>0.02</v>
      </c>
      <c r="J50" s="65">
        <v>0.10555555599999999</v>
      </c>
      <c r="K50" s="65">
        <v>19.718565787804437</v>
      </c>
      <c r="L50" s="65">
        <v>0.21830105138676004</v>
      </c>
      <c r="M50" s="65">
        <v>-0.15900000000000247</v>
      </c>
      <c r="N50" s="65">
        <v>0.324893145510951</v>
      </c>
      <c r="O50" s="65">
        <v>0.6400000000000432</v>
      </c>
      <c r="P50" s="65">
        <v>0.68522760941529881</v>
      </c>
      <c r="Q50" s="65">
        <v>38.359908985818876</v>
      </c>
      <c r="R50" s="65">
        <v>-0.96903792896569996</v>
      </c>
      <c r="S50" s="65">
        <v>-4.3904106692393539</v>
      </c>
      <c r="T50" s="65">
        <v>13.107970532559364</v>
      </c>
      <c r="U50" s="65">
        <v>-9.5703019428972418</v>
      </c>
    </row>
    <row r="51" spans="1:21">
      <c r="A51" s="64">
        <v>45119</v>
      </c>
      <c r="B51" s="65">
        <v>23.8</v>
      </c>
      <c r="C51" s="65">
        <v>28.861000000000001</v>
      </c>
      <c r="D51" s="65">
        <v>337.2</v>
      </c>
      <c r="E51" s="63" t="s">
        <v>125</v>
      </c>
      <c r="F51" s="63" t="s">
        <v>126</v>
      </c>
      <c r="G51">
        <v>320</v>
      </c>
      <c r="H51" s="64">
        <v>45156</v>
      </c>
      <c r="I51" s="66">
        <v>0.02</v>
      </c>
      <c r="J51" s="65">
        <v>0.102777778</v>
      </c>
      <c r="K51" s="65">
        <v>23.075509196201637</v>
      </c>
      <c r="L51" s="65">
        <v>3.3569434083971998</v>
      </c>
      <c r="M51" s="65">
        <v>0.39100000000000179</v>
      </c>
      <c r="N51" s="65">
        <v>0.32058973470777258</v>
      </c>
      <c r="O51" s="65">
        <v>4.7299999999999613</v>
      </c>
      <c r="P51" s="65">
        <v>0.73706592593803488</v>
      </c>
      <c r="Q51" s="65">
        <v>35.267432714551674</v>
      </c>
      <c r="R51" s="65">
        <v>-8.3842465019894133E-2</v>
      </c>
      <c r="S51" s="65">
        <v>-4.3904106692393539</v>
      </c>
      <c r="T51" s="65">
        <v>13.107970532559364</v>
      </c>
      <c r="U51" s="65">
        <v>-9.5703019428972418</v>
      </c>
    </row>
    <row r="52" spans="1:21">
      <c r="A52" s="64">
        <v>45120</v>
      </c>
      <c r="B52" s="65">
        <v>29</v>
      </c>
      <c r="C52" s="65">
        <v>29.699000000000002</v>
      </c>
      <c r="D52" s="65">
        <v>342.66</v>
      </c>
      <c r="E52" s="63" t="s">
        <v>125</v>
      </c>
      <c r="F52" s="63" t="s">
        <v>126</v>
      </c>
      <c r="G52">
        <v>320</v>
      </c>
      <c r="H52" s="64">
        <v>45156</v>
      </c>
      <c r="I52" s="66">
        <v>0.02</v>
      </c>
      <c r="J52" s="65">
        <v>0.1</v>
      </c>
      <c r="K52" s="65">
        <v>27.373341181068895</v>
      </c>
      <c r="L52" s="65">
        <v>4.2978319848672584</v>
      </c>
      <c r="M52" s="65">
        <v>0.83800000000000097</v>
      </c>
      <c r="N52" s="65">
        <v>0.31622776601683794</v>
      </c>
      <c r="O52" s="65">
        <v>5.4600000000000364</v>
      </c>
      <c r="P52" s="65">
        <v>0.78720157221179288</v>
      </c>
      <c r="Q52" s="65">
        <v>31.472155002097491</v>
      </c>
      <c r="R52" s="65">
        <v>-1.8198673103333657E-4</v>
      </c>
      <c r="S52" s="65">
        <v>-4.3904106692393539</v>
      </c>
      <c r="T52" s="65">
        <v>13.107970532559364</v>
      </c>
      <c r="U52" s="65">
        <v>-9.5703019428972418</v>
      </c>
    </row>
    <row r="53" spans="1:21">
      <c r="A53" s="64">
        <v>45121</v>
      </c>
      <c r="B53" s="65">
        <v>29.9</v>
      </c>
      <c r="C53" s="65">
        <v>28.038</v>
      </c>
      <c r="D53" s="65">
        <v>345.24</v>
      </c>
      <c r="E53" s="63" t="s">
        <v>125</v>
      </c>
      <c r="F53" s="63" t="s">
        <v>126</v>
      </c>
      <c r="G53">
        <v>320</v>
      </c>
      <c r="H53" s="64">
        <v>45156</v>
      </c>
      <c r="I53" s="66">
        <v>0.02</v>
      </c>
      <c r="J53" s="65">
        <v>9.7222221999999997E-2</v>
      </c>
      <c r="K53" s="65">
        <v>28.825720828670001</v>
      </c>
      <c r="L53" s="65">
        <v>1.4523796476011057</v>
      </c>
      <c r="M53" s="65">
        <v>-1.6610000000000014</v>
      </c>
      <c r="N53" s="65">
        <v>0.31180478187481347</v>
      </c>
      <c r="O53" s="65">
        <v>2.5799999999999841</v>
      </c>
      <c r="P53" s="65">
        <v>0.82493915891030922</v>
      </c>
      <c r="Q53" s="65">
        <v>27.754979613838671</v>
      </c>
      <c r="R53" s="65">
        <v>-1.0161701444899831</v>
      </c>
      <c r="S53" s="65">
        <v>-4.3904106692393539</v>
      </c>
      <c r="T53" s="65">
        <v>13.107970532559364</v>
      </c>
      <c r="U53" s="65">
        <v>-9.5703019428972418</v>
      </c>
    </row>
    <row r="54" spans="1:21">
      <c r="A54" s="64">
        <v>45124</v>
      </c>
      <c r="B54" s="65">
        <v>30.3</v>
      </c>
      <c r="C54" s="65">
        <v>30.481999999999999</v>
      </c>
      <c r="D54" s="65">
        <v>345.73</v>
      </c>
      <c r="E54" s="63" t="s">
        <v>125</v>
      </c>
      <c r="F54" s="63" t="s">
        <v>126</v>
      </c>
      <c r="G54">
        <v>320</v>
      </c>
      <c r="H54" s="64">
        <v>45156</v>
      </c>
      <c r="I54" s="66">
        <v>0.02</v>
      </c>
      <c r="J54" s="65">
        <v>8.8888888999999999E-2</v>
      </c>
      <c r="K54" s="65">
        <v>29.496778367382348</v>
      </c>
      <c r="L54" s="65">
        <v>0.67105753871234697</v>
      </c>
      <c r="M54" s="65">
        <v>2.4439999999999991</v>
      </c>
      <c r="N54" s="65">
        <v>0.29814239718631097</v>
      </c>
      <c r="O54" s="65">
        <v>0.49000000000000909</v>
      </c>
      <c r="P54" s="65">
        <v>0.82016253071498935</v>
      </c>
      <c r="Q54" s="65">
        <v>27.032006078570404</v>
      </c>
      <c r="R54" s="65">
        <v>2.094719363138013</v>
      </c>
      <c r="S54" s="65">
        <v>-4.3904106692393539</v>
      </c>
      <c r="T54" s="65">
        <v>13.107970532559364</v>
      </c>
      <c r="U54" s="65">
        <v>-9.5703019428972418</v>
      </c>
    </row>
    <row r="55" spans="1:21">
      <c r="A55" s="64">
        <v>45125</v>
      </c>
      <c r="B55" s="65">
        <v>43.64</v>
      </c>
      <c r="C55" s="65">
        <v>33.472000000000001</v>
      </c>
      <c r="D55" s="65">
        <v>359.49</v>
      </c>
      <c r="E55" s="63" t="s">
        <v>125</v>
      </c>
      <c r="F55" s="63" t="s">
        <v>126</v>
      </c>
      <c r="G55">
        <v>320</v>
      </c>
      <c r="H55" s="64">
        <v>45156</v>
      </c>
      <c r="I55" s="66">
        <v>0.02</v>
      </c>
      <c r="J55" s="65">
        <v>8.6111111000000004E-2</v>
      </c>
      <c r="K55" s="65">
        <v>41.8979443942481</v>
      </c>
      <c r="L55" s="65">
        <v>12.401166026865752</v>
      </c>
      <c r="M55" s="65">
        <v>2.990000000000002</v>
      </c>
      <c r="N55" s="65">
        <v>0.29344694750499623</v>
      </c>
      <c r="O55" s="65">
        <v>13.759999999999991</v>
      </c>
      <c r="P55" s="65">
        <v>0.89459774437644479</v>
      </c>
      <c r="Q55" s="65">
        <v>19.235222644615433</v>
      </c>
      <c r="R55" s="65">
        <v>3.6469256060239513E-2</v>
      </c>
      <c r="S55" s="65">
        <v>-4.3904106692393539</v>
      </c>
      <c r="T55" s="65">
        <v>13.107970532559364</v>
      </c>
      <c r="U55" s="65">
        <v>-9.5703019428972418</v>
      </c>
    </row>
    <row r="56" spans="1:21">
      <c r="A56" s="64">
        <v>45126</v>
      </c>
      <c r="B56" s="65">
        <v>39.200000000000003</v>
      </c>
      <c r="C56" s="65">
        <v>32.768000000000001</v>
      </c>
      <c r="D56" s="65">
        <v>355.08</v>
      </c>
      <c r="E56" s="63" t="s">
        <v>125</v>
      </c>
      <c r="F56" s="63" t="s">
        <v>126</v>
      </c>
      <c r="G56">
        <v>320</v>
      </c>
      <c r="H56" s="64">
        <v>45156</v>
      </c>
      <c r="I56" s="66">
        <v>0.02</v>
      </c>
      <c r="J56" s="65">
        <v>8.3333332999999996E-2</v>
      </c>
      <c r="K56" s="65">
        <v>37.723760084333605</v>
      </c>
      <c r="L56" s="65">
        <v>-4.1741843099144944</v>
      </c>
      <c r="M56" s="65">
        <v>-0.70400000000000063</v>
      </c>
      <c r="N56" s="65">
        <v>0.28867513401746259</v>
      </c>
      <c r="O56" s="65">
        <v>-4.410000000000025</v>
      </c>
      <c r="P56" s="65">
        <v>0.8779087241274135</v>
      </c>
      <c r="Q56" s="65">
        <v>20.755459076466959</v>
      </c>
      <c r="R56" s="65">
        <v>0.33887801112206534</v>
      </c>
      <c r="S56" s="65">
        <v>-4.3904106692393539</v>
      </c>
      <c r="T56" s="65">
        <v>13.107970532559364</v>
      </c>
      <c r="U56" s="65">
        <v>-9.5703019428972418</v>
      </c>
    </row>
    <row r="57" spans="1:21">
      <c r="A57" s="64">
        <v>45127</v>
      </c>
      <c r="B57" s="65">
        <v>31.62</v>
      </c>
      <c r="C57" s="65">
        <v>34.03</v>
      </c>
      <c r="D57" s="65">
        <v>346.87</v>
      </c>
      <c r="E57" s="63" t="s">
        <v>125</v>
      </c>
      <c r="F57" s="63" t="s">
        <v>126</v>
      </c>
      <c r="G57">
        <v>320</v>
      </c>
      <c r="H57" s="64">
        <v>45156</v>
      </c>
      <c r="I57" s="66">
        <v>0.02</v>
      </c>
      <c r="J57" s="65">
        <v>8.0555556E-2</v>
      </c>
      <c r="K57" s="65">
        <v>30.909164246420204</v>
      </c>
      <c r="L57" s="65">
        <v>-6.8145958379134015</v>
      </c>
      <c r="M57" s="65">
        <v>1.2620000000000005</v>
      </c>
      <c r="N57" s="65">
        <v>0.28382310688173362</v>
      </c>
      <c r="O57" s="65">
        <v>-8.2099999999999795</v>
      </c>
      <c r="P57" s="65">
        <v>0.81587929791161073</v>
      </c>
      <c r="Q57" s="65">
        <v>26.201385345296249</v>
      </c>
      <c r="R57" s="65">
        <v>5.3192863136314834E-2</v>
      </c>
      <c r="S57" s="65">
        <v>-4.3904106692393539</v>
      </c>
      <c r="T57" s="65">
        <v>13.107970532559364</v>
      </c>
      <c r="U57" s="65">
        <v>-9.5703019428972418</v>
      </c>
    </row>
    <row r="58" spans="1:21">
      <c r="A58" s="64">
        <v>45128</v>
      </c>
      <c r="B58" s="65">
        <v>27.5</v>
      </c>
      <c r="C58" s="65">
        <v>31.475999999999999</v>
      </c>
      <c r="D58" s="65">
        <v>343.77</v>
      </c>
      <c r="E58" s="63" t="s">
        <v>125</v>
      </c>
      <c r="F58" s="63" t="s">
        <v>126</v>
      </c>
      <c r="G58">
        <v>320</v>
      </c>
      <c r="H58" s="64">
        <v>45156</v>
      </c>
      <c r="I58" s="66">
        <v>0.02</v>
      </c>
      <c r="J58" s="65">
        <v>7.7777778000000006E-2</v>
      </c>
      <c r="K58" s="65">
        <v>27.558083914552981</v>
      </c>
      <c r="L58" s="65">
        <v>-3.3510803318672231</v>
      </c>
      <c r="M58" s="65">
        <v>-2.554000000000002</v>
      </c>
      <c r="N58" s="65">
        <v>0.27888667590976807</v>
      </c>
      <c r="O58" s="65">
        <v>-3.1000000000000227</v>
      </c>
      <c r="P58" s="65">
        <v>0.80998900586265055</v>
      </c>
      <c r="Q58" s="65">
        <v>26.01749379514516</v>
      </c>
      <c r="R58" s="65">
        <v>0.99863555043055918</v>
      </c>
      <c r="S58" s="65">
        <v>-4.3904106692393539</v>
      </c>
      <c r="T58" s="65">
        <v>13.107970532559364</v>
      </c>
      <c r="U58" s="65">
        <v>-9.5703019428972418</v>
      </c>
    </row>
    <row r="59" spans="1:21">
      <c r="A59" s="64">
        <v>45131</v>
      </c>
      <c r="B59" s="65">
        <v>28.93</v>
      </c>
      <c r="C59" s="65">
        <v>32.869</v>
      </c>
      <c r="D59" s="65">
        <v>345.11</v>
      </c>
      <c r="E59" s="63" t="s">
        <v>125</v>
      </c>
      <c r="F59" s="63" t="s">
        <v>126</v>
      </c>
      <c r="G59">
        <v>320</v>
      </c>
      <c r="H59" s="64">
        <v>45156</v>
      </c>
      <c r="I59" s="66">
        <v>0.02</v>
      </c>
      <c r="J59" s="65">
        <v>6.9444443999999994E-2</v>
      </c>
      <c r="K59" s="65">
        <v>28.504465394820102</v>
      </c>
      <c r="L59" s="65">
        <v>0.94638148026712088</v>
      </c>
      <c r="M59" s="65">
        <v>1.3930000000000007</v>
      </c>
      <c r="N59" s="65">
        <v>0.2635231375040909</v>
      </c>
      <c r="O59" s="65">
        <v>1.3400000000000318</v>
      </c>
      <c r="P59" s="65">
        <v>0.82419731984929567</v>
      </c>
      <c r="Q59" s="65">
        <v>23.511346505581496</v>
      </c>
      <c r="R59" s="65">
        <v>-0.45621447831112139</v>
      </c>
      <c r="S59" s="65">
        <v>-4.3904106692393539</v>
      </c>
      <c r="T59" s="65">
        <v>13.107970532559364</v>
      </c>
      <c r="U59" s="65">
        <v>-9.5703019428972418</v>
      </c>
    </row>
    <row r="60" spans="1:21">
      <c r="A60" s="64">
        <v>45132</v>
      </c>
      <c r="B60" s="65">
        <v>34.630000000000003</v>
      </c>
      <c r="C60" s="65">
        <v>33.792999999999999</v>
      </c>
      <c r="D60" s="65">
        <v>350.98</v>
      </c>
      <c r="E60" s="63" t="s">
        <v>125</v>
      </c>
      <c r="F60" s="63" t="s">
        <v>126</v>
      </c>
      <c r="G60">
        <v>320</v>
      </c>
      <c r="H60" s="64">
        <v>45156</v>
      </c>
      <c r="I60" s="66">
        <v>0.02</v>
      </c>
      <c r="J60" s="65">
        <v>6.6666666999999999E-2</v>
      </c>
      <c r="K60" s="65">
        <v>33.514014173236944</v>
      </c>
      <c r="L60" s="65">
        <v>5.0095487784168427</v>
      </c>
      <c r="M60" s="65">
        <v>0.92399999999999949</v>
      </c>
      <c r="N60" s="65">
        <v>0.25819889039265836</v>
      </c>
      <c r="O60" s="65">
        <v>5.8700000000000045</v>
      </c>
      <c r="P60" s="65">
        <v>0.86821433160144168</v>
      </c>
      <c r="Q60" s="65">
        <v>19.352371695287665</v>
      </c>
      <c r="R60" s="65">
        <v>-6.9299644300646168E-2</v>
      </c>
      <c r="S60" s="65">
        <v>-4.3904106692393539</v>
      </c>
      <c r="T60" s="65">
        <v>13.107970532559364</v>
      </c>
      <c r="U60" s="65">
        <v>-9.5703019428972418</v>
      </c>
    </row>
    <row r="61" spans="1:21">
      <c r="A61" s="64">
        <v>45133</v>
      </c>
      <c r="B61" s="65">
        <v>20.6</v>
      </c>
      <c r="C61" s="65">
        <v>24.884</v>
      </c>
      <c r="D61" s="65">
        <v>337.77</v>
      </c>
      <c r="E61" s="63" t="s">
        <v>125</v>
      </c>
      <c r="F61" s="63" t="s">
        <v>126</v>
      </c>
      <c r="G61">
        <v>320</v>
      </c>
      <c r="H61" s="64">
        <v>45156</v>
      </c>
      <c r="I61" s="66">
        <v>0.02</v>
      </c>
      <c r="J61" s="65">
        <v>6.3888889000000004E-2</v>
      </c>
      <c r="K61" s="65">
        <v>20.332323038123718</v>
      </c>
      <c r="L61" s="65">
        <v>-13.181691135113226</v>
      </c>
      <c r="M61" s="65">
        <v>-8.9089999999999989</v>
      </c>
      <c r="N61" s="65">
        <v>0.25276251502151187</v>
      </c>
      <c r="O61" s="65">
        <v>-13.210000000000036</v>
      </c>
      <c r="P61" s="65">
        <v>0.81885424816293562</v>
      </c>
      <c r="Q61" s="65">
        <v>22.491884587308057</v>
      </c>
      <c r="R61" s="65">
        <v>0.67946584905367635</v>
      </c>
      <c r="S61" s="65">
        <v>-4.3904106692393539</v>
      </c>
      <c r="T61" s="65">
        <v>13.107970532559364</v>
      </c>
      <c r="U61" s="65">
        <v>-9.5703019428972418</v>
      </c>
    </row>
    <row r="62" spans="1:21">
      <c r="A62" s="64">
        <v>45134</v>
      </c>
      <c r="B62" s="65">
        <v>15</v>
      </c>
      <c r="C62" s="65">
        <v>24.646999999999998</v>
      </c>
      <c r="D62" s="65">
        <v>330.72</v>
      </c>
      <c r="E62" s="63" t="s">
        <v>125</v>
      </c>
      <c r="F62" s="63" t="s">
        <v>126</v>
      </c>
      <c r="G62">
        <v>320</v>
      </c>
      <c r="H62" s="64">
        <v>45156</v>
      </c>
      <c r="I62" s="66">
        <v>0.02</v>
      </c>
      <c r="J62" s="65">
        <v>6.1111111000000003E-2</v>
      </c>
      <c r="K62" s="65">
        <v>14.66891800398821</v>
      </c>
      <c r="L62" s="65">
        <v>-5.6634050341355078</v>
      </c>
      <c r="M62" s="65">
        <v>-0.23700000000000188</v>
      </c>
      <c r="N62" s="65">
        <v>0.24720661601178881</v>
      </c>
      <c r="O62" s="65">
        <v>-7.0499999999999545</v>
      </c>
      <c r="P62" s="65">
        <v>0.72285220587178733</v>
      </c>
      <c r="Q62" s="65">
        <v>27.384136428948654</v>
      </c>
      <c r="R62" s="65">
        <v>0.24023863733400908</v>
      </c>
      <c r="S62" s="65">
        <v>-4.3904106692393539</v>
      </c>
      <c r="T62" s="65">
        <v>13.107970532559364</v>
      </c>
      <c r="U62" s="65">
        <v>-9.5703019428972418</v>
      </c>
    </row>
    <row r="63" spans="1:21">
      <c r="A63" s="64">
        <v>45135</v>
      </c>
      <c r="B63" s="65">
        <v>20.45</v>
      </c>
      <c r="C63" s="65">
        <v>23.129000000000001</v>
      </c>
      <c r="D63" s="65">
        <v>338.37</v>
      </c>
      <c r="E63" s="63" t="s">
        <v>125</v>
      </c>
      <c r="F63" s="63" t="s">
        <v>126</v>
      </c>
      <c r="G63">
        <v>320</v>
      </c>
      <c r="H63" s="64">
        <v>45156</v>
      </c>
      <c r="I63" s="66">
        <v>0.02</v>
      </c>
      <c r="J63" s="65">
        <v>5.8333333000000001E-2</v>
      </c>
      <c r="K63" s="65">
        <v>20.21559516262306</v>
      </c>
      <c r="L63" s="65">
        <v>5.54667715863485</v>
      </c>
      <c r="M63" s="65">
        <v>-1.5179999999999971</v>
      </c>
      <c r="N63" s="65">
        <v>0.24152294507975841</v>
      </c>
      <c r="O63" s="65">
        <v>7.6499999999999773</v>
      </c>
      <c r="P63" s="65">
        <v>0.85269184917679286</v>
      </c>
      <c r="Q63" s="65">
        <v>18.825416519185485</v>
      </c>
      <c r="R63" s="65">
        <v>-0.55408816947901507</v>
      </c>
      <c r="S63" s="65">
        <v>-4.3904106692393539</v>
      </c>
      <c r="T63" s="65">
        <v>13.107970532559364</v>
      </c>
      <c r="U63" s="65">
        <v>-9.5703019428972418</v>
      </c>
    </row>
    <row r="64" spans="1:21">
      <c r="A64" s="64">
        <v>45138</v>
      </c>
      <c r="B64" s="65">
        <v>18.11</v>
      </c>
      <c r="C64" s="65">
        <v>23.231999999999999</v>
      </c>
      <c r="D64" s="65">
        <v>335.92</v>
      </c>
      <c r="E64" s="63" t="s">
        <v>125</v>
      </c>
      <c r="F64" s="63" t="s">
        <v>126</v>
      </c>
      <c r="G64">
        <v>320</v>
      </c>
      <c r="H64" s="64">
        <v>45156</v>
      </c>
      <c r="I64" s="66">
        <v>0.02</v>
      </c>
      <c r="J64" s="65">
        <v>0.05</v>
      </c>
      <c r="K64" s="65">
        <v>17.786865904179251</v>
      </c>
      <c r="L64" s="65">
        <v>-2.4287292584438092</v>
      </c>
      <c r="M64" s="65">
        <v>0.10299999999999798</v>
      </c>
      <c r="N64" s="65">
        <v>0.22360679774997896</v>
      </c>
      <c r="O64" s="65">
        <v>-2.4499999999999886</v>
      </c>
      <c r="P64" s="65">
        <v>0.8364188842714777</v>
      </c>
      <c r="Q64" s="65">
        <v>18.541648140431981</v>
      </c>
      <c r="R64" s="65">
        <v>0.62751144080523724</v>
      </c>
      <c r="S64" s="65">
        <v>-4.3904106692393539</v>
      </c>
      <c r="T64" s="65">
        <v>13.107970532559364</v>
      </c>
      <c r="U64" s="65">
        <v>-9.5703019428972418</v>
      </c>
    </row>
    <row r="65" spans="1:21">
      <c r="A65" s="64">
        <v>45139</v>
      </c>
      <c r="B65" s="65">
        <v>19.75</v>
      </c>
      <c r="C65" s="65">
        <v>23.497</v>
      </c>
      <c r="D65" s="65">
        <v>336.34</v>
      </c>
      <c r="E65" s="63" t="s">
        <v>125</v>
      </c>
      <c r="F65" s="63" t="s">
        <v>126</v>
      </c>
      <c r="G65">
        <v>320</v>
      </c>
      <c r="H65" s="64">
        <v>45156</v>
      </c>
      <c r="I65" s="66">
        <v>0.02</v>
      </c>
      <c r="J65" s="65">
        <v>4.7222222000000001E-2</v>
      </c>
      <c r="K65" s="65">
        <v>18.053218421837016</v>
      </c>
      <c r="L65" s="65">
        <v>0.26635251765776502</v>
      </c>
      <c r="M65" s="65">
        <v>0.26500000000000057</v>
      </c>
      <c r="N65" s="65">
        <v>0.21730674632877831</v>
      </c>
      <c r="O65" s="65">
        <v>0.41999999999995907</v>
      </c>
      <c r="P65" s="65">
        <v>0.84598624995393434</v>
      </c>
      <c r="Q65" s="65">
        <v>17.342868992195534</v>
      </c>
      <c r="R65" s="65">
        <v>-0.89265697834275382</v>
      </c>
      <c r="S65" s="65">
        <v>-4.3904106692393539</v>
      </c>
      <c r="T65" s="65">
        <v>13.107970532559364</v>
      </c>
      <c r="U65" s="65">
        <v>-9.5703019428972418</v>
      </c>
    </row>
    <row r="66" spans="1:21">
      <c r="A66" s="64">
        <v>45140</v>
      </c>
      <c r="B66" s="65">
        <v>12</v>
      </c>
      <c r="C66" s="65">
        <v>25.17</v>
      </c>
      <c r="D66" s="65">
        <v>327.5</v>
      </c>
      <c r="E66" s="63" t="s">
        <v>125</v>
      </c>
      <c r="F66" s="63" t="s">
        <v>126</v>
      </c>
      <c r="G66">
        <v>320</v>
      </c>
      <c r="H66" s="64">
        <v>45156</v>
      </c>
      <c r="I66" s="66">
        <v>0.02</v>
      </c>
      <c r="J66" s="65">
        <v>4.4444444E-2</v>
      </c>
      <c r="K66" s="65">
        <v>11.433704282306138</v>
      </c>
      <c r="L66" s="65">
        <v>-6.6195141395308781</v>
      </c>
      <c r="M66" s="65">
        <v>1.6730000000000018</v>
      </c>
      <c r="N66" s="65">
        <v>0.21081850962379939</v>
      </c>
      <c r="O66" s="65">
        <v>-8.839999999999975</v>
      </c>
      <c r="P66" s="65">
        <v>0.68434302626025434</v>
      </c>
      <c r="Q66" s="65">
        <v>24.548488428058636</v>
      </c>
      <c r="R66" s="65">
        <v>0.18132524890383173</v>
      </c>
      <c r="S66" s="65">
        <v>-4.3904106692393539</v>
      </c>
      <c r="T66" s="65">
        <v>13.107970532559364</v>
      </c>
      <c r="U66" s="65">
        <v>-9.5703019428972418</v>
      </c>
    </row>
    <row r="67" spans="1:21">
      <c r="A67" s="64">
        <v>45141</v>
      </c>
      <c r="B67" s="65">
        <v>11.43</v>
      </c>
      <c r="C67" s="65">
        <v>24.693000000000001</v>
      </c>
      <c r="D67" s="65">
        <v>326.66000000000003</v>
      </c>
      <c r="E67" s="63" t="s">
        <v>125</v>
      </c>
      <c r="F67" s="63" t="s">
        <v>126</v>
      </c>
      <c r="G67">
        <v>320</v>
      </c>
      <c r="H67" s="64">
        <v>45156</v>
      </c>
      <c r="I67" s="66">
        <v>0.02</v>
      </c>
      <c r="J67" s="65">
        <v>4.1666666999999998E-2</v>
      </c>
      <c r="K67" s="65">
        <v>10.540171602367991</v>
      </c>
      <c r="L67" s="65">
        <v>-0.89353267993814711</v>
      </c>
      <c r="M67" s="65">
        <v>-0.47700000000000031</v>
      </c>
      <c r="N67" s="65">
        <v>0.20412414604842807</v>
      </c>
      <c r="O67" s="65">
        <v>-0.83999999999997499</v>
      </c>
      <c r="P67" s="65">
        <v>0.67379170954185563</v>
      </c>
      <c r="Q67" s="65">
        <v>24.035236389667535</v>
      </c>
      <c r="R67" s="65">
        <v>1.0817754831809556</v>
      </c>
      <c r="S67" s="65">
        <v>-4.3904106692393539</v>
      </c>
      <c r="T67" s="65">
        <v>13.107970532559364</v>
      </c>
      <c r="U67" s="65">
        <v>-9.5703019428972418</v>
      </c>
    </row>
    <row r="68" spans="1:21">
      <c r="A68" s="64">
        <v>45142</v>
      </c>
      <c r="B68" s="65">
        <v>10.199999999999999</v>
      </c>
      <c r="C68" s="65">
        <v>24.556000000000001</v>
      </c>
      <c r="D68" s="65">
        <v>327.78</v>
      </c>
      <c r="E68" s="63" t="s">
        <v>125</v>
      </c>
      <c r="F68" s="63" t="s">
        <v>126</v>
      </c>
      <c r="G68">
        <v>320</v>
      </c>
      <c r="H68" s="64">
        <v>45156</v>
      </c>
      <c r="I68" s="66">
        <v>0.02</v>
      </c>
      <c r="J68" s="65">
        <v>3.8888889000000003E-2</v>
      </c>
      <c r="K68" s="65">
        <v>11.071006977231264</v>
      </c>
      <c r="L68" s="65">
        <v>0.53083537486327259</v>
      </c>
      <c r="M68" s="65">
        <v>-0.13700000000000045</v>
      </c>
      <c r="N68" s="65">
        <v>0.19720265971837195</v>
      </c>
      <c r="O68" s="65">
        <v>1.1199999999999477</v>
      </c>
      <c r="P68" s="65">
        <v>0.70413547860746195</v>
      </c>
      <c r="Q68" s="65">
        <v>22.332760990214286</v>
      </c>
      <c r="R68" s="65">
        <v>-0.66621063496084876</v>
      </c>
      <c r="S68" s="65">
        <v>-4.3904106692393539</v>
      </c>
      <c r="T68" s="65">
        <v>13.107970532559364</v>
      </c>
      <c r="U68" s="65">
        <v>-9.5703019428972418</v>
      </c>
    </row>
    <row r="69" spans="1:21">
      <c r="A69" s="64">
        <v>45145</v>
      </c>
      <c r="B69" s="65">
        <v>12.3</v>
      </c>
      <c r="C69" s="65">
        <v>22.422999999999998</v>
      </c>
      <c r="D69" s="65">
        <v>330.11</v>
      </c>
      <c r="E69" s="63" t="s">
        <v>125</v>
      </c>
      <c r="F69" s="63" t="s">
        <v>126</v>
      </c>
      <c r="G69">
        <v>320</v>
      </c>
      <c r="H69" s="64">
        <v>45156</v>
      </c>
      <c r="I69" s="66">
        <v>0.02</v>
      </c>
      <c r="J69" s="65">
        <v>3.0555556000000001E-2</v>
      </c>
      <c r="K69" s="65">
        <v>11.81161542227855</v>
      </c>
      <c r="L69" s="65">
        <v>0.74060844504728607</v>
      </c>
      <c r="M69" s="65">
        <v>-2.1330000000000027</v>
      </c>
      <c r="N69" s="65">
        <v>0.17480147596630871</v>
      </c>
      <c r="O69" s="65">
        <v>2.3300000000000409</v>
      </c>
      <c r="P69" s="65">
        <v>0.79638236371596738</v>
      </c>
      <c r="Q69" s="65">
        <v>16.329188365966168</v>
      </c>
      <c r="R69" s="65">
        <v>-1.6909995896371965</v>
      </c>
      <c r="S69" s="65">
        <v>-4.3904106692393539</v>
      </c>
      <c r="T69" s="65">
        <v>13.107970532559364</v>
      </c>
      <c r="U69" s="65">
        <v>-9.5703019428972418</v>
      </c>
    </row>
    <row r="70" spans="1:21">
      <c r="A70" s="64">
        <v>45146</v>
      </c>
      <c r="B70" s="65">
        <v>9.35</v>
      </c>
      <c r="C70" s="65">
        <v>23.672999999999998</v>
      </c>
      <c r="D70" s="65">
        <v>326.05</v>
      </c>
      <c r="E70" s="63" t="s">
        <v>125</v>
      </c>
      <c r="F70" s="63" t="s">
        <v>126</v>
      </c>
      <c r="G70">
        <v>320</v>
      </c>
      <c r="H70" s="64">
        <v>45156</v>
      </c>
      <c r="I70" s="66">
        <v>0.02</v>
      </c>
      <c r="J70" s="65">
        <v>2.7777777999999999E-2</v>
      </c>
      <c r="K70" s="65">
        <v>8.7919121844387291</v>
      </c>
      <c r="L70" s="65">
        <v>-3.0197032378398205</v>
      </c>
      <c r="M70" s="65">
        <v>1.25</v>
      </c>
      <c r="N70" s="65">
        <v>0.16666666733333332</v>
      </c>
      <c r="O70" s="65">
        <v>-4.0600000000000023</v>
      </c>
      <c r="P70" s="65">
        <v>0.69445560112541671</v>
      </c>
      <c r="Q70" s="65">
        <v>19.049798211189188</v>
      </c>
      <c r="R70" s="65">
        <v>0.14067272309406986</v>
      </c>
      <c r="S70" s="65">
        <v>-4.3904106692393539</v>
      </c>
      <c r="T70" s="65">
        <v>13.107970532559364</v>
      </c>
      <c r="U70" s="65">
        <v>-9.5703019428972418</v>
      </c>
    </row>
    <row r="71" spans="1:21">
      <c r="A71" s="64">
        <v>45147</v>
      </c>
      <c r="B71" s="65">
        <v>6.54</v>
      </c>
      <c r="C71" s="65">
        <v>25.227</v>
      </c>
      <c r="D71" s="65">
        <v>322.23</v>
      </c>
      <c r="E71" s="63" t="s">
        <v>125</v>
      </c>
      <c r="F71" s="63" t="s">
        <v>126</v>
      </c>
      <c r="G71">
        <v>320</v>
      </c>
      <c r="H71" s="64">
        <v>45156</v>
      </c>
      <c r="I71" s="66">
        <v>0.02</v>
      </c>
      <c r="J71" s="65">
        <v>2.5000000000000001E-2</v>
      </c>
      <c r="K71" s="65">
        <v>6.3918978954261831</v>
      </c>
      <c r="L71" s="65">
        <v>-2.400014289012546</v>
      </c>
      <c r="M71" s="65">
        <v>1.554000000000002</v>
      </c>
      <c r="N71" s="65">
        <v>0.15811388300841897</v>
      </c>
      <c r="O71" s="65">
        <v>-3.8199999999999932</v>
      </c>
      <c r="P71" s="65">
        <v>0.58183248421540112</v>
      </c>
      <c r="Q71" s="65">
        <v>19.896601020370731</v>
      </c>
      <c r="R71" s="65">
        <v>0.11892744726571332</v>
      </c>
      <c r="S71" s="65">
        <v>-4.3904106692393539</v>
      </c>
      <c r="T71" s="65">
        <v>13.107970532559364</v>
      </c>
      <c r="U71" s="65">
        <v>-9.5703019428972418</v>
      </c>
    </row>
    <row r="72" spans="1:21">
      <c r="A72" s="64">
        <v>45148</v>
      </c>
      <c r="B72" s="65">
        <v>6.35</v>
      </c>
      <c r="C72" s="65">
        <v>24.181999999999999</v>
      </c>
      <c r="D72" s="65">
        <v>322.93</v>
      </c>
      <c r="E72" s="63" t="s">
        <v>125</v>
      </c>
      <c r="F72" s="63" t="s">
        <v>126</v>
      </c>
      <c r="G72">
        <v>320</v>
      </c>
      <c r="H72" s="64">
        <v>45156</v>
      </c>
      <c r="I72" s="66">
        <v>0.02</v>
      </c>
      <c r="J72" s="65">
        <v>2.2222222E-2</v>
      </c>
      <c r="K72" s="65">
        <v>6.3194135602846302</v>
      </c>
      <c r="L72" s="65">
        <v>-7.2484335141552947E-2</v>
      </c>
      <c r="M72" s="65">
        <v>-1.0450000000000017</v>
      </c>
      <c r="N72" s="65">
        <v>0.14907119775462999</v>
      </c>
      <c r="O72" s="65">
        <v>0.69999999999998863</v>
      </c>
      <c r="P72" s="65">
        <v>0.61148682751242933</v>
      </c>
      <c r="Q72" s="65">
        <v>18.450024880183548</v>
      </c>
      <c r="R72" s="65">
        <v>-1.8656621935741171</v>
      </c>
      <c r="S72" s="65">
        <v>-4.3904106692393539</v>
      </c>
      <c r="T72" s="65">
        <v>13.107970532559364</v>
      </c>
      <c r="U72" s="65">
        <v>-9.5703019428972418</v>
      </c>
    </row>
    <row r="73" spans="1:21">
      <c r="A73" s="64">
        <v>45149</v>
      </c>
      <c r="B73" s="65">
        <v>4.28</v>
      </c>
      <c r="C73" s="65">
        <v>22.324999999999999</v>
      </c>
      <c r="D73" s="65">
        <v>321.01</v>
      </c>
      <c r="E73" s="63" t="s">
        <v>125</v>
      </c>
      <c r="F73" s="63" t="s">
        <v>126</v>
      </c>
      <c r="G73">
        <v>320</v>
      </c>
      <c r="H73" s="64">
        <v>45156</v>
      </c>
      <c r="I73" s="66">
        <v>0.02</v>
      </c>
      <c r="J73" s="65">
        <v>1.9444444000000002E-2</v>
      </c>
      <c r="K73" s="65">
        <v>4.5724466294843751</v>
      </c>
      <c r="L73" s="65">
        <v>-1.7469669308002551</v>
      </c>
      <c r="M73" s="65">
        <v>-1.8569999999999993</v>
      </c>
      <c r="N73" s="65">
        <v>0.1394433361620411</v>
      </c>
      <c r="O73" s="65">
        <v>-1.9200000000000159</v>
      </c>
      <c r="P73" s="65">
        <v>0.55143384908953963</v>
      </c>
      <c r="Q73" s="65">
        <v>17.709115557792767</v>
      </c>
      <c r="R73" s="65">
        <v>0.90602814985951008</v>
      </c>
      <c r="S73" s="65">
        <v>-4.3904106692393539</v>
      </c>
      <c r="T73" s="65">
        <v>13.107970532559364</v>
      </c>
      <c r="U73" s="65">
        <v>-9.5703019428972418</v>
      </c>
    </row>
    <row r="74" spans="1:21">
      <c r="A74" s="64">
        <v>45152</v>
      </c>
      <c r="B74" s="65">
        <v>5.5</v>
      </c>
      <c r="C74" s="65">
        <v>20.097000000000001</v>
      </c>
      <c r="D74" s="65">
        <v>324.04000000000002</v>
      </c>
      <c r="E74" s="63" t="s">
        <v>125</v>
      </c>
      <c r="F74" s="63" t="s">
        <v>126</v>
      </c>
      <c r="G74">
        <v>320</v>
      </c>
      <c r="H74" s="64">
        <v>45156</v>
      </c>
      <c r="I74" s="66">
        <v>0.02</v>
      </c>
      <c r="J74" s="65">
        <v>1.1111111E-2</v>
      </c>
      <c r="K74" s="65">
        <v>5.2564638507057282</v>
      </c>
      <c r="L74" s="65">
        <v>0.68401722122135311</v>
      </c>
      <c r="M74" s="65">
        <v>-2.227999999999998</v>
      </c>
      <c r="N74" s="65">
        <v>0.10540925481189969</v>
      </c>
      <c r="O74" s="65">
        <v>3.0300000000000296</v>
      </c>
      <c r="P74" s="65">
        <v>0.73016673172221835</v>
      </c>
      <c r="Q74" s="65">
        <v>11.290306410925178</v>
      </c>
      <c r="R74" s="65">
        <v>-1.5260284205394226</v>
      </c>
      <c r="S74" s="65">
        <v>-4.3904106692393539</v>
      </c>
      <c r="T74" s="65">
        <v>13.107970532559364</v>
      </c>
      <c r="U74" s="65">
        <v>-9.5703019428972418</v>
      </c>
    </row>
    <row r="75" spans="1:21">
      <c r="A75" s="64">
        <v>45153</v>
      </c>
      <c r="B75" s="65">
        <v>3.71</v>
      </c>
      <c r="C75" s="65">
        <v>21.03</v>
      </c>
      <c r="D75" s="65">
        <v>321.66000000000003</v>
      </c>
      <c r="E75" s="63" t="s">
        <v>125</v>
      </c>
      <c r="F75" s="63" t="s">
        <v>126</v>
      </c>
      <c r="G75">
        <v>320</v>
      </c>
      <c r="H75" s="64">
        <v>45156</v>
      </c>
      <c r="I75" s="66">
        <v>0.02</v>
      </c>
      <c r="J75" s="65">
        <v>8.3333330000000001E-3</v>
      </c>
      <c r="K75" s="65">
        <v>3.4080478780432202</v>
      </c>
      <c r="L75" s="65">
        <v>-1.848415972662508</v>
      </c>
      <c r="M75" s="65">
        <v>0.93299999999999983</v>
      </c>
      <c r="N75" s="65">
        <v>9.1287091091785816E-2</v>
      </c>
      <c r="O75" s="65">
        <v>-2.3799999999999955</v>
      </c>
      <c r="P75" s="65">
        <v>0.61324893215640364</v>
      </c>
      <c r="Q75" s="65">
        <v>11.239081303195112</v>
      </c>
      <c r="R75" s="65">
        <v>0.42689216941658986</v>
      </c>
      <c r="S75" s="65">
        <v>-4.3904106692393539</v>
      </c>
      <c r="T75" s="65">
        <v>13.107970532559364</v>
      </c>
      <c r="U75" s="65">
        <v>-9.5703019428972418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03"/>
  <sheetViews>
    <sheetView workbookViewId="0">
      <selection activeCell="K7" sqref="K7"/>
    </sheetView>
  </sheetViews>
  <sheetFormatPr defaultColWidth="8.85546875" defaultRowHeight="12.75"/>
  <cols>
    <col min="1" max="1" width="15.42578125" style="1" bestFit="1" customWidth="1"/>
    <col min="2" max="2" width="12.42578125" style="1" customWidth="1"/>
    <col min="3" max="3" width="9.85546875" style="1" bestFit="1" customWidth="1"/>
    <col min="4" max="9" width="8.85546875" style="1"/>
    <col min="10" max="10" width="11.85546875" style="1" bestFit="1" customWidth="1"/>
    <col min="11" max="11" width="10.7109375" style="1" bestFit="1" customWidth="1"/>
    <col min="12" max="12" width="10.140625" style="1" customWidth="1"/>
    <col min="13" max="13" width="11.7109375" style="1" bestFit="1" customWidth="1"/>
    <col min="14" max="14" width="11.7109375" style="1" customWidth="1"/>
    <col min="15" max="15" width="10.85546875" style="1" customWidth="1"/>
    <col min="16" max="16" width="8.85546875" style="1"/>
    <col min="17" max="17" width="10.28515625" style="1" customWidth="1"/>
    <col min="18" max="18" width="8.85546875" style="1"/>
    <col min="19" max="19" width="10.28515625" style="1" customWidth="1"/>
    <col min="20" max="16384" width="8.85546875" style="1"/>
  </cols>
  <sheetData>
    <row r="1" spans="1:22" ht="12.75" customHeight="1">
      <c r="A1" s="2" t="s">
        <v>0</v>
      </c>
      <c r="B1" s="3">
        <v>0.05</v>
      </c>
      <c r="K1" s="2" t="s">
        <v>3</v>
      </c>
      <c r="L1" s="2" t="s">
        <v>12</v>
      </c>
      <c r="M1" s="17" t="s">
        <v>36</v>
      </c>
      <c r="N1" s="2" t="s">
        <v>17</v>
      </c>
      <c r="O1" s="2" t="s">
        <v>13</v>
      </c>
      <c r="P1" s="2" t="s">
        <v>14</v>
      </c>
      <c r="Q1" s="2" t="s">
        <v>15</v>
      </c>
      <c r="R1" s="2" t="s">
        <v>16</v>
      </c>
      <c r="S1" s="62" t="s">
        <v>35</v>
      </c>
      <c r="T1" s="62"/>
      <c r="U1" s="62"/>
      <c r="V1" s="18"/>
    </row>
    <row r="2" spans="1:22">
      <c r="A2" s="2" t="s">
        <v>2</v>
      </c>
      <c r="B2" s="3">
        <v>0.2</v>
      </c>
      <c r="C2" s="21" t="s">
        <v>37</v>
      </c>
      <c r="J2" s="1">
        <v>0</v>
      </c>
      <c r="K2" s="4">
        <f t="array" ref="K2:M102">OneOptionPricing(B3,B2,B1,A9,B9,C9,B5,F9)</f>
        <v>0</v>
      </c>
      <c r="L2" s="4">
        <v>0</v>
      </c>
      <c r="M2" s="5">
        <v>0</v>
      </c>
      <c r="N2" s="5">
        <v>0</v>
      </c>
      <c r="O2" s="6">
        <v>0</v>
      </c>
      <c r="P2" s="6">
        <v>0</v>
      </c>
      <c r="Q2" s="6">
        <v>0</v>
      </c>
      <c r="R2" s="6">
        <v>0</v>
      </c>
      <c r="S2" s="62"/>
      <c r="T2" s="62"/>
      <c r="U2" s="62"/>
      <c r="V2" s="18"/>
    </row>
    <row r="3" spans="1:22">
      <c r="A3" s="2" t="s">
        <v>1</v>
      </c>
      <c r="B3" s="3">
        <v>0.3</v>
      </c>
      <c r="J3" s="1">
        <v>1</v>
      </c>
      <c r="K3" s="4">
        <v>2</v>
      </c>
      <c r="L3" s="4">
        <v>0</v>
      </c>
      <c r="M3" s="5">
        <v>2.2544624073056298E-40</v>
      </c>
      <c r="N3" s="5">
        <f>CallOption(K3,$B$2,0,$B$1,$B$9,$C$9)</f>
        <v>0</v>
      </c>
      <c r="O3" s="6">
        <v>6.5999928942209183E-41</v>
      </c>
      <c r="P3" s="6">
        <v>8.439180566126974E-30</v>
      </c>
      <c r="Q3" s="6">
        <v>2.8469608456769175E-29</v>
      </c>
      <c r="R3" s="6">
        <v>9.8333276650028909E-42</v>
      </c>
      <c r="S3" s="62"/>
      <c r="T3" s="62"/>
      <c r="U3" s="62"/>
      <c r="V3" s="18"/>
    </row>
    <row r="4" spans="1:22">
      <c r="A4" s="2" t="s">
        <v>3</v>
      </c>
      <c r="B4" s="4">
        <v>100</v>
      </c>
      <c r="J4" s="1">
        <v>2</v>
      </c>
      <c r="K4" s="4">
        <v>4</v>
      </c>
      <c r="L4" s="4">
        <v>0</v>
      </c>
      <c r="M4" s="5">
        <v>4.2958761208341698E-37</v>
      </c>
      <c r="N4" s="5">
        <f t="shared" ref="N4:N67" si="0">CallOption(K4,$B$2,0,$B$1,$B$9,$C$9)</f>
        <v>0</v>
      </c>
      <c r="O4" s="6">
        <v>1.2460186635953301E-37</v>
      </c>
      <c r="P4" s="6">
        <v>9.3311098560869905E-27</v>
      </c>
      <c r="Q4" s="6">
        <v>2.7984028060444071E-26</v>
      </c>
      <c r="R4" s="6">
        <v>2.1246789974367519E-38</v>
      </c>
      <c r="S4" s="62"/>
      <c r="T4" s="62"/>
      <c r="U4" s="62"/>
    </row>
    <row r="5" spans="1:22">
      <c r="A5" s="2" t="s">
        <v>11</v>
      </c>
      <c r="B5" s="4">
        <v>100</v>
      </c>
      <c r="J5" s="1">
        <v>3</v>
      </c>
      <c r="K5" s="4">
        <v>6</v>
      </c>
      <c r="L5" s="4">
        <v>0</v>
      </c>
      <c r="M5" s="5">
        <v>2.7443709690886624E-34</v>
      </c>
      <c r="N5" s="5">
        <f t="shared" si="0"/>
        <v>0</v>
      </c>
      <c r="O5" s="6">
        <v>7.8832618108765562E-35</v>
      </c>
      <c r="P5" s="6">
        <v>3.0024145466304735E-24</v>
      </c>
      <c r="Q5" s="6">
        <v>8.0401872655617652E-24</v>
      </c>
      <c r="R5" s="6">
        <v>1.5324398589953763E-35</v>
      </c>
      <c r="S5" s="62"/>
      <c r="T5" s="62"/>
      <c r="U5" s="62"/>
    </row>
    <row r="6" spans="1:22">
      <c r="J6" s="1">
        <v>4</v>
      </c>
      <c r="K6" s="4">
        <v>8</v>
      </c>
      <c r="L6" s="4">
        <v>0</v>
      </c>
      <c r="M6" s="5">
        <v>8.6558074255347441E-32</v>
      </c>
      <c r="N6" s="5">
        <f t="shared" si="0"/>
        <v>0</v>
      </c>
      <c r="O6" s="6">
        <v>2.4613143558263484E-32</v>
      </c>
      <c r="P6" s="6">
        <v>4.429153545729096E-22</v>
      </c>
      <c r="Q6" s="6">
        <v>1.0641048017496917E-21</v>
      </c>
      <c r="R6" s="6">
        <v>5.4325735835289068E-33</v>
      </c>
    </row>
    <row r="7" spans="1:22">
      <c r="J7" s="1">
        <v>5</v>
      </c>
      <c r="K7" s="4">
        <v>10</v>
      </c>
      <c r="L7" s="4">
        <v>0</v>
      </c>
      <c r="M7" s="5">
        <v>1.6051261312859586E-29</v>
      </c>
      <c r="N7" s="5">
        <f>CallOption(K7,$B$2,0,$B$1,$B$9,$C$9)</f>
        <v>0</v>
      </c>
      <c r="O7" s="6">
        <v>4.5160446488446657E-30</v>
      </c>
      <c r="P7" s="6">
        <v>3.6629299317025716E-20</v>
      </c>
      <c r="Q7" s="6">
        <v>7.9348226710877384E-20</v>
      </c>
      <c r="R7" s="6">
        <v>1.1271049325852272E-30</v>
      </c>
    </row>
    <row r="8" spans="1:22">
      <c r="A8" s="2" t="s">
        <v>5</v>
      </c>
      <c r="B8" s="2" t="s">
        <v>4</v>
      </c>
      <c r="C8" s="2" t="s">
        <v>7</v>
      </c>
      <c r="D8" s="2" t="s">
        <v>8</v>
      </c>
      <c r="E8" s="2" t="s">
        <v>9</v>
      </c>
      <c r="F8" s="2" t="s">
        <v>10</v>
      </c>
      <c r="J8" s="1">
        <v>6</v>
      </c>
      <c r="K8" s="4">
        <v>12</v>
      </c>
      <c r="L8" s="4">
        <v>0</v>
      </c>
      <c r="M8" s="5">
        <v>1.9369655663212971E-27</v>
      </c>
      <c r="N8" s="5">
        <f t="shared" si="0"/>
        <v>0</v>
      </c>
      <c r="O8" s="6">
        <v>5.3893947263842175E-28</v>
      </c>
      <c r="P8" s="6">
        <v>1.9054674509255224E-18</v>
      </c>
      <c r="Q8" s="6">
        <v>3.7415897790099209E-18</v>
      </c>
      <c r="R8" s="6">
        <v>1.5145152638345574E-28</v>
      </c>
    </row>
    <row r="9" spans="1:22">
      <c r="A9" s="1" t="s">
        <v>6</v>
      </c>
      <c r="B9" s="1">
        <v>100</v>
      </c>
      <c r="C9" s="1">
        <v>0.5</v>
      </c>
      <c r="D9" s="1">
        <v>0.39</v>
      </c>
      <c r="E9" s="1">
        <v>0.59</v>
      </c>
      <c r="F9" s="1">
        <v>1</v>
      </c>
      <c r="J9" s="1">
        <v>7</v>
      </c>
      <c r="K9" s="4">
        <v>14</v>
      </c>
      <c r="L9" s="4">
        <v>0</v>
      </c>
      <c r="M9" s="5">
        <v>1.6261350402759054E-25</v>
      </c>
      <c r="N9" s="5">
        <f t="shared" si="0"/>
        <v>0</v>
      </c>
      <c r="O9" s="6">
        <v>4.4720694373077566E-26</v>
      </c>
      <c r="P9" s="6">
        <v>6.7226935582013928E-17</v>
      </c>
      <c r="Q9" s="6">
        <v>1.2032672821429476E-16</v>
      </c>
      <c r="R9" s="6">
        <v>1.408908158962121E-26</v>
      </c>
    </row>
    <row r="10" spans="1:22">
      <c r="J10" s="1">
        <v>8</v>
      </c>
      <c r="K10" s="4">
        <v>16</v>
      </c>
      <c r="L10" s="4">
        <v>0</v>
      </c>
      <c r="M10" s="5">
        <v>9.9594533212179348E-24</v>
      </c>
      <c r="N10" s="5">
        <f t="shared" si="0"/>
        <v>0</v>
      </c>
      <c r="O10" s="6">
        <v>2.7056427496266355E-24</v>
      </c>
      <c r="P10" s="6">
        <v>1.6972132298728506E-15</v>
      </c>
      <c r="Q10" s="6">
        <v>2.7851094315051376E-15</v>
      </c>
      <c r="R10" s="6">
        <v>9.5137370760019889E-25</v>
      </c>
    </row>
    <row r="11" spans="1:22">
      <c r="J11" s="1">
        <v>9</v>
      </c>
      <c r="K11" s="4">
        <v>18</v>
      </c>
      <c r="L11" s="4">
        <v>0</v>
      </c>
      <c r="M11" s="5">
        <v>4.6112312897593474E-22</v>
      </c>
      <c r="N11" s="5">
        <f t="shared" si="0"/>
        <v>0</v>
      </c>
      <c r="O11" s="6">
        <v>1.2367088376263686E-22</v>
      </c>
      <c r="P11" s="6">
        <v>3.1929680220743E-14</v>
      </c>
      <c r="Q11" s="6">
        <v>4.8327823267387782E-14</v>
      </c>
      <c r="R11" s="6">
        <v>4.8314182914656649E-23</v>
      </c>
    </row>
    <row r="12" spans="1:22">
      <c r="J12" s="1">
        <v>10</v>
      </c>
      <c r="K12" s="4">
        <v>20</v>
      </c>
      <c r="L12" s="4">
        <v>0</v>
      </c>
      <c r="M12" s="5">
        <v>1.6594122098146663E-20</v>
      </c>
      <c r="N12" s="5">
        <f t="shared" si="0"/>
        <v>0</v>
      </c>
      <c r="O12" s="6">
        <v>4.3907170219930363E-21</v>
      </c>
      <c r="P12" s="6">
        <v>4.622539551804347E-13</v>
      </c>
      <c r="Q12" s="6">
        <v>6.4931125475793996E-13</v>
      </c>
      <c r="R12" s="6">
        <v>1.8969000184893488E-21</v>
      </c>
    </row>
    <row r="13" spans="1:22">
      <c r="J13" s="1">
        <v>11</v>
      </c>
      <c r="K13" s="4">
        <v>22</v>
      </c>
      <c r="L13" s="4">
        <v>0</v>
      </c>
      <c r="M13" s="5">
        <v>4.7461466385313518E-19</v>
      </c>
      <c r="N13" s="5">
        <f t="shared" si="0"/>
        <v>0</v>
      </c>
      <c r="O13" s="6">
        <v>1.2380819060867765E-19</v>
      </c>
      <c r="P13" s="6">
        <v>5.2879317307629288E-12</v>
      </c>
      <c r="Q13" s="6">
        <v>6.9364038657813055E-12</v>
      </c>
      <c r="R13" s="6">
        <v>5.8869908796606814E-20</v>
      </c>
    </row>
    <row r="14" spans="1:22">
      <c r="J14" s="1">
        <v>12</v>
      </c>
      <c r="K14" s="4">
        <v>24</v>
      </c>
      <c r="L14" s="4">
        <v>0</v>
      </c>
      <c r="M14" s="5">
        <v>1.0989369073054653E-17</v>
      </c>
      <c r="N14" s="5">
        <f t="shared" si="0"/>
        <v>0</v>
      </c>
      <c r="O14" s="6">
        <v>2.8241320476253375E-18</v>
      </c>
      <c r="P14" s="6">
        <v>4.8883259117164865E-11</v>
      </c>
      <c r="Q14" s="6">
        <v>6.0254777916618596E-11</v>
      </c>
      <c r="R14" s="6">
        <v>1.4708165039226892E-18</v>
      </c>
    </row>
    <row r="15" spans="1:22">
      <c r="J15" s="1">
        <v>13</v>
      </c>
      <c r="K15" s="4">
        <v>26</v>
      </c>
      <c r="L15" s="4">
        <v>0</v>
      </c>
      <c r="M15" s="5">
        <v>2.0921190069822161E-16</v>
      </c>
      <c r="N15" s="5">
        <f t="shared" si="0"/>
        <v>0</v>
      </c>
      <c r="O15" s="6">
        <v>5.2924799938537336E-17</v>
      </c>
      <c r="P15" s="6">
        <v>3.72376563596227E-10</v>
      </c>
      <c r="Q15" s="6">
        <v>4.3397656631423163E-10</v>
      </c>
      <c r="R15" s="6">
        <v>3.0041581187741855E-17</v>
      </c>
    </row>
    <row r="16" spans="1:22">
      <c r="J16" s="1">
        <v>14</v>
      </c>
      <c r="K16" s="4">
        <v>28</v>
      </c>
      <c r="L16" s="4">
        <v>0</v>
      </c>
      <c r="M16" s="5">
        <v>3.318687406954774E-15</v>
      </c>
      <c r="N16" s="5">
        <f t="shared" si="0"/>
        <v>0</v>
      </c>
      <c r="O16" s="6">
        <v>8.2572455604461484E-16</v>
      </c>
      <c r="P16" s="6">
        <v>2.3783147983616754E-9</v>
      </c>
      <c r="Q16" s="6">
        <v>2.6363403569271915E-9</v>
      </c>
      <c r="R16" s="6">
        <v>5.083015920614388E-16</v>
      </c>
    </row>
    <row r="17" spans="10:18">
      <c r="J17" s="1">
        <v>15</v>
      </c>
      <c r="K17" s="4">
        <v>30</v>
      </c>
      <c r="L17" s="4">
        <v>0</v>
      </c>
      <c r="M17" s="5">
        <v>4.43774415207013E-14</v>
      </c>
      <c r="N17" s="5">
        <f t="shared" si="0"/>
        <v>3.3306690738754696E-15</v>
      </c>
      <c r="O17" s="6">
        <v>1.0850273400968663E-14</v>
      </c>
      <c r="P17" s="6">
        <v>1.2935457939712045E-8</v>
      </c>
      <c r="Q17" s="6">
        <v>1.3716645824003039E-8</v>
      </c>
      <c r="R17" s="6">
        <v>7.2071218672916961E-15</v>
      </c>
    </row>
    <row r="18" spans="10:18">
      <c r="J18" s="1">
        <v>16</v>
      </c>
      <c r="K18" s="4">
        <v>32</v>
      </c>
      <c r="L18" s="4">
        <v>0</v>
      </c>
      <c r="M18" s="5">
        <v>5.0541655533939644E-13</v>
      </c>
      <c r="N18" s="5">
        <f t="shared" si="0"/>
        <v>5.7456340104937602E-15</v>
      </c>
      <c r="O18" s="6">
        <v>1.213189406858208E-13</v>
      </c>
      <c r="P18" s="6">
        <v>6.0766009012966164E-8</v>
      </c>
      <c r="Q18" s="6">
        <v>6.1973412317907725E-8</v>
      </c>
      <c r="R18" s="6">
        <v>8.6513817452525631E-14</v>
      </c>
    </row>
    <row r="19" spans="10:18">
      <c r="J19" s="1">
        <v>17</v>
      </c>
      <c r="K19" s="4">
        <v>34</v>
      </c>
      <c r="L19" s="4">
        <v>0</v>
      </c>
      <c r="M19" s="5">
        <v>4.9482258776300384E-12</v>
      </c>
      <c r="N19" s="5">
        <f t="shared" si="0"/>
        <v>5.3117304611292542E-14</v>
      </c>
      <c r="O19" s="6">
        <v>1.1649244973377972E-12</v>
      </c>
      <c r="P19" s="6">
        <v>2.4975711317990884E-7</v>
      </c>
      <c r="Q19" s="6">
        <v>2.4621783207207712E-7</v>
      </c>
      <c r="R19" s="6">
        <v>8.8734022056785264E-13</v>
      </c>
    </row>
    <row r="20" spans="10:18">
      <c r="J20" s="1">
        <v>18</v>
      </c>
      <c r="K20" s="4">
        <v>36</v>
      </c>
      <c r="L20" s="4">
        <v>0</v>
      </c>
      <c r="M20" s="5">
        <v>4.199738293320528E-11</v>
      </c>
      <c r="N20" s="5">
        <f t="shared" si="0"/>
        <v>1.0230951254565479E-12</v>
      </c>
      <c r="O20" s="6">
        <v>9.6869056117737397E-12</v>
      </c>
      <c r="P20" s="6">
        <v>9.088585896044854E-7</v>
      </c>
      <c r="Q20" s="6">
        <v>8.7006064957807724E-7</v>
      </c>
      <c r="R20" s="6">
        <v>7.841946130475175E-12</v>
      </c>
    </row>
    <row r="21" spans="10:18">
      <c r="J21" s="1">
        <v>19</v>
      </c>
      <c r="K21" s="4">
        <v>38</v>
      </c>
      <c r="L21" s="4">
        <v>0</v>
      </c>
      <c r="M21" s="5">
        <v>3.1141303493047954E-10</v>
      </c>
      <c r="N21" s="5">
        <f t="shared" si="0"/>
        <v>1.6095682188097928E-11</v>
      </c>
      <c r="O21" s="6">
        <v>7.0297001366058543E-11</v>
      </c>
      <c r="P21" s="6">
        <v>2.9601375585623226E-6</v>
      </c>
      <c r="Q21" s="6">
        <v>2.7632366059108677E-6</v>
      </c>
      <c r="R21" s="6">
        <v>6.0180686629940482E-11</v>
      </c>
    </row>
    <row r="22" spans="10:18">
      <c r="J22" s="1">
        <v>20</v>
      </c>
      <c r="K22" s="4">
        <v>40</v>
      </c>
      <c r="L22" s="4">
        <v>0</v>
      </c>
      <c r="M22" s="5">
        <v>2.0320158712333621E-9</v>
      </c>
      <c r="N22" s="5">
        <f t="shared" si="0"/>
        <v>1.930216996562394E-10</v>
      </c>
      <c r="O22" s="6">
        <v>4.4839866767771508E-10</v>
      </c>
      <c r="P22" s="6">
        <v>8.7153301929903514E-6</v>
      </c>
      <c r="Q22" s="6">
        <v>7.9624954890120631E-6</v>
      </c>
      <c r="R22" s="6">
        <v>4.0396142958558704E-10</v>
      </c>
    </row>
    <row r="23" spans="10:18">
      <c r="J23" s="1">
        <v>21</v>
      </c>
      <c r="K23" s="4">
        <v>42</v>
      </c>
      <c r="L23" s="4">
        <v>0</v>
      </c>
      <c r="M23" s="5">
        <v>1.1747213583690334E-8</v>
      </c>
      <c r="N23" s="5">
        <f t="shared" si="0"/>
        <v>1.8242997026938244E-9</v>
      </c>
      <c r="O23" s="6">
        <v>2.5309717956863414E-9</v>
      </c>
      <c r="P23" s="6">
        <v>2.3407764492898838E-5</v>
      </c>
      <c r="Q23" s="6">
        <v>2.0999067667156451E-5</v>
      </c>
      <c r="R23" s="6">
        <v>2.3880602475648454E-9</v>
      </c>
    </row>
    <row r="24" spans="10:18">
      <c r="J24" s="1">
        <v>22</v>
      </c>
      <c r="K24" s="4">
        <v>44</v>
      </c>
      <c r="L24" s="4">
        <v>0</v>
      </c>
      <c r="M24" s="5">
        <v>6.0554020816100939E-8</v>
      </c>
      <c r="N24" s="5">
        <f t="shared" si="0"/>
        <v>1.3970713350862492E-8</v>
      </c>
      <c r="O24" s="6">
        <v>1.2722352913728187E-8</v>
      </c>
      <c r="P24" s="6">
        <v>5.7828154313816793E-5</v>
      </c>
      <c r="Q24" s="6">
        <v>5.1084435161721125E-5</v>
      </c>
      <c r="R24" s="6">
        <v>1.251421006950886E-8</v>
      </c>
    </row>
    <row r="25" spans="10:18">
      <c r="J25" s="1">
        <v>23</v>
      </c>
      <c r="K25" s="4">
        <v>46</v>
      </c>
      <c r="L25" s="4">
        <v>0</v>
      </c>
      <c r="M25" s="5">
        <v>2.8002773172814576E-7</v>
      </c>
      <c r="N25" s="5">
        <f t="shared" si="0"/>
        <v>8.8771985901954796E-8</v>
      </c>
      <c r="O25" s="6">
        <v>5.7297288384834033E-8</v>
      </c>
      <c r="P25" s="6">
        <v>1.3240213521709696E-4</v>
      </c>
      <c r="Q25" s="6">
        <v>1.1545690972022434E-4</v>
      </c>
      <c r="R25" s="6">
        <v>5.8496100111616994E-8</v>
      </c>
    </row>
    <row r="26" spans="10:18">
      <c r="J26" s="1">
        <v>24</v>
      </c>
      <c r="K26" s="4">
        <v>48</v>
      </c>
      <c r="L26" s="4">
        <v>0</v>
      </c>
      <c r="M26" s="5">
        <v>1.168542195932668E-6</v>
      </c>
      <c r="N26" s="5">
        <f t="shared" si="0"/>
        <v>4.7763169975743993E-7</v>
      </c>
      <c r="O26" s="6">
        <v>2.3254312982911199E-7</v>
      </c>
      <c r="P26" s="6">
        <v>2.828761727001285E-4</v>
      </c>
      <c r="Q26" s="6">
        <v>2.4401169632162238E-4</v>
      </c>
      <c r="R26" s="6">
        <v>2.453741787817257E-7</v>
      </c>
    </row>
    <row r="27" spans="10:18">
      <c r="J27" s="1">
        <v>25</v>
      </c>
      <c r="K27" s="4">
        <v>50</v>
      </c>
      <c r="L27" s="4">
        <v>0</v>
      </c>
      <c r="M27" s="5">
        <v>4.4249463993535491E-6</v>
      </c>
      <c r="N27" s="5">
        <f t="shared" si="0"/>
        <v>2.2144978938359991E-6</v>
      </c>
      <c r="O27" s="6">
        <v>8.5524982188859132E-7</v>
      </c>
      <c r="P27" s="6">
        <v>5.6745625939128724E-4</v>
      </c>
      <c r="Q27" s="6">
        <v>4.8507944256955926E-4</v>
      </c>
      <c r="R27" s="6">
        <v>9.2904221520028428E-7</v>
      </c>
    </row>
    <row r="28" spans="10:18">
      <c r="J28" s="1">
        <v>26</v>
      </c>
      <c r="K28" s="4">
        <v>52</v>
      </c>
      <c r="L28" s="4">
        <v>0</v>
      </c>
      <c r="M28" s="5">
        <v>1.5287482192303919E-5</v>
      </c>
      <c r="N28" s="5">
        <f t="shared" si="0"/>
        <v>8.9829114202776179E-6</v>
      </c>
      <c r="O28" s="6">
        <v>2.8656967880624489E-6</v>
      </c>
      <c r="P28" s="6">
        <v>1.0748167958096546E-3</v>
      </c>
      <c r="Q28" s="6">
        <v>9.1187890820879016E-4</v>
      </c>
      <c r="R28" s="6">
        <v>3.192959088179189E-6</v>
      </c>
    </row>
    <row r="29" spans="10:18">
      <c r="J29" s="1">
        <v>27</v>
      </c>
      <c r="K29" s="4">
        <v>54</v>
      </c>
      <c r="L29" s="4">
        <v>0</v>
      </c>
      <c r="M29" s="5">
        <v>4.8438149616589388E-5</v>
      </c>
      <c r="N29" s="5">
        <f t="shared" si="0"/>
        <v>3.2305009845541533E-5</v>
      </c>
      <c r="O29" s="6">
        <v>8.7934563300850459E-6</v>
      </c>
      <c r="P29" s="6">
        <v>1.9319636786185596E-3</v>
      </c>
      <c r="Q29" s="6">
        <v>1.6288250102857696E-3</v>
      </c>
      <c r="R29" s="6">
        <v>1.0015516625744881E-5</v>
      </c>
    </row>
    <row r="30" spans="10:18">
      <c r="J30" s="1">
        <v>28</v>
      </c>
      <c r="K30" s="4">
        <v>56</v>
      </c>
      <c r="L30" s="4">
        <v>0</v>
      </c>
      <c r="M30" s="5">
        <v>1.4146230453167418E-4</v>
      </c>
      <c r="N30" s="5">
        <f t="shared" si="0"/>
        <v>1.0420191214526855E-4</v>
      </c>
      <c r="O30" s="6">
        <v>2.4833935410589716E-5</v>
      </c>
      <c r="P30" s="6">
        <v>3.3106187739334355E-3</v>
      </c>
      <c r="Q30" s="6">
        <v>2.7766204118528683E-3</v>
      </c>
      <c r="R30" s="6">
        <v>2.8825111675702651E-5</v>
      </c>
    </row>
    <row r="31" spans="10:18">
      <c r="J31" s="1">
        <v>29</v>
      </c>
      <c r="K31" s="4">
        <v>58</v>
      </c>
      <c r="L31" s="4">
        <v>0</v>
      </c>
      <c r="M31" s="5">
        <v>3.8264293422298471E-4</v>
      </c>
      <c r="N31" s="5">
        <f t="shared" si="0"/>
        <v>3.0456287098686377E-4</v>
      </c>
      <c r="O31" s="6">
        <v>6.4859561849831996E-5</v>
      </c>
      <c r="P31" s="6">
        <v>5.4306995795183229E-3</v>
      </c>
      <c r="Q31" s="6">
        <v>4.5349820775147948E-3</v>
      </c>
      <c r="R31" s="6">
        <v>7.6507706762930655E-5</v>
      </c>
    </row>
    <row r="32" spans="10:18">
      <c r="J32" s="1">
        <v>30</v>
      </c>
      <c r="K32" s="4">
        <v>60</v>
      </c>
      <c r="L32" s="4">
        <v>0</v>
      </c>
      <c r="M32" s="5">
        <v>9.6308600074236563E-4</v>
      </c>
      <c r="N32" s="5">
        <f t="shared" si="0"/>
        <v>8.139652850463891E-4</v>
      </c>
      <c r="O32" s="6">
        <v>1.5738112517821692E-4</v>
      </c>
      <c r="P32" s="6">
        <v>8.5596529901942765E-3</v>
      </c>
      <c r="Q32" s="6">
        <v>7.1219992643420495E-3</v>
      </c>
      <c r="R32" s="6">
        <v>1.8819823694429458E-4</v>
      </c>
    </row>
    <row r="33" spans="10:18">
      <c r="J33" s="1">
        <v>31</v>
      </c>
      <c r="K33" s="4">
        <v>62</v>
      </c>
      <c r="L33" s="4">
        <v>0</v>
      </c>
      <c r="M33" s="5">
        <v>2.2656529191287258E-3</v>
      </c>
      <c r="N33" s="5">
        <f t="shared" si="0"/>
        <v>2.0052025005018251E-3</v>
      </c>
      <c r="O33" s="6">
        <v>3.5637741633169184E-4</v>
      </c>
      <c r="P33" s="6">
        <v>1.300685080539769E-2</v>
      </c>
      <c r="Q33" s="6">
        <v>1.0789477026180029E-2</v>
      </c>
      <c r="R33" s="6">
        <v>4.3108144960674164E-4</v>
      </c>
    </row>
    <row r="34" spans="10:18">
      <c r="J34" s="1">
        <v>32</v>
      </c>
      <c r="K34" s="4">
        <v>64</v>
      </c>
      <c r="L34" s="4">
        <v>0</v>
      </c>
      <c r="M34" s="5">
        <v>5.0030663952406436E-3</v>
      </c>
      <c r="N34" s="5">
        <f t="shared" si="0"/>
        <v>4.5862166887150752E-3</v>
      </c>
      <c r="O34" s="6">
        <v>7.5630246995005796E-4</v>
      </c>
      <c r="P34" s="6">
        <v>1.9112887323807226E-2</v>
      </c>
      <c r="Q34" s="6">
        <v>1.5814128278877494E-2</v>
      </c>
      <c r="R34" s="6">
        <v>9.2365192790442089E-4</v>
      </c>
    </row>
    <row r="35" spans="10:18">
      <c r="J35" s="1">
        <v>33</v>
      </c>
      <c r="K35" s="4">
        <v>66</v>
      </c>
      <c r="L35" s="4">
        <v>0</v>
      </c>
      <c r="M35" s="5">
        <v>1.0412852416255015E-2</v>
      </c>
      <c r="N35" s="5">
        <f t="shared" si="0"/>
        <v>9.8014708990293298E-3</v>
      </c>
      <c r="O35" s="6">
        <v>1.5103479880940872E-3</v>
      </c>
      <c r="P35" s="6">
        <v>2.7234315543383892E-2</v>
      </c>
      <c r="Q35" s="6">
        <v>2.2485042420567886E-2</v>
      </c>
      <c r="R35" s="6">
        <v>1.8592870663584856E-3</v>
      </c>
    </row>
    <row r="36" spans="10:18">
      <c r="J36" s="1">
        <v>34</v>
      </c>
      <c r="K36" s="4">
        <v>68</v>
      </c>
      <c r="L36" s="4">
        <v>0</v>
      </c>
      <c r="M36" s="5">
        <v>2.0506313934113923E-2</v>
      </c>
      <c r="N36" s="5">
        <f t="shared" si="0"/>
        <v>1.9687169983491071E-2</v>
      </c>
      <c r="O36" s="6">
        <v>2.8493253727151077E-3</v>
      </c>
      <c r="P36" s="6">
        <v>3.77249893012684E-2</v>
      </c>
      <c r="Q36" s="6">
        <v>3.1088375330889113E-2</v>
      </c>
      <c r="R36" s="6">
        <v>3.5307580563708322E-3</v>
      </c>
    </row>
    <row r="37" spans="10:18">
      <c r="J37" s="1">
        <v>35</v>
      </c>
      <c r="K37" s="4">
        <v>70</v>
      </c>
      <c r="L37" s="4">
        <v>0</v>
      </c>
      <c r="M37" s="5">
        <v>3.8353211403568746E-2</v>
      </c>
      <c r="N37" s="5">
        <f t="shared" si="0"/>
        <v>3.7359440651769993E-2</v>
      </c>
      <c r="O37" s="6">
        <v>5.0967943605067139E-3</v>
      </c>
      <c r="P37" s="6">
        <v>5.0915637341290676E-2</v>
      </c>
      <c r="Q37" s="6">
        <v>4.1890586062971372E-2</v>
      </c>
      <c r="R37" s="6">
        <v>6.3500471990295066E-3</v>
      </c>
    </row>
    <row r="38" spans="10:18">
      <c r="J38" s="1">
        <v>36</v>
      </c>
      <c r="K38" s="4">
        <v>72</v>
      </c>
      <c r="L38" s="4">
        <v>0</v>
      </c>
      <c r="M38" s="5">
        <v>6.8366351210363857E-2</v>
      </c>
      <c r="N38" s="5">
        <f t="shared" si="0"/>
        <v>6.7297256549429418E-2</v>
      </c>
      <c r="O38" s="6">
        <v>8.674983735857034E-3</v>
      </c>
      <c r="P38" s="6">
        <v>6.7093517198530739E-2</v>
      </c>
      <c r="Q38" s="6">
        <v>5.5121734499412808E-2</v>
      </c>
      <c r="R38" s="6">
        <v>1.0856446367080323E-2</v>
      </c>
    </row>
    <row r="39" spans="10:18">
      <c r="J39" s="1">
        <v>37</v>
      </c>
      <c r="K39" s="4">
        <v>74</v>
      </c>
      <c r="L39" s="4">
        <v>0</v>
      </c>
      <c r="M39" s="5">
        <v>0.11653584021828281</v>
      </c>
      <c r="N39" s="5">
        <f t="shared" si="0"/>
        <v>0.11556871246050759</v>
      </c>
      <c r="O39" s="6">
        <v>1.4096279746250818E-2</v>
      </c>
      <c r="P39" s="6">
        <v>8.6483966495523368E-2</v>
      </c>
      <c r="Q39" s="6">
        <v>7.0960336278386396E-2</v>
      </c>
      <c r="R39" s="6">
        <v>1.7706226175402726E-2</v>
      </c>
    </row>
    <row r="40" spans="10:18">
      <c r="J40" s="1">
        <v>38</v>
      </c>
      <c r="K40" s="4">
        <v>76</v>
      </c>
      <c r="L40" s="4">
        <v>0</v>
      </c>
      <c r="M40" s="5">
        <v>0.19055670561792035</v>
      </c>
      <c r="N40" s="5">
        <f t="shared" si="0"/>
        <v>0.18994520352937494</v>
      </c>
      <c r="O40" s="6">
        <v>2.1936926366095288E-2</v>
      </c>
      <c r="P40" s="6">
        <v>0.10923541538082825</v>
      </c>
      <c r="Q40" s="6">
        <v>8.9521067748659158E-2</v>
      </c>
      <c r="R40" s="6">
        <v>2.7639590031120615E-2</v>
      </c>
    </row>
    <row r="41" spans="10:18">
      <c r="J41" s="1">
        <v>39</v>
      </c>
      <c r="K41" s="4">
        <v>78</v>
      </c>
      <c r="L41" s="4">
        <v>0</v>
      </c>
      <c r="M41" s="5">
        <v>0.29979963926572611</v>
      </c>
      <c r="N41" s="5">
        <f t="shared" si="0"/>
        <v>0.29985610463308454</v>
      </c>
      <c r="O41" s="6">
        <v>3.2792874616037443E-2</v>
      </c>
      <c r="P41" s="6">
        <v>0.13540900610310316</v>
      </c>
      <c r="Q41" s="6">
        <v>0.11084627264833334</v>
      </c>
      <c r="R41" s="6">
        <v>4.1424858482587229E-2</v>
      </c>
    </row>
    <row r="42" spans="10:18">
      <c r="J42" s="1">
        <v>40</v>
      </c>
      <c r="K42" s="4">
        <v>80</v>
      </c>
      <c r="L42" s="4">
        <v>0</v>
      </c>
      <c r="M42" s="5">
        <v>0.45509332595625035</v>
      </c>
      <c r="N42" s="5">
        <f t="shared" si="0"/>
        <v>0.45615635982011149</v>
      </c>
      <c r="O42" s="6">
        <v>4.7221681161481129E-2</v>
      </c>
      <c r="P42" s="6">
        <v>0.1649734588305041</v>
      </c>
      <c r="Q42" s="6">
        <v>0.13490180529424189</v>
      </c>
      <c r="R42" s="6">
        <v>5.9784879428052128E-2</v>
      </c>
    </row>
    <row r="43" spans="10:18">
      <c r="J43" s="1">
        <v>41</v>
      </c>
      <c r="K43" s="4">
        <v>82</v>
      </c>
      <c r="L43" s="4">
        <v>0</v>
      </c>
      <c r="M43" s="5">
        <v>0.66831497309454324</v>
      </c>
      <c r="N43" s="5">
        <f t="shared" si="0"/>
        <v>0.67070732469980854</v>
      </c>
      <c r="O43" s="6">
        <v>6.5677922612835768E-2</v>
      </c>
      <c r="P43" s="6">
        <v>0.19780530164126442</v>
      </c>
      <c r="Q43" s="6">
        <v>0.16157731484810486</v>
      </c>
      <c r="R43" s="6">
        <v>8.3315166498488816E-2</v>
      </c>
    </row>
    <row r="44" spans="10:18">
      <c r="J44" s="1">
        <v>42</v>
      </c>
      <c r="K44" s="4">
        <v>84</v>
      </c>
      <c r="L44" s="4">
        <v>0</v>
      </c>
      <c r="M44" s="5">
        <v>0.95181723131057627</v>
      </c>
      <c r="N44" s="5">
        <f t="shared" si="0"/>
        <v>0.95580132769995352</v>
      </c>
      <c r="O44" s="6">
        <v>8.8451746769961731E-2</v>
      </c>
      <c r="P44" s="6">
        <v>0.23369411084780381</v>
      </c>
      <c r="Q44" s="6">
        <v>0.1906906851161384</v>
      </c>
      <c r="R44" s="6">
        <v>0.11240596079555043</v>
      </c>
    </row>
    <row r="45" spans="10:18">
      <c r="J45" s="1">
        <v>43</v>
      </c>
      <c r="K45" s="4">
        <v>86</v>
      </c>
      <c r="L45" s="4">
        <v>0</v>
      </c>
      <c r="M45" s="5">
        <v>1.3177475971893169</v>
      </c>
      <c r="N45" s="5">
        <f t="shared" si="0"/>
        <v>1.3234862974145862</v>
      </c>
      <c r="O45" s="6">
        <v>0.11562031030834174</v>
      </c>
      <c r="P45" s="6">
        <v>0.27235203139871839</v>
      </c>
      <c r="Q45" s="6">
        <v>0.22199603260828735</v>
      </c>
      <c r="R45" s="6">
        <v>0.14718053537649087</v>
      </c>
    </row>
    <row r="46" spans="10:18">
      <c r="J46" s="1">
        <v>44</v>
      </c>
      <c r="K46" s="4">
        <v>88</v>
      </c>
      <c r="L46" s="4">
        <v>0</v>
      </c>
      <c r="M46" s="5">
        <v>1.7773345697251925</v>
      </c>
      <c r="N46" s="5">
        <f t="shared" si="0"/>
        <v>1.78486329032825</v>
      </c>
      <c r="O46" s="6">
        <v>0.14701992954651852</v>
      </c>
      <c r="P46" s="6">
        <v>0.31342659174745052</v>
      </c>
      <c r="Q46" s="6">
        <v>0.25519445322199003</v>
      </c>
      <c r="R46" s="6">
        <v>0.18745959665277701</v>
      </c>
    </row>
    <row r="47" spans="10:18">
      <c r="J47" s="1">
        <v>45</v>
      </c>
      <c r="K47" s="4">
        <v>90</v>
      </c>
      <c r="L47" s="4">
        <v>0</v>
      </c>
      <c r="M47" s="5">
        <v>2.3402198611316662</v>
      </c>
      <c r="N47" s="5">
        <f t="shared" si="0"/>
        <v>2.3494341850316296</v>
      </c>
      <c r="O47" s="6">
        <v>0.18224333245192104</v>
      </c>
      <c r="P47" s="6">
        <v>0.35651569973481778</v>
      </c>
      <c r="Q47" s="6">
        <v>0.28994659971090919</v>
      </c>
      <c r="R47" s="6">
        <v>0.23275724858709471</v>
      </c>
    </row>
    <row r="48" spans="10:18">
      <c r="J48" s="1">
        <v>46</v>
      </c>
      <c r="K48" s="4">
        <v>92</v>
      </c>
      <c r="L48" s="4">
        <v>0</v>
      </c>
      <c r="M48" s="5">
        <v>3.0139076707286923</v>
      </c>
      <c r="N48" s="5">
        <f t="shared" si="0"/>
        <v>3.0245693680775005</v>
      </c>
      <c r="O48" s="6">
        <v>0.22066231832569777</v>
      </c>
      <c r="P48" s="6">
        <v>0.40118369614261995</v>
      </c>
      <c r="Q48" s="6">
        <v>0.32588615981679375</v>
      </c>
      <c r="R48" s="6">
        <v>0.28230876832116253</v>
      </c>
    </row>
    <row r="49" spans="10:18">
      <c r="J49" s="1">
        <v>47</v>
      </c>
      <c r="K49" s="4">
        <v>94</v>
      </c>
      <c r="L49" s="4">
        <v>0</v>
      </c>
      <c r="M49" s="5">
        <v>3.8033831493922849</v>
      </c>
      <c r="N49" s="5">
        <f t="shared" si="0"/>
        <v>3.8151484910708291</v>
      </c>
      <c r="O49" s="6">
        <v>0.26147231021054779</v>
      </c>
      <c r="P49" s="6">
        <v>0.4469774296466314</v>
      </c>
      <c r="Q49" s="6">
        <v>0.36263337150031782</v>
      </c>
      <c r="R49" s="6">
        <v>0.33512556677257627</v>
      </c>
    </row>
    <row r="50" spans="10:18">
      <c r="J50" s="1">
        <v>48</v>
      </c>
      <c r="K50" s="4">
        <v>96</v>
      </c>
      <c r="L50" s="4">
        <v>0</v>
      </c>
      <c r="M50" s="5">
        <v>4.7109272716747768</v>
      </c>
      <c r="N50" s="5">
        <f t="shared" si="0"/>
        <v>4.7234053100201905</v>
      </c>
      <c r="O50" s="6">
        <v>0.30375240870138259</v>
      </c>
      <c r="P50" s="6">
        <v>0.49344147356508583</v>
      </c>
      <c r="Q50" s="6">
        <v>0.39980783541846537</v>
      </c>
      <c r="R50" s="6">
        <v>0.39006910978967979</v>
      </c>
    </row>
    <row r="51" spans="10:18">
      <c r="J51" s="1">
        <v>49</v>
      </c>
      <c r="K51" s="4">
        <v>98</v>
      </c>
      <c r="L51" s="4">
        <v>0</v>
      </c>
      <c r="M51" s="5">
        <v>5.7361294449367133</v>
      </c>
      <c r="N51" s="5">
        <f t="shared" si="0"/>
        <v>5.7489146267422626</v>
      </c>
      <c r="O51" s="6">
        <v>0.34653298523963311</v>
      </c>
      <c r="P51" s="6">
        <v>0.54013180209816047</v>
      </c>
      <c r="Q51" s="6">
        <v>0.43704004304840838</v>
      </c>
      <c r="R51" s="6">
        <v>0.44593376502940391</v>
      </c>
    </row>
    <row r="52" spans="10:18">
      <c r="J52" s="1">
        <v>50</v>
      </c>
      <c r="K52" s="4">
        <v>100</v>
      </c>
      <c r="L52" s="4">
        <v>0</v>
      </c>
      <c r="M52" s="5">
        <v>6.8760766824844906</v>
      </c>
      <c r="N52" s="5">
        <f t="shared" si="0"/>
        <v>6.8887182220808114</v>
      </c>
      <c r="O52" s="6">
        <v>0.38911034920044441</v>
      </c>
      <c r="P52" s="6">
        <v>0.58639016383841069</v>
      </c>
      <c r="Q52" s="6">
        <v>0.47398121087612111</v>
      </c>
      <c r="R52" s="6">
        <v>0.5015285650430773</v>
      </c>
    </row>
    <row r="53" spans="10:18">
      <c r="J53" s="1">
        <v>51</v>
      </c>
      <c r="K53" s="4">
        <v>102</v>
      </c>
      <c r="L53" s="4">
        <v>2</v>
      </c>
      <c r="M53" s="5">
        <v>8.1256819690280224</v>
      </c>
      <c r="N53" s="5">
        <f t="shared" si="0"/>
        <v>8.1378429106297432</v>
      </c>
      <c r="O53" s="6">
        <v>0.4310957607556305</v>
      </c>
      <c r="P53" s="6">
        <v>0.63133979370546145</v>
      </c>
      <c r="Q53" s="6">
        <v>0.51031117967778172</v>
      </c>
      <c r="R53" s="6">
        <v>0.55574941093105479</v>
      </c>
    </row>
    <row r="54" spans="10:18">
      <c r="J54" s="1">
        <v>52</v>
      </c>
      <c r="K54" s="4">
        <v>104</v>
      </c>
      <c r="L54" s="4">
        <v>4</v>
      </c>
      <c r="M54" s="5">
        <v>9.4781057731176528</v>
      </c>
      <c r="N54" s="5">
        <f t="shared" si="0"/>
        <v>9.4894820162950069</v>
      </c>
      <c r="O54" s="6">
        <v>0.47214110105950752</v>
      </c>
      <c r="P54" s="6">
        <v>0.67422208742500656</v>
      </c>
      <c r="Q54" s="6">
        <v>0.54574429038735817</v>
      </c>
      <c r="R54" s="6">
        <v>0.60763573638663837</v>
      </c>
    </row>
    <row r="55" spans="10:18">
      <c r="J55" s="1">
        <v>53</v>
      </c>
      <c r="K55" s="4">
        <v>106</v>
      </c>
      <c r="L55" s="4">
        <v>6</v>
      </c>
      <c r="M55" s="5">
        <v>10.925223211421688</v>
      </c>
      <c r="N55" s="5">
        <f t="shared" si="0"/>
        <v>10.935584394802987</v>
      </c>
      <c r="O55" s="6">
        <v>0.51194357001037283</v>
      </c>
      <c r="P55" s="6">
        <v>0.71442685310344722</v>
      </c>
      <c r="Q55" s="6">
        <v>0.58003327616356359</v>
      </c>
      <c r="R55" s="6">
        <v>0.65640850821905172</v>
      </c>
    </row>
    <row r="56" spans="10:18">
      <c r="J56" s="1">
        <v>54</v>
      </c>
      <c r="K56" s="4">
        <v>108</v>
      </c>
      <c r="L56" s="4">
        <v>8</v>
      </c>
      <c r="M56" s="5">
        <v>12.458093759675656</v>
      </c>
      <c r="N56" s="5">
        <f t="shared" si="0"/>
        <v>12.467296157216609</v>
      </c>
      <c r="O56" s="6">
        <v>0.55024824743658363</v>
      </c>
      <c r="P56" s="6">
        <v>0.75150666801725119</v>
      </c>
      <c r="Q56" s="6">
        <v>0.61297130995238414</v>
      </c>
      <c r="R56" s="6">
        <v>0.70148913479160235</v>
      </c>
    </row>
    <row r="57" spans="10:18">
      <c r="J57" s="1">
        <v>55</v>
      </c>
      <c r="K57" s="4">
        <v>110</v>
      </c>
      <c r="L57" s="4">
        <v>10</v>
      </c>
      <c r="M57" s="5">
        <v>14.067398697316614</v>
      </c>
      <c r="N57" s="5">
        <f t="shared" si="0"/>
        <v>14.075380149176652</v>
      </c>
      <c r="O57" s="6">
        <v>0.58684873828893591</v>
      </c>
      <c r="P57" s="6">
        <v>0.78517713011183032</v>
      </c>
      <c r="Q57" s="6">
        <v>0.64439241737360575</v>
      </c>
      <c r="R57" s="6">
        <v>0.74250102400598983</v>
      </c>
    </row>
    <row r="58" spans="10:18">
      <c r="J58" s="1">
        <v>56</v>
      </c>
      <c r="K58" s="4">
        <v>112</v>
      </c>
      <c r="L58" s="4">
        <v>12</v>
      </c>
      <c r="M58" s="5">
        <v>15.743821655874514</v>
      </c>
      <c r="N58" s="5">
        <f t="shared" si="0"/>
        <v>15.750588470135213</v>
      </c>
      <c r="O58" s="6">
        <v>0.62158617892061474</v>
      </c>
      <c r="P58" s="6">
        <v>0.81530583411294988</v>
      </c>
      <c r="Q58" s="6">
        <v>0.67417050794410804</v>
      </c>
      <c r="R58" s="6">
        <v>0.77925699400451787</v>
      </c>
    </row>
    <row r="59" spans="10:18">
      <c r="J59" s="1">
        <v>57</v>
      </c>
      <c r="K59" s="4">
        <v>114</v>
      </c>
      <c r="L59" s="4">
        <v>14</v>
      </c>
      <c r="M59" s="5">
        <v>17.478357978069599</v>
      </c>
      <c r="N59" s="5">
        <f t="shared" si="0"/>
        <v>17.483969057349725</v>
      </c>
      <c r="O59" s="6">
        <v>0.65434691113661669</v>
      </c>
      <c r="P59" s="6">
        <v>0.84189335521493158</v>
      </c>
      <c r="Q59" s="6">
        <v>0.70221729695399615</v>
      </c>
      <c r="R59" s="6">
        <v>0.81173647045117925</v>
      </c>
    </row>
    <row r="60" spans="10:18">
      <c r="J60" s="1">
        <v>58</v>
      </c>
      <c r="K60" s="4">
        <v>116</v>
      </c>
      <c r="L60" s="4">
        <v>16</v>
      </c>
      <c r="M60" s="5">
        <v>19.262547813644169</v>
      </c>
      <c r="N60" s="5">
        <f t="shared" si="0"/>
        <v>19.267098798317889</v>
      </c>
      <c r="O60" s="6">
        <v>0.68505913709111188</v>
      </c>
      <c r="P60" s="6">
        <v>0.8650495021057536</v>
      </c>
      <c r="Q60" s="6">
        <v>0.72847939010710805</v>
      </c>
      <c r="R60" s="6">
        <v>0.84005649919718806</v>
      </c>
    </row>
    <row r="61" spans="10:18">
      <c r="J61" s="1">
        <v>59</v>
      </c>
      <c r="K61" s="4">
        <v>118</v>
      </c>
      <c r="L61" s="4">
        <v>18</v>
      </c>
      <c r="M61" s="5">
        <v>21.088635223765468</v>
      </c>
      <c r="N61" s="5">
        <f t="shared" si="0"/>
        <v>21.092244136402059</v>
      </c>
      <c r="O61" s="6">
        <v>0.71368885589575537</v>
      </c>
      <c r="P61" s="6">
        <v>0.88496774192008687</v>
      </c>
      <c r="Q61" s="6">
        <v>0.75293478799002789</v>
      </c>
      <c r="R61" s="6">
        <v>0.86444022333162129</v>
      </c>
    </row>
    <row r="62" spans="10:18">
      <c r="J62" s="1">
        <v>60</v>
      </c>
      <c r="K62" s="4">
        <v>120</v>
      </c>
      <c r="L62" s="4">
        <v>20</v>
      </c>
      <c r="M62" s="5">
        <v>22.949660748211301</v>
      </c>
      <c r="N62" s="5">
        <f t="shared" si="0"/>
        <v>22.952455889941064</v>
      </c>
      <c r="O62" s="6">
        <v>0.74023535688709818</v>
      </c>
      <c r="P62" s="6">
        <v>0.90190013818387538</v>
      </c>
      <c r="Q62" s="6">
        <v>0.77558904204410084</v>
      </c>
      <c r="R62" s="6">
        <v>0.88518579971034217</v>
      </c>
    </row>
    <row r="63" spans="10:18">
      <c r="J63" s="1">
        <v>61</v>
      </c>
      <c r="K63" s="4">
        <v>122</v>
      </c>
      <c r="L63" s="4">
        <v>22</v>
      </c>
      <c r="M63" s="5">
        <v>24.839497975829232</v>
      </c>
      <c r="N63" s="5">
        <f t="shared" si="0"/>
        <v>24.841608373259191</v>
      </c>
      <c r="O63" s="6">
        <v>0.76472650963311162</v>
      </c>
      <c r="P63" s="6">
        <v>0.91613449856580942</v>
      </c>
      <c r="Q63" s="6">
        <v>0.79647126201520735</v>
      </c>
      <c r="R63" s="6">
        <v>0.90263792821495514</v>
      </c>
    </row>
    <row r="64" spans="10:18">
      <c r="J64" s="1">
        <v>62</v>
      </c>
      <c r="K64" s="4">
        <v>124</v>
      </c>
      <c r="L64" s="4">
        <v>24</v>
      </c>
      <c r="M64" s="5">
        <v>26.752845947776809</v>
      </c>
      <c r="N64" s="5">
        <f t="shared" si="0"/>
        <v>26.754394347614507</v>
      </c>
      <c r="O64" s="6">
        <v>0.78721405116105536</v>
      </c>
      <c r="P64" s="6">
        <v>0.92797479664072879</v>
      </c>
      <c r="Q64" s="6">
        <v>0.8156301402372842</v>
      </c>
      <c r="R64" s="6">
        <v>0.91716336881723348</v>
      </c>
    </row>
    <row r="65" spans="10:18">
      <c r="J65" s="1">
        <v>63</v>
      </c>
      <c r="K65" s="4">
        <v>126</v>
      </c>
      <c r="L65" s="4">
        <v>26</v>
      </c>
      <c r="M65" s="5">
        <v>28.685189128418195</v>
      </c>
      <c r="N65" s="5">
        <f t="shared" si="0"/>
        <v>28.686287333137415</v>
      </c>
      <c r="O65" s="6">
        <v>0.80776903004950096</v>
      </c>
      <c r="P65" s="6">
        <v>0.93772537587361038</v>
      </c>
      <c r="Q65" s="6">
        <v>0.83313012325041835</v>
      </c>
      <c r="R65" s="6">
        <v>0.92913111647347579</v>
      </c>
    </row>
    <row r="66" spans="10:18">
      <c r="J66" s="1">
        <v>64</v>
      </c>
      <c r="K66" s="4">
        <v>128</v>
      </c>
      <c r="L66" s="4">
        <v>28</v>
      </c>
      <c r="M66" s="5">
        <v>30.632735636795058</v>
      </c>
      <c r="N66" s="5">
        <f t="shared" si="0"/>
        <v>30.633481847385454</v>
      </c>
      <c r="O66" s="6">
        <v>0.82647752761546722</v>
      </c>
      <c r="P66" s="6">
        <v>0.94567900087475043</v>
      </c>
      <c r="Q66" s="6">
        <v>0.84904782814675517</v>
      </c>
      <c r="R66" s="6">
        <v>0.93889734093035593</v>
      </c>
    </row>
    <row r="67" spans="10:18">
      <c r="J67" s="1">
        <v>65</v>
      </c>
      <c r="K67" s="4">
        <v>130</v>
      </c>
      <c r="L67" s="4">
        <v>30</v>
      </c>
      <c r="M67" s="5">
        <v>32.592342839061018</v>
      </c>
      <c r="N67" s="5">
        <f t="shared" si="0"/>
        <v>32.59282060803946</v>
      </c>
      <c r="O67" s="6">
        <v>0.84343674031186211</v>
      </c>
      <c r="P67" s="6">
        <v>0.95210850242393086</v>
      </c>
      <c r="Q67" s="6">
        <v>0.86346877102414166</v>
      </c>
      <c r="R67" s="6">
        <v>0.94679479338202444</v>
      </c>
    </row>
    <row r="68" spans="10:18">
      <c r="J68" s="1">
        <v>66</v>
      </c>
      <c r="K68" s="4">
        <v>132</v>
      </c>
      <c r="L68" s="4">
        <v>32</v>
      </c>
      <c r="M68" s="5">
        <v>34.561437582074426</v>
      </c>
      <c r="N68" s="5">
        <f t="shared" ref="N68:N102" si="1">CallOption(K68,$B$2,0,$B$1,$B$9,$C$9)</f>
        <v>34.561715969495623</v>
      </c>
      <c r="O68" s="6">
        <v>0.85875147578470512</v>
      </c>
      <c r="P68" s="6">
        <v>0.95726156248515182</v>
      </c>
      <c r="Q68" s="6">
        <v>0.87648444880875931</v>
      </c>
      <c r="R68" s="6">
        <v>0.95312612645721095</v>
      </c>
    </row>
    <row r="69" spans="10:18">
      <c r="J69" s="1">
        <v>67</v>
      </c>
      <c r="K69" s="4">
        <v>134</v>
      </c>
      <c r="L69" s="4">
        <v>34</v>
      </c>
      <c r="M69" s="5">
        <v>36.537936537596181</v>
      </c>
      <c r="N69" s="5">
        <f t="shared" si="1"/>
        <v>36.538071091149845</v>
      </c>
      <c r="O69" s="6">
        <v>0.87253108838591631</v>
      </c>
      <c r="P69" s="6">
        <v>0.96135808582209947</v>
      </c>
      <c r="Q69" s="6">
        <v>0.88818979384183272</v>
      </c>
      <c r="R69" s="6">
        <v>0.95816044570960557</v>
      </c>
    </row>
    <row r="70" spans="10:18">
      <c r="J70" s="1">
        <v>68</v>
      </c>
      <c r="K70" s="4">
        <v>136</v>
      </c>
      <c r="L70" s="4">
        <v>36</v>
      </c>
      <c r="M70" s="5">
        <v>38.520170480070419</v>
      </c>
      <c r="N70" s="5">
        <f t="shared" si="1"/>
        <v>38.520204713418394</v>
      </c>
      <c r="O70" s="6">
        <v>0.8848868584000843</v>
      </c>
      <c r="P70" s="6">
        <v>0.96458958302547593</v>
      </c>
      <c r="Q70" s="6">
        <v>0.89868100303110809</v>
      </c>
      <c r="R70" s="6">
        <v>0.962132380635358</v>
      </c>
    </row>
    <row r="71" spans="10:18">
      <c r="J71" s="1">
        <v>69</v>
      </c>
      <c r="K71" s="4">
        <v>138</v>
      </c>
      <c r="L71" s="4">
        <v>38</v>
      </c>
      <c r="M71" s="5">
        <v>40.506814923799844</v>
      </c>
      <c r="N71" s="5">
        <f t="shared" si="1"/>
        <v>40.506782032316707</v>
      </c>
      <c r="O71" s="6">
        <v>0.89592980259786148</v>
      </c>
      <c r="P71" s="6">
        <v>0.96712002229387461</v>
      </c>
      <c r="Q71" s="6">
        <v>0.90805372982197941</v>
      </c>
      <c r="R71" s="6">
        <v>0.96524300162118915</v>
      </c>
    </row>
    <row r="72" spans="10:18">
      <c r="J72" s="1">
        <v>70</v>
      </c>
      <c r="K72" s="4">
        <v>140</v>
      </c>
      <c r="L72" s="4">
        <v>40</v>
      </c>
      <c r="M72" s="5">
        <v>42.49682842891189</v>
      </c>
      <c r="N72" s="5">
        <f t="shared" si="1"/>
        <v>42.496753048744964</v>
      </c>
      <c r="O72" s="6">
        <v>0.90576889153379092</v>
      </c>
      <c r="P72" s="6">
        <v>0.96908767306858312</v>
      </c>
      <c r="Q72" s="6">
        <v>0.91640161736364001</v>
      </c>
      <c r="R72" s="6">
        <v>0.96766198961156136</v>
      </c>
    </row>
    <row r="73" spans="10:18">
      <c r="J73" s="1">
        <v>71</v>
      </c>
      <c r="K73" s="4">
        <v>142</v>
      </c>
      <c r="L73" s="4">
        <v>42</v>
      </c>
      <c r="M73" s="5">
        <v>44.489399044106122</v>
      </c>
      <c r="N73" s="5">
        <f t="shared" si="1"/>
        <v>44.489298921859856</v>
      </c>
      <c r="O73" s="6">
        <v>0.9145096406984452</v>
      </c>
      <c r="P73" s="6">
        <v>0.97060754647060576</v>
      </c>
      <c r="Q73" s="6">
        <v>0.92381514455974445</v>
      </c>
      <c r="R73" s="6">
        <v>0.96953056617283795</v>
      </c>
    </row>
    <row r="74" spans="10:18">
      <c r="J74" s="1">
        <v>72</v>
      </c>
      <c r="K74" s="4">
        <v>144</v>
      </c>
      <c r="L74" s="4">
        <v>44</v>
      </c>
      <c r="M74" s="5">
        <v>46.483898759219876</v>
      </c>
      <c r="N74" s="5">
        <f t="shared" si="1"/>
        <v>46.483786251463471</v>
      </c>
      <c r="O74" s="6">
        <v>0.92225303759807942</v>
      </c>
      <c r="P74" s="6">
        <v>0.97177412273191832</v>
      </c>
      <c r="Q74" s="6">
        <v>0.93038075269125875</v>
      </c>
      <c r="R74" s="6">
        <v>0.97096479711012207</v>
      </c>
    </row>
    <row r="75" spans="10:18">
      <c r="J75" s="1">
        <v>73</v>
      </c>
      <c r="K75" s="4">
        <v>146</v>
      </c>
      <c r="L75" s="4">
        <v>46</v>
      </c>
      <c r="M75" s="5">
        <v>48.479845452155722</v>
      </c>
      <c r="N75" s="5">
        <f t="shared" si="1"/>
        <v>48.479728814687334</v>
      </c>
      <c r="O75" s="6">
        <v>0.929094764454379</v>
      </c>
      <c r="P75" s="6">
        <v>0.97266413595663981</v>
      </c>
      <c r="Q75" s="6">
        <v>0.93618021847473154</v>
      </c>
      <c r="R75" s="6">
        <v>0.97205898219468623</v>
      </c>
    </row>
    <row r="76" spans="10:18">
      <c r="J76" s="1">
        <v>74</v>
      </c>
      <c r="K76" s="4">
        <v>148</v>
      </c>
      <c r="L76" s="4">
        <v>48</v>
      </c>
      <c r="M76" s="5">
        <v>50.476871589454099</v>
      </c>
      <c r="N76" s="5">
        <f t="shared" si="1"/>
        <v>50.47675604594555</v>
      </c>
      <c r="O76" s="6">
        <v>0.93512467591302639</v>
      </c>
      <c r="P76" s="6">
        <v>0.97333925663866683</v>
      </c>
      <c r="Q76" s="6">
        <v>0.94129023929565336</v>
      </c>
      <c r="R76" s="6">
        <v>0.9728889306497196</v>
      </c>
    </row>
    <row r="77" spans="10:18">
      <c r="J77" s="1">
        <v>75</v>
      </c>
      <c r="K77" s="4">
        <v>150</v>
      </c>
      <c r="L77" s="4">
        <v>50</v>
      </c>
      <c r="M77" s="5">
        <v>52.474698836647363</v>
      </c>
      <c r="N77" s="5">
        <f t="shared" si="1"/>
        <v>52.474587436175227</v>
      </c>
      <c r="O77" s="6">
        <v>0.94042649240117082</v>
      </c>
      <c r="P77" s="6">
        <v>0.97384857017798399</v>
      </c>
      <c r="Q77" s="6">
        <v>0.94578219750482473</v>
      </c>
      <c r="R77" s="6">
        <v>0.97351499399391939</v>
      </c>
    </row>
    <row r="78" spans="10:18">
      <c r="J78" s="1">
        <v>76</v>
      </c>
      <c r="K78" s="4">
        <v>152</v>
      </c>
      <c r="L78" s="4">
        <v>52</v>
      </c>
      <c r="M78" s="5">
        <v>54.473117717500713</v>
      </c>
      <c r="N78" s="5">
        <f t="shared" si="1"/>
        <v>54.473012002326854</v>
      </c>
      <c r="O78" s="6">
        <v>0.94507767212809701</v>
      </c>
      <c r="P78" s="6">
        <v>0.97423079488124431</v>
      </c>
      <c r="Q78" s="6">
        <v>0.94972207271330467</v>
      </c>
      <c r="R78" s="6">
        <v>0.97398478423851376</v>
      </c>
    </row>
    <row r="79" spans="10:18">
      <c r="J79" s="1">
        <v>77</v>
      </c>
      <c r="K79" s="4">
        <v>154</v>
      </c>
      <c r="L79" s="4">
        <v>54</v>
      </c>
      <c r="M79" s="5">
        <v>56.471971500766628</v>
      </c>
      <c r="N79" s="5">
        <f t="shared" si="1"/>
        <v>56.471872011486965</v>
      </c>
      <c r="O79" s="6">
        <v>0.94914942780087608</v>
      </c>
      <c r="P79" s="6">
        <v>0.97451621652969889</v>
      </c>
      <c r="Q79" s="6">
        <v>0.95317047365585461</v>
      </c>
      <c r="R79" s="6">
        <v>0.97433554738940809</v>
      </c>
    </row>
    <row r="80" spans="10:18">
      <c r="J80" s="1">
        <v>78</v>
      </c>
      <c r="K80" s="4">
        <v>156</v>
      </c>
      <c r="L80" s="4">
        <v>56</v>
      </c>
      <c r="M80" s="5">
        <v>58.471143566163377</v>
      </c>
      <c r="N80" s="5">
        <f t="shared" si="1"/>
        <v>58.47105021279279</v>
      </c>
      <c r="O80" s="6">
        <v>0.95270685761914087</v>
      </c>
      <c r="P80" s="6">
        <v>0.97472834014183207</v>
      </c>
      <c r="Q80" s="6">
        <v>0.95618276415958947</v>
      </c>
      <c r="R80" s="6">
        <v>0.9745961916770739</v>
      </c>
    </row>
    <row r="81" spans="10:18">
      <c r="J81" s="1">
        <v>79</v>
      </c>
      <c r="K81" s="4">
        <v>158</v>
      </c>
      <c r="L81" s="4">
        <v>58</v>
      </c>
      <c r="M81" s="5">
        <v>60.470547590978313</v>
      </c>
      <c r="N81" s="5">
        <f t="shared" si="1"/>
        <v>60.470459917199321</v>
      </c>
      <c r="O81" s="6">
        <v>0.95580916377788749</v>
      </c>
      <c r="P81" s="6">
        <v>0.97488527490146204</v>
      </c>
      <c r="Q81" s="6">
        <v>0.95880926085394125</v>
      </c>
      <c r="R81" s="6">
        <v>0.97478898920869983</v>
      </c>
    </row>
    <row r="82" spans="10:18">
      <c r="J82" s="1">
        <v>80</v>
      </c>
      <c r="K82" s="4">
        <v>160</v>
      </c>
      <c r="L82" s="4">
        <v>60</v>
      </c>
      <c r="M82" s="5">
        <v>62.470119993159727</v>
      </c>
      <c r="N82" s="5">
        <f t="shared" si="1"/>
        <v>62.470037358028833</v>
      </c>
      <c r="O82" s="6">
        <v>0.95850993536064277</v>
      </c>
      <c r="P82" s="6">
        <v>0.97500087720468664</v>
      </c>
      <c r="Q82" s="6">
        <v>0.96109548333865735</v>
      </c>
      <c r="R82" s="6">
        <v>0.97493098108756615</v>
      </c>
    </row>
    <row r="83" spans="10:18">
      <c r="J83" s="1">
        <v>81</v>
      </c>
      <c r="K83" s="4">
        <v>162</v>
      </c>
      <c r="L83" s="4">
        <v>62</v>
      </c>
      <c r="M83" s="5">
        <v>64.469814158279348</v>
      </c>
      <c r="N83" s="5">
        <f t="shared" si="1"/>
        <v>64.469735856025423</v>
      </c>
      <c r="O83" s="6">
        <v>0.9608574760143237</v>
      </c>
      <c r="P83" s="6">
        <v>0.97508568106656512</v>
      </c>
      <c r="Q83" s="6">
        <v>0.96308244047890024</v>
      </c>
      <c r="R83" s="6">
        <v>0.97503512153912097</v>
      </c>
    </row>
    <row r="84" spans="10:18">
      <c r="J84" s="1">
        <v>82</v>
      </c>
      <c r="K84" s="4">
        <v>164</v>
      </c>
      <c r="L84" s="4">
        <v>64</v>
      </c>
      <c r="M84" s="5">
        <v>66.469596061731124</v>
      </c>
      <c r="N84" s="5">
        <f t="shared" si="1"/>
        <v>66.469521396489284</v>
      </c>
      <c r="O84" s="6">
        <v>0.96289516007075915</v>
      </c>
      <c r="P84" s="6">
        <v>0.97514764613189819</v>
      </c>
      <c r="Q84" s="6">
        <v>0.96480693924606931</v>
      </c>
      <c r="R84" s="6">
        <v>0.97511119797412971</v>
      </c>
    </row>
    <row r="85" spans="10:18">
      <c r="J85" s="1">
        <v>83</v>
      </c>
      <c r="K85" s="4">
        <v>166</v>
      </c>
      <c r="L85" s="4">
        <v>66</v>
      </c>
      <c r="M85" s="5">
        <v>68.469440971662621</v>
      </c>
      <c r="N85" s="5">
        <f t="shared" si="1"/>
        <v>68.469369300429165</v>
      </c>
      <c r="O85" s="6">
        <v>0.96466180376156896</v>
      </c>
      <c r="P85" s="6">
        <v>0.97519275238690528</v>
      </c>
      <c r="Q85" s="6">
        <v>0.96630190502364199</v>
      </c>
      <c r="R85" s="6">
        <v>0.97516656261524703</v>
      </c>
    </row>
    <row r="86" spans="10:18">
      <c r="J86" s="1">
        <v>84</v>
      </c>
      <c r="K86" s="4">
        <v>168</v>
      </c>
      <c r="L86" s="4">
        <v>68</v>
      </c>
      <c r="M86" s="5">
        <v>70.469330981649861</v>
      </c>
      <c r="N86" s="5">
        <f t="shared" si="1"/>
        <v>70.46926173561684</v>
      </c>
      <c r="O86" s="6">
        <v>0.96619204083332966</v>
      </c>
      <c r="P86" s="6">
        <v>0.97522546823708678</v>
      </c>
      <c r="Q86" s="6">
        <v>0.96759670452541435</v>
      </c>
      <c r="R86" s="6">
        <v>0.97520670839378476</v>
      </c>
    </row>
    <row r="87" spans="10:18">
      <c r="J87" s="1">
        <v>85</v>
      </c>
      <c r="K87" s="4">
        <v>170</v>
      </c>
      <c r="L87" s="4">
        <v>70</v>
      </c>
      <c r="M87" s="5">
        <v>72.469253175266417</v>
      </c>
      <c r="N87" s="5">
        <f t="shared" si="1"/>
        <v>72.469185867075353</v>
      </c>
      <c r="O87" s="6">
        <v>0.96751669419971142</v>
      </c>
      <c r="P87" s="6">
        <v>0.9752491155341767</v>
      </c>
      <c r="Q87" s="6">
        <v>0.9687174644223574</v>
      </c>
      <c r="R87" s="6">
        <v>0.9752357180773531</v>
      </c>
    </row>
    <row r="88" spans="10:18">
      <c r="J88" s="1">
        <v>86</v>
      </c>
      <c r="K88" s="4">
        <v>172</v>
      </c>
      <c r="L88" s="4">
        <v>72</v>
      </c>
      <c r="M88" s="5">
        <v>74.469198268289688</v>
      </c>
      <c r="N88" s="5">
        <f t="shared" si="1"/>
        <v>74.469132490638046</v>
      </c>
      <c r="O88" s="6">
        <v>0.9686631372727047</v>
      </c>
      <c r="P88" s="6">
        <v>0.97526615184101006</v>
      </c>
      <c r="Q88" s="6">
        <v>0.96968738044973268</v>
      </c>
      <c r="R88" s="6">
        <v>0.97525661156465282</v>
      </c>
    </row>
    <row r="89" spans="10:18">
      <c r="J89" s="1">
        <v>87</v>
      </c>
      <c r="K89" s="4">
        <v>174</v>
      </c>
      <c r="L89" s="4">
        <v>74</v>
      </c>
      <c r="M89" s="5">
        <v>76.469159609458984</v>
      </c>
      <c r="N89" s="5">
        <f t="shared" si="1"/>
        <v>76.469095028854667</v>
      </c>
      <c r="O89" s="6">
        <v>0.9696556403128388</v>
      </c>
      <c r="P89" s="6">
        <v>0.9752783870037931</v>
      </c>
      <c r="Q89" s="6">
        <v>0.97052701318267587</v>
      </c>
      <c r="R89" s="6">
        <v>0.97527161233930559</v>
      </c>
    </row>
    <row r="90" spans="10:18">
      <c r="J90" s="1">
        <v>88</v>
      </c>
      <c r="K90" s="4">
        <v>176</v>
      </c>
      <c r="L90" s="4">
        <v>76</v>
      </c>
      <c r="M90" s="5">
        <v>78.469132448669782</v>
      </c>
      <c r="N90" s="5">
        <f t="shared" si="1"/>
        <v>78.469068796896181</v>
      </c>
      <c r="O90" s="6">
        <v>0.97051569855200592</v>
      </c>
      <c r="P90" s="6">
        <v>0.97528714812810535</v>
      </c>
      <c r="Q90" s="6">
        <v>0.97125456784633379</v>
      </c>
      <c r="R90" s="6">
        <v>0.97528235042538669</v>
      </c>
    </row>
    <row r="91" spans="10:18">
      <c r="J91" s="1">
        <v>89</v>
      </c>
      <c r="K91" s="4">
        <v>178</v>
      </c>
      <c r="L91" s="4">
        <v>78</v>
      </c>
      <c r="M91" s="5">
        <v>80.469113403455836</v>
      </c>
      <c r="N91" s="5">
        <f t="shared" si="1"/>
        <v>80.469050468410956</v>
      </c>
      <c r="O91" s="6">
        <v>0.97126233999966838</v>
      </c>
      <c r="P91" s="6">
        <v>0.97529340441664425</v>
      </c>
      <c r="Q91" s="6">
        <v>0.97188615648925047</v>
      </c>
      <c r="R91" s="6">
        <v>0.97529001594532871</v>
      </c>
    </row>
    <row r="92" spans="10:18">
      <c r="J92" s="1">
        <v>90</v>
      </c>
      <c r="K92" s="4">
        <v>180</v>
      </c>
      <c r="L92" s="4">
        <v>80</v>
      </c>
      <c r="M92" s="5">
        <v>82.469100071669857</v>
      </c>
      <c r="N92" s="5">
        <f t="shared" si="1"/>
        <v>82.469037688609603</v>
      </c>
      <c r="O92" s="6">
        <v>0.97191241177311205</v>
      </c>
      <c r="P92" s="6">
        <v>0.97529786105519078</v>
      </c>
      <c r="Q92" s="6">
        <v>0.97243604162081776</v>
      </c>
      <c r="R92" s="6">
        <v>0.97529547458740795</v>
      </c>
    </row>
    <row r="93" spans="10:18">
      <c r="J93" s="1">
        <v>91</v>
      </c>
      <c r="K93" s="4">
        <v>182</v>
      </c>
      <c r="L93" s="4">
        <v>82</v>
      </c>
      <c r="M93" s="5">
        <v>84.469090751390709</v>
      </c>
      <c r="N93" s="5">
        <f t="shared" si="1"/>
        <v>84.469028795177735</v>
      </c>
      <c r="O93" s="6">
        <v>0.97248084452442041</v>
      </c>
      <c r="P93" s="6">
        <v>0.9753010294238954</v>
      </c>
      <c r="Q93" s="6">
        <v>0.97291686102006059</v>
      </c>
      <c r="R93" s="6">
        <v>0.97529935394066525</v>
      </c>
    </row>
    <row r="94" spans="10:18">
      <c r="J94" s="1">
        <v>92</v>
      </c>
      <c r="K94" s="4">
        <v>184</v>
      </c>
      <c r="L94" s="4">
        <v>84</v>
      </c>
      <c r="M94" s="5">
        <v>86.469084239079962</v>
      </c>
      <c r="N94" s="5">
        <f t="shared" si="1"/>
        <v>86.469022617765759</v>
      </c>
      <c r="O94" s="6">
        <v>0.97298089509929331</v>
      </c>
      <c r="P94" s="6">
        <v>0.97530327933736904</v>
      </c>
      <c r="Q94" s="6">
        <v>0.97333983388769008</v>
      </c>
      <c r="R94" s="6">
        <v>0.97530210771822046</v>
      </c>
    </row>
    <row r="95" spans="10:18">
      <c r="J95" s="1">
        <v>93</v>
      </c>
      <c r="K95" s="4">
        <v>186</v>
      </c>
      <c r="L95" s="4">
        <v>86</v>
      </c>
      <c r="M95" s="5">
        <v>88.469079684563596</v>
      </c>
      <c r="N95" s="5">
        <f t="shared" si="1"/>
        <v>88.469018334470903</v>
      </c>
      <c r="O95" s="6">
        <v>0.97342436798225529</v>
      </c>
      <c r="P95" s="6">
        <v>0.97530487774163355</v>
      </c>
      <c r="Q95" s="6">
        <v>0.97371494885853638</v>
      </c>
      <c r="R95" s="6">
        <v>0.97530406331970532</v>
      </c>
    </row>
    <row r="96" spans="10:18">
      <c r="J96" s="1">
        <v>94</v>
      </c>
      <c r="K96" s="4">
        <v>188</v>
      </c>
      <c r="L96" s="4">
        <v>88</v>
      </c>
      <c r="M96" s="5">
        <v>90.469076487080002</v>
      </c>
      <c r="N96" s="5">
        <f t="shared" si="1"/>
        <v>90.469015369474533</v>
      </c>
      <c r="O96" s="6">
        <v>0.9738218163833795</v>
      </c>
      <c r="P96" s="6">
        <v>0.97530601727703858</v>
      </c>
      <c r="Q96" s="6">
        <v>0.97405113463751025</v>
      </c>
      <c r="R96" s="6">
        <v>0.97530545692892701</v>
      </c>
    </row>
    <row r="97" spans="10:18">
      <c r="J97" s="1">
        <v>95</v>
      </c>
      <c r="K97" s="4">
        <v>190</v>
      </c>
      <c r="L97" s="4">
        <v>90</v>
      </c>
      <c r="M97" s="5">
        <v>92.469074220853841</v>
      </c>
      <c r="N97" s="5">
        <f t="shared" si="1"/>
        <v>92.469013320276034</v>
      </c>
      <c r="O97" s="6">
        <v>0.97418272402508543</v>
      </c>
      <c r="P97" s="6">
        <v>0.97530683731249046</v>
      </c>
      <c r="Q97" s="6">
        <v>0.97435641418732211</v>
      </c>
      <c r="R97" s="6">
        <v>0.97530645935317217</v>
      </c>
    </row>
    <row r="98" spans="10:18">
      <c r="J98" s="1">
        <v>96</v>
      </c>
      <c r="K98" s="4">
        <v>192</v>
      </c>
      <c r="L98" s="4">
        <v>92</v>
      </c>
      <c r="M98" s="5">
        <v>94.469072581776089</v>
      </c>
      <c r="N98" s="5">
        <f t="shared" si="1"/>
        <v>94.469011906128031</v>
      </c>
      <c r="O98" s="6">
        <v>0.97451566881289886</v>
      </c>
      <c r="P98" s="6">
        <v>0.97530743942949438</v>
      </c>
      <c r="Q98" s="6">
        <v>0.97463804349630645</v>
      </c>
      <c r="R98" s="6">
        <v>0.97530719503871965</v>
      </c>
    </row>
    <row r="99" spans="10:18">
      <c r="J99" s="1">
        <v>97</v>
      </c>
      <c r="K99" s="4">
        <v>194</v>
      </c>
      <c r="L99" s="4">
        <v>94</v>
      </c>
      <c r="M99" s="5">
        <v>96.46907134906472</v>
      </c>
      <c r="N99" s="5">
        <f t="shared" si="1"/>
        <v>96.46901093160433</v>
      </c>
      <c r="O99" s="6">
        <v>0.974828469637808</v>
      </c>
      <c r="P99" s="6">
        <v>0.97530789885068137</v>
      </c>
      <c r="Q99" s="6">
        <v>0.97490263600366334</v>
      </c>
      <c r="R99" s="6">
        <v>0.97530775610143772</v>
      </c>
    </row>
    <row r="100" spans="10:18">
      <c r="J100" s="1">
        <v>98</v>
      </c>
      <c r="K100" s="4">
        <v>196</v>
      </c>
      <c r="L100" s="4">
        <v>96</v>
      </c>
      <c r="M100" s="5">
        <v>98.469070357455038</v>
      </c>
      <c r="N100" s="5">
        <f t="shared" si="1"/>
        <v>98.469010260931171</v>
      </c>
      <c r="O100" s="6">
        <v>0.9751283175740918</v>
      </c>
      <c r="P100" s="6">
        <v>0.97530827293761124</v>
      </c>
      <c r="Q100" s="6">
        <v>0.97515627376903635</v>
      </c>
      <c r="R100" s="6">
        <v>0.97530821275599466</v>
      </c>
    </row>
    <row r="101" spans="10:18">
      <c r="J101" s="1">
        <v>99</v>
      </c>
      <c r="K101" s="4">
        <v>198</v>
      </c>
      <c r="L101" s="4">
        <v>98</v>
      </c>
      <c r="M101" s="5">
        <v>100.46906947668487</v>
      </c>
      <c r="N101" s="5">
        <f t="shared" si="1"/>
        <v>100.46900979994984</v>
      </c>
      <c r="O101" s="6">
        <v>0.97542189271707802</v>
      </c>
      <c r="P101" s="6">
        <v>0.97530860760239846</v>
      </c>
      <c r="Q101" s="6">
        <v>0.97540460645350413</v>
      </c>
      <c r="R101" s="6">
        <v>0.97530862118227968</v>
      </c>
    </row>
    <row r="102" spans="10:18">
      <c r="J102" s="1">
        <v>100</v>
      </c>
      <c r="K102" s="1">
        <v>200</v>
      </c>
      <c r="L102" s="1">
        <v>100</v>
      </c>
      <c r="M102" s="1">
        <v>102.46906859591469</v>
      </c>
      <c r="N102" s="5">
        <f t="shared" si="1"/>
        <v>102.46900948347353</v>
      </c>
      <c r="O102" s="1">
        <v>0.97530894226718567</v>
      </c>
      <c r="P102" s="1">
        <v>0.97571546786006425</v>
      </c>
    </row>
    <row r="103" spans="10:18">
      <c r="N103" s="5"/>
    </row>
  </sheetData>
  <mergeCells count="1">
    <mergeCell ref="S1:U5"/>
  </mergeCells>
  <phoneticPr fontId="2" type="noConversion"/>
  <dataValidations xWindow="198" yWindow="280" count="1">
    <dataValidation type="list" allowBlank="1" showInputMessage="1" showErrorMessage="1" sqref="A9" xr:uid="{00000000-0002-0000-0300-000000000000}">
      <formula1>"Digital Call,Digital Put,Call,Put"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1B79A7-8395-4EF8-8995-803FBB0C53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Greeks</vt:lpstr>
      <vt:lpstr>Delta Hedge</vt:lpstr>
      <vt:lpstr>P&amp;L Study</vt:lpstr>
      <vt:lpstr>data</vt:lpstr>
      <vt:lpstr>bs</vt:lpstr>
      <vt:lpstr>final</vt:lpstr>
      <vt:lpstr>Uncertain Vol.</vt:lpstr>
      <vt:lpstr>UVM Binary</vt:lpstr>
      <vt:lpstr>BS_IVHigh</vt:lpstr>
      <vt:lpstr>BS_IVLow</vt:lpstr>
      <vt:lpstr>BS_K</vt:lpstr>
      <vt:lpstr>BS_r</vt:lpstr>
      <vt:lpstr>BS_T</vt:lpstr>
      <vt:lpstr>Delta_0</vt:lpstr>
      <vt:lpstr>DH_dt</vt:lpstr>
      <vt:lpstr>DH_PriceT</vt:lpstr>
      <vt:lpstr>DH_Rate</vt:lpstr>
      <vt:lpstr>DH_Strike</vt:lpstr>
      <vt:lpstr>DH_Term</vt:lpstr>
      <vt:lpstr>dt</vt:lpstr>
      <vt:lpstr>PL_K</vt:lpstr>
      <vt:lpstr>PL_r</vt:lpstr>
      <vt:lpstr>PL_T</vt:lpstr>
      <vt:lpstr>PL_Vol_a</vt:lpstr>
      <vt:lpstr>PL_Vol_i</vt:lpstr>
      <vt:lpstr>PL_Vol_sim</vt:lpstr>
      <vt:lpstr>S_0</vt:lpstr>
      <vt:lpstr>V_0</vt:lpstr>
      <vt:lpstr>Vol_a</vt:lpstr>
      <vt:lpstr>Vol_i</vt:lpstr>
      <vt:lpstr>Vol_sim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Fernando Bristotti</cp:lastModifiedBy>
  <cp:lastPrinted>2009-11-06T16:10:01Z</cp:lastPrinted>
  <dcterms:created xsi:type="dcterms:W3CDTF">2007-05-28T17:38:06Z</dcterms:created>
  <dcterms:modified xsi:type="dcterms:W3CDTF">2023-08-16T01:36:00Z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-895191373</vt:i4>
  </property>
  <property fmtid="{D5CDD505-2E9C-101B-9397-08002B2CF9AE}" pid="3" name="_NewReviewCycle">
    <vt:lpwstr/>
  </property>
  <property fmtid="{D5CDD505-2E9C-101B-9397-08002B2CF9AE}" pid="4" name="_EmailSubject">
    <vt:lpwstr>LECTURE NOTES CQF Lecture Thursday 1st September - Understanding Volatility 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563546608</vt:i4>
  </property>
  <property fmtid="{D5CDD505-2E9C-101B-9397-08002B2CF9AE}" pid="8" name="_ReviewingToolsShownOnce">
    <vt:lpwstr/>
  </property>
</Properties>
</file>